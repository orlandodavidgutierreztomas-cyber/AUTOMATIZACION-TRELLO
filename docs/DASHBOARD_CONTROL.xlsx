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7" yWindow="-103" windowWidth="29006" windowHeight="15686" tabRatio="600" firstSheet="0" activeTab="1" autoFilterDateGrouping="1"/>
  </bookViews>
  <sheets>
    <sheet name="DATOS" sheetId="1" state="visible" r:id="rId1"/>
    <sheet name="DASHBOARD" sheetId="2" state="visible" r:id="rId2"/>
  </sheets>
  <definedNames>
    <definedName name="_xlnm._FilterDatabase" localSheetId="1" hidden="1">'DASHBOARD'!$A$14:$W$214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yy\ hh:mm"/>
    <numFmt numFmtId="165" formatCode="0.000"/>
    <numFmt numFmtId="166" formatCode="dd/mm\ hh:mm"/>
    <numFmt numFmtId="167" formatCode="0;;&quot;-&quot;"/>
  </numFmts>
  <fonts count="43">
    <font>
      <name val="Aptos Narrow"/>
      <color theme="1"/>
      <sz val="11"/>
      <scheme val="minor"/>
    </font>
    <font>
      <name val="Aptos Narrow"/>
      <b val="1"/>
      <color rgb="FFFFFFFF"/>
      <sz val="11"/>
    </font>
    <font>
      <name val="Aptos Narrow"/>
      <color theme="1"/>
      <sz val="11"/>
    </font>
    <font>
      <name val="Aptos Narrow"/>
      <color theme="1"/>
      <sz val="11"/>
      <scheme val="minor"/>
    </font>
    <font>
      <name val="Arial"/>
      <color theme="1"/>
      <sz val="11"/>
    </font>
    <font>
      <name val="Arial Narrow"/>
      <color theme="1"/>
      <sz val="11"/>
    </font>
    <font>
      <name val="Arial Narrow"/>
      <b val="1"/>
      <color rgb="FF1F3864"/>
      <sz val="16"/>
    </font>
    <font>
      <name val="Arial Narrow"/>
      <color theme="1"/>
      <sz val="14"/>
    </font>
    <font>
      <name val="Arial Narrow"/>
      <b val="1"/>
      <color rgb="FF6B7280"/>
      <sz val="14"/>
    </font>
    <font>
      <name val="Aptos Narrow"/>
      <sz val="11"/>
    </font>
    <font>
      <name val="Arial Narrow"/>
      <b val="1"/>
      <color rgb="FF6B7280"/>
      <sz val="10"/>
    </font>
    <font>
      <name val="Arial Narrow"/>
      <b val="1"/>
      <color rgb="FF1565C0"/>
      <sz val="16"/>
    </font>
    <font>
      <name val="Arial Narrow"/>
      <b val="1"/>
      <color rgb="FF0000FF"/>
      <sz val="14"/>
    </font>
    <font>
      <name val="Arial Narrow"/>
      <b val="1"/>
      <color rgb="FF1F3864"/>
      <sz val="14"/>
    </font>
    <font>
      <name val="Arial Narrow"/>
      <i val="1"/>
      <color rgb="FF6B7280"/>
      <sz val="14"/>
    </font>
    <font>
      <name val="Arial Narrow"/>
      <b val="1"/>
      <color rgb="FF1F3864"/>
      <sz val="9"/>
    </font>
    <font>
      <name val="Arial Narrow"/>
      <b val="1"/>
      <color rgb="FFFFFFFF"/>
      <sz val="8"/>
    </font>
    <font>
      <name val="Arial Narrow"/>
      <b val="1"/>
      <color theme="0"/>
      <sz val="14"/>
    </font>
    <font>
      <name val="Arial Narrow"/>
      <color theme="0"/>
      <sz val="11"/>
    </font>
    <font>
      <name val="Arial Narrow"/>
      <b val="1"/>
      <color rgb="FF1F3864"/>
      <sz val="12"/>
    </font>
    <font>
      <name val="Arial Narrow"/>
      <b val="1"/>
      <color theme="1"/>
      <sz val="11"/>
    </font>
    <font>
      <name val="Arial Narrow"/>
      <color theme="1"/>
      <sz val="12"/>
    </font>
    <font>
      <name val="Arial Narrow"/>
      <b val="1"/>
      <color rgb="FFFFFFFF"/>
      <sz val="12"/>
    </font>
    <font>
      <name val="Arial Narrow"/>
      <color rgb="FF008000"/>
      <sz val="14"/>
    </font>
    <font>
      <name val="Arial Narrow"/>
      <b val="1"/>
      <color rgb="FF008000"/>
      <sz val="14"/>
    </font>
    <font>
      <name val="Arial Narrow"/>
      <b val="1"/>
      <color rgb="FF000000"/>
      <sz val="14"/>
    </font>
    <font>
      <name val="Arial Narrow"/>
      <b val="1"/>
      <color rgb="FFC62828"/>
      <sz val="12"/>
    </font>
    <font>
      <name val="Arial Narrow"/>
      <b val="1"/>
      <color rgb="FFFFFFFF"/>
      <sz val="14"/>
    </font>
    <font>
      <name val="Arial Narrow"/>
      <b val="1"/>
      <color rgb="FF2E7D32"/>
      <sz val="12"/>
    </font>
    <font>
      <name val="Arial Narrow"/>
      <b val="1"/>
      <color theme="1"/>
      <sz val="14"/>
    </font>
    <font>
      <name val="Arial Narrow"/>
      <i val="1"/>
      <color rgb="FF6B7280"/>
      <sz val="8"/>
    </font>
    <font>
      <name val="Arial Narrow"/>
      <b val="1"/>
      <color rgb="FF1F3864"/>
      <sz val="11"/>
    </font>
    <font>
      <name val="Arial Narrow"/>
      <color rgb="FF595959"/>
      <sz val="9"/>
    </font>
    <font>
      <name val="Arial Narrow"/>
      <color rgb="FF0563C1"/>
      <sz val="9"/>
      <u val="single"/>
    </font>
    <font>
      <name val="Arial Narrow"/>
      <family val="2"/>
      <b val="1"/>
      <color rgb="FF1F3864"/>
      <sz val="18"/>
    </font>
    <font>
      <name val="Aptos Narrow"/>
      <family val="2"/>
      <sz val="18"/>
    </font>
    <font>
      <name val="Arial Narrow"/>
      <family val="2"/>
      <b val="1"/>
      <color rgb="FFC62828"/>
      <sz val="18"/>
    </font>
    <font>
      <name val="Arial Narrow"/>
      <family val="2"/>
      <b val="1"/>
      <color rgb="FF374151"/>
      <sz val="18"/>
    </font>
    <font>
      <name val="Arial Narrow"/>
      <family val="2"/>
      <b val="1"/>
      <color rgb="FFE67E00"/>
      <sz val="18"/>
    </font>
    <font>
      <name val="Arial Narrow"/>
      <family val="2"/>
      <b val="1"/>
      <color rgb="FF2E7D32"/>
      <sz val="1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36"/>
    </font>
    <font>
      <name val="Arial Narrow"/>
      <family val="2"/>
      <b val="1"/>
      <color theme="0"/>
      <sz val="14"/>
    </font>
  </fonts>
  <fills count="11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1F4F9"/>
        <bgColor rgb="FFF1F4F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9" tint="-0.249977111117893"/>
        <bgColor rgb="FFF1F4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</fills>
  <borders count="6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1F3864"/>
      </bottom>
      <diagonal/>
    </border>
    <border>
      <left/>
      <right style="thin">
        <color rgb="FFD0D7E2"/>
      </right>
      <top/>
      <bottom style="thin">
        <color rgb="FFD0D7E2"/>
      </bottom>
      <diagonal/>
    </border>
    <border>
      <left style="thin">
        <color rgb="FFD0D7E2"/>
      </left>
      <right style="thin">
        <color rgb="FFD0D7E2"/>
      </right>
      <top/>
      <bottom style="thin">
        <color rgb="FFD0D7E2"/>
      </bottom>
      <diagonal/>
    </border>
    <border>
      <left style="thin">
        <color rgb="FFD0D7E2"/>
      </left>
      <right/>
      <top/>
      <bottom style="thin">
        <color rgb="FFD0D7E2"/>
      </bottom>
      <diagonal/>
    </border>
    <border>
      <left/>
      <right/>
      <top style="thin">
        <color rgb="FFD0D7E2"/>
      </top>
      <bottom/>
      <diagonal/>
    </border>
    <border>
      <left/>
      <right/>
      <top style="thin">
        <color rgb="FFD0D7E2"/>
      </top>
      <bottom/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/>
      <top style="thin">
        <color rgb="FFD0D7E2"/>
      </top>
      <bottom style="thin">
        <color rgb="FFD0D7E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0D7E2"/>
      </bottom>
      <diagonal/>
    </border>
    <border>
      <left/>
      <right/>
      <top style="thin">
        <color rgb="FFD0D7E2"/>
      </top>
      <bottom/>
      <diagonal/>
    </border>
    <border>
      <left/>
      <right/>
      <top/>
      <bottom/>
      <diagonal/>
    </border>
    <border>
      <left/>
      <right style="thin">
        <color rgb="FFD0D7E2"/>
      </right>
      <top style="thin">
        <color rgb="FFD0D7E2"/>
      </top>
      <bottom style="thin">
        <color rgb="FF000000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000000"/>
      </bottom>
      <diagonal/>
    </border>
    <border>
      <left style="thin">
        <color rgb="FFD0D7E2"/>
      </left>
      <right/>
      <top style="thin">
        <color rgb="FFD0D7E2"/>
      </top>
      <bottom style="thin">
        <color rgb="FF000000"/>
      </bottom>
      <diagonal/>
    </border>
    <border>
      <left style="thin">
        <color rgb="FFD0D7E2"/>
      </left>
      <right/>
      <top/>
      <bottom style="thin">
        <color rgb="FFD0D7E2"/>
      </bottom>
      <diagonal/>
    </border>
    <border>
      <left/>
      <right/>
      <top/>
      <bottom style="thin">
        <color rgb="FFD0D7E2"/>
      </bottom>
      <diagonal/>
    </border>
    <border>
      <left/>
      <right style="thin">
        <color rgb="FFD0D7E2"/>
      </right>
      <top/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/>
      <diagonal/>
    </border>
    <border>
      <left style="thin">
        <color rgb="FFD0D7E2"/>
      </left>
      <right/>
      <top style="thin">
        <color rgb="FFD0D7E2"/>
      </top>
      <bottom/>
      <diagonal/>
    </border>
    <border>
      <left/>
      <right/>
      <top style="thick">
        <color rgb="FF1F38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D0D7E2"/>
      </right>
      <top/>
      <bottom/>
      <diagonal/>
    </border>
  </borders>
  <cellStyleXfs count="1">
    <xf numFmtId="0" fontId="3" fillId="0" borderId="25"/>
  </cellStyleXfs>
  <cellXfs count="15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2" fillId="0" borderId="5" pivotButton="0" quotePrefix="0" xfId="0"/>
    <xf numFmtId="0" fontId="2" fillId="0" borderId="6" pivotButton="0" quotePrefix="0" xfId="0"/>
    <xf numFmtId="164" fontId="2" fillId="0" borderId="6" pivotButton="0" quotePrefix="0" xfId="0"/>
    <xf numFmtId="1" fontId="2" fillId="0" borderId="7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8" pivotButton="0" quotePrefix="0" xfId="0"/>
    <xf numFmtId="0" fontId="6" fillId="4" borderId="8" pivotButton="0" quotePrefix="0" xfId="0"/>
    <xf numFmtId="0" fontId="7" fillId="4" borderId="8" pivotButton="0" quotePrefix="0" xfId="0"/>
    <xf numFmtId="0" fontId="8" fillId="4" borderId="8" pivotButton="0" quotePrefix="0" xfId="0"/>
    <xf numFmtId="0" fontId="5" fillId="0" borderId="0" pivotButton="0" quotePrefix="0" xfId="0"/>
    <xf numFmtId="0" fontId="10" fillId="3" borderId="8" pivotButton="0" quotePrefix="0" xfId="0"/>
    <xf numFmtId="0" fontId="11" fillId="4" borderId="8" pivotButton="0" quotePrefix="0" xfId="0"/>
    <xf numFmtId="0" fontId="14" fillId="4" borderId="11" pivotButton="0" quotePrefix="0" xfId="0"/>
    <xf numFmtId="0" fontId="7" fillId="4" borderId="11" pivotButton="0" quotePrefix="0" xfId="0"/>
    <xf numFmtId="0" fontId="15" fillId="3" borderId="8" pivotButton="0" quotePrefix="0" xfId="0"/>
    <xf numFmtId="0" fontId="16" fillId="2" borderId="12" pivotButton="0" quotePrefix="0" xfId="0"/>
    <xf numFmtId="0" fontId="16" fillId="2" borderId="13" pivotButton="0" quotePrefix="0" xfId="0"/>
    <xf numFmtId="0" fontId="16" fillId="2" borderId="14" pivotButton="0" quotePrefix="0" xfId="0"/>
    <xf numFmtId="0" fontId="5" fillId="4" borderId="8" pivotButton="0" quotePrefix="0" xfId="0"/>
    <xf numFmtId="0" fontId="5" fillId="4" borderId="16" pivotButton="0" quotePrefix="0" xfId="0"/>
    <xf numFmtId="0" fontId="5" fillId="4" borderId="17" pivotButton="0" quotePrefix="0" xfId="0"/>
    <xf numFmtId="1" fontId="5" fillId="4" borderId="18" pivotButton="0" quotePrefix="0" xfId="0"/>
    <xf numFmtId="1" fontId="5" fillId="4" borderId="19" pivotButton="0" quotePrefix="0" xfId="0"/>
    <xf numFmtId="0" fontId="18" fillId="7" borderId="23" pivotButton="0" quotePrefix="0" xfId="0"/>
    <xf numFmtId="0" fontId="5" fillId="4" borderId="23" pivotButton="0" quotePrefix="0" xfId="0"/>
    <xf numFmtId="0" fontId="20" fillId="4" borderId="26" pivotButton="0" quotePrefix="0" xfId="0"/>
    <xf numFmtId="1" fontId="20" fillId="4" borderId="27" pivotButton="0" quotePrefix="0" xfId="0"/>
    <xf numFmtId="1" fontId="20" fillId="4" borderId="28" pivotButton="0" quotePrefix="0" xfId="0"/>
    <xf numFmtId="0" fontId="21" fillId="3" borderId="8" pivotButton="0" quotePrefix="0" xfId="0"/>
    <xf numFmtId="0" fontId="22" fillId="2" borderId="8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2" borderId="6" applyAlignment="1" pivotButton="0" quotePrefix="0" xfId="0">
      <alignment horizontal="center" vertical="center"/>
    </xf>
    <xf numFmtId="0" fontId="7" fillId="3" borderId="8" pivotButton="0" quotePrefix="0" xfId="0"/>
    <xf numFmtId="0" fontId="13" fillId="4" borderId="12" applyAlignment="1" pivotButton="0" quotePrefix="0" xfId="0">
      <alignment horizontal="center" vertical="center"/>
    </xf>
    <xf numFmtId="0" fontId="23" fillId="4" borderId="13" applyAlignment="1" pivotButton="0" quotePrefix="0" xfId="0">
      <alignment horizontal="center" vertical="center"/>
    </xf>
    <xf numFmtId="166" fontId="23" fillId="4" borderId="13" applyAlignment="1" pivotButton="0" quotePrefix="0" xfId="0">
      <alignment horizontal="center" vertical="center"/>
    </xf>
    <xf numFmtId="1" fontId="2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167" fontId="23" fillId="4" borderId="13" applyAlignment="1" pivotButton="0" quotePrefix="0" xfId="0">
      <alignment horizontal="center" vertical="center"/>
    </xf>
    <xf numFmtId="167" fontId="23" fillId="4" borderId="14" applyAlignment="1" pivotButton="0" quotePrefix="0" xfId="0">
      <alignment horizontal="center" vertical="center"/>
    </xf>
    <xf numFmtId="0" fontId="26" fillId="4" borderId="6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1" fillId="0" borderId="0" pivotButton="0" quotePrefix="0" xfId="0"/>
    <xf numFmtId="0" fontId="19" fillId="3" borderId="8" pivotButton="0" quotePrefix="0" xfId="0"/>
    <xf numFmtId="0" fontId="27" fillId="2" borderId="12" pivotButton="0" quotePrefix="0" xfId="0"/>
    <xf numFmtId="0" fontId="27" fillId="2" borderId="13" pivotButton="0" quotePrefix="0" xfId="0"/>
    <xf numFmtId="0" fontId="27" fillId="2" borderId="14" pivotButton="0" quotePrefix="0" xfId="0"/>
    <xf numFmtId="0" fontId="7" fillId="0" borderId="0" pivotButton="0" quotePrefix="0" xfId="0"/>
    <xf numFmtId="0" fontId="7" fillId="4" borderId="17" pivotButton="0" quotePrefix="0" xfId="0"/>
    <xf numFmtId="0" fontId="7" fillId="4" borderId="18" pivotButton="0" quotePrefix="0" xfId="0"/>
    <xf numFmtId="9" fontId="7" fillId="4" borderId="19" pivotButton="0" quotePrefix="0" xfId="0"/>
    <xf numFmtId="0" fontId="28" fillId="0" borderId="0" applyAlignment="1" pivotButton="0" quotePrefix="0" xfId="0">
      <alignment horizontal="center"/>
    </xf>
    <xf numFmtId="0" fontId="29" fillId="4" borderId="32" pivotButton="0" quotePrefix="0" xfId="0"/>
    <xf numFmtId="0" fontId="29" fillId="4" borderId="33" pivotButton="0" quotePrefix="0" xfId="0"/>
    <xf numFmtId="0" fontId="29" fillId="4" borderId="34" pivotButton="0" quotePrefix="0" xfId="0"/>
    <xf numFmtId="0" fontId="5" fillId="4" borderId="18" pivotButton="0" quotePrefix="0" xfId="0"/>
    <xf numFmtId="9" fontId="5" fillId="4" borderId="19" pivotButton="0" quotePrefix="0" xfId="0"/>
    <xf numFmtId="0" fontId="20" fillId="4" borderId="32" pivotButton="0" quotePrefix="0" xfId="0"/>
    <xf numFmtId="0" fontId="20" fillId="4" borderId="33" pivotButton="0" quotePrefix="0" xfId="0"/>
    <xf numFmtId="9" fontId="20" fillId="4" borderId="34" pivotButton="0" quotePrefix="0" xfId="0"/>
    <xf numFmtId="0" fontId="20" fillId="3" borderId="8" pivotButton="0" quotePrefix="0" xfId="0"/>
    <xf numFmtId="9" fontId="20" fillId="3" borderId="8" pivotButton="0" quotePrefix="0" xfId="0"/>
    <xf numFmtId="0" fontId="20" fillId="4" borderId="34" pivotButton="0" quotePrefix="0" xfId="0"/>
    <xf numFmtId="0" fontId="15" fillId="0" borderId="0" pivotButton="0" quotePrefix="0" xfId="0"/>
    <xf numFmtId="0" fontId="16" fillId="2" borderId="8" pivotButton="0" quotePrefix="0" xfId="0"/>
    <xf numFmtId="9" fontId="5" fillId="0" borderId="0" pivotButton="0" quotePrefix="0" xfId="0"/>
    <xf numFmtId="0" fontId="20" fillId="0" borderId="0" pivotButton="0" quotePrefix="0" xfId="0"/>
    <xf numFmtId="9" fontId="20" fillId="0" borderId="0" pivotButton="0" quotePrefix="0" xfId="0"/>
    <xf numFmtId="0" fontId="8" fillId="4" borderId="9" applyAlignment="1" pivotButton="0" quotePrefix="0" xfId="0">
      <alignment horizontal="center"/>
    </xf>
    <xf numFmtId="0" fontId="9" fillId="0" borderId="10" pivotButton="0" quotePrefix="0" xfId="0"/>
    <xf numFmtId="164" fontId="12" fillId="5" borderId="9" applyAlignment="1" pivotButton="0" quotePrefix="0" xfId="0">
      <alignment horizontal="center"/>
    </xf>
    <xf numFmtId="0" fontId="9" fillId="0" borderId="22" pivotButton="0" quotePrefix="0" xfId="0"/>
    <xf numFmtId="0" fontId="22" fillId="2" borderId="9" applyAlignment="1" pivotButton="0" quotePrefix="0" xfId="0">
      <alignment horizontal="center" vertical="center" wrapText="1"/>
    </xf>
    <xf numFmtId="0" fontId="23" fillId="4" borderId="29" applyAlignment="1" pivotButton="0" quotePrefix="0" xfId="0">
      <alignment horizontal="left" vertical="center"/>
    </xf>
    <xf numFmtId="0" fontId="9" fillId="0" borderId="30" pivotButton="0" quotePrefix="0" xfId="0"/>
    <xf numFmtId="0" fontId="9" fillId="0" borderId="31" pivotButton="0" quotePrefix="0" xfId="0"/>
    <xf numFmtId="0" fontId="30" fillId="0" borderId="35" pivotButton="0" quotePrefix="0" xfId="0"/>
    <xf numFmtId="0" fontId="9" fillId="0" borderId="35" pivotButton="0" quotePrefix="0" xfId="0"/>
    <xf numFmtId="0" fontId="31" fillId="3" borderId="8" pivotButton="0" quotePrefix="0" xfId="0"/>
    <xf numFmtId="0" fontId="32" fillId="3" borderId="8" pivotButton="0" quotePrefix="0" xfId="0"/>
    <xf numFmtId="0" fontId="33" fillId="3" borderId="8" pivotButton="0" quotePrefix="0" xfId="0"/>
    <xf numFmtId="164" fontId="0" fillId="0" borderId="0" pivotButton="0" quotePrefix="0" xfId="0"/>
    <xf numFmtId="1" fontId="2" fillId="0" borderId="6" pivotButton="0" quotePrefix="0" xfId="0"/>
    <xf numFmtId="1" fontId="0" fillId="0" borderId="0" pivotButton="0" quotePrefix="0" xfId="0"/>
    <xf numFmtId="0" fontId="35" fillId="0" borderId="25" pivotButton="0" quotePrefix="0" xfId="0"/>
    <xf numFmtId="0" fontId="0" fillId="0" borderId="25" pivotButton="0" quotePrefix="0" xfId="0"/>
    <xf numFmtId="0" fontId="37" fillId="4" borderId="25" applyAlignment="1" pivotButton="0" quotePrefix="0" xfId="0">
      <alignment horizontal="center" vertical="center"/>
    </xf>
    <xf numFmtId="0" fontId="9" fillId="0" borderId="21" pivotButton="0" quotePrefix="0" xfId="0"/>
    <xf numFmtId="0" fontId="9" fillId="0" borderId="20" pivotButton="0" quotePrefix="0" xfId="0"/>
    <xf numFmtId="0" fontId="9" fillId="0" borderId="15" pivotButton="0" quotePrefix="0" xfId="0"/>
    <xf numFmtId="0" fontId="9" fillId="0" borderId="24" pivotButton="0" quotePrefix="0" xfId="0"/>
    <xf numFmtId="0" fontId="9" fillId="0" borderId="25" pivotButton="0" quotePrefix="0" xfId="0"/>
    <xf numFmtId="0" fontId="17" fillId="7" borderId="37" applyAlignment="1" pivotButton="0" quotePrefix="0" xfId="0">
      <alignment horizontal="center" vertical="center" wrapText="1"/>
    </xf>
    <xf numFmtId="0" fontId="17" fillId="7" borderId="38" applyAlignment="1" pivotButton="0" quotePrefix="0" xfId="0">
      <alignment horizontal="center" vertical="center" wrapText="1"/>
    </xf>
    <xf numFmtId="0" fontId="40" fillId="6" borderId="40" applyAlignment="1" pivotButton="0" quotePrefix="0" xfId="0">
      <alignment horizontal="center" vertical="center" wrapText="1"/>
    </xf>
    <xf numFmtId="0" fontId="40" fillId="6" borderId="41" applyAlignment="1" pivotButton="0" quotePrefix="0" xfId="0">
      <alignment horizontal="center" vertical="center" wrapText="1"/>
    </xf>
    <xf numFmtId="0" fontId="41" fillId="6" borderId="36" applyAlignment="1" pivotButton="0" quotePrefix="0" xfId="0">
      <alignment horizontal="center" vertical="center"/>
    </xf>
    <xf numFmtId="0" fontId="41" fillId="7" borderId="39" applyAlignment="1" pivotButton="0" quotePrefix="0" xfId="0">
      <alignment horizontal="center" vertical="center"/>
    </xf>
    <xf numFmtId="0" fontId="40" fillId="6" borderId="42" applyAlignment="1" pivotButton="0" quotePrefix="0" xfId="0">
      <alignment horizontal="center" vertical="center" wrapText="1"/>
    </xf>
    <xf numFmtId="0" fontId="17" fillId="7" borderId="43" applyAlignment="1" pivotButton="0" quotePrefix="0" xfId="0">
      <alignment horizontal="center" vertical="center" wrapText="1"/>
    </xf>
    <xf numFmtId="0" fontId="5" fillId="3" borderId="25" pivotButton="0" quotePrefix="0" xfId="0"/>
    <xf numFmtId="0" fontId="42" fillId="8" borderId="44" applyAlignment="1" pivotButton="0" quotePrefix="0" xfId="0">
      <alignment horizontal="center"/>
    </xf>
    <xf numFmtId="0" fontId="42" fillId="8" borderId="45" applyAlignment="1" pivotButton="0" quotePrefix="0" xfId="0">
      <alignment horizontal="center"/>
    </xf>
    <xf numFmtId="0" fontId="42" fillId="8" borderId="46" applyAlignment="1" pivotButton="0" quotePrefix="0" xfId="0">
      <alignment horizontal="center"/>
    </xf>
    <xf numFmtId="0" fontId="13" fillId="0" borderId="0" pivotButton="0" quotePrefix="0" xfId="0"/>
    <xf numFmtId="0" fontId="38" fillId="4" borderId="25" applyAlignment="1" pivotButton="0" quotePrefix="0" xfId="0">
      <alignment vertical="center"/>
    </xf>
    <xf numFmtId="0" fontId="34" fillId="4" borderId="47" applyAlignment="1" pivotButton="0" quotePrefix="0" xfId="0">
      <alignment horizontal="center" vertical="center" wrapText="1"/>
    </xf>
    <xf numFmtId="0" fontId="34" fillId="4" borderId="48" applyAlignment="1" pivotButton="0" quotePrefix="0" xfId="0">
      <alignment horizontal="center" vertical="center" wrapText="1"/>
    </xf>
    <xf numFmtId="0" fontId="34" fillId="4" borderId="49" applyAlignment="1" pivotButton="0" quotePrefix="0" xfId="0">
      <alignment horizontal="center" vertical="center" wrapText="1"/>
    </xf>
    <xf numFmtId="0" fontId="34" fillId="4" borderId="50" applyAlignment="1" pivotButton="0" quotePrefix="0" xfId="0">
      <alignment horizontal="center" vertical="center" wrapText="1"/>
    </xf>
    <xf numFmtId="0" fontId="34" fillId="4" borderId="51" applyAlignment="1" pivotButton="0" quotePrefix="0" xfId="0">
      <alignment vertical="center"/>
    </xf>
    <xf numFmtId="0" fontId="34" fillId="4" borderId="52" applyAlignment="1" pivotButton="0" quotePrefix="0" xfId="0">
      <alignment horizontal="center" vertical="center"/>
    </xf>
    <xf numFmtId="0" fontId="36" fillId="4" borderId="53" applyAlignment="1" pivotButton="0" quotePrefix="0" xfId="0">
      <alignment vertical="center"/>
    </xf>
    <xf numFmtId="0" fontId="35" fillId="0" borderId="53" pivotButton="0" quotePrefix="0" xfId="0"/>
    <xf numFmtId="0" fontId="0" fillId="0" borderId="53" pivotButton="0" quotePrefix="0" xfId="0"/>
    <xf numFmtId="0" fontId="37" fillId="4" borderId="53" applyAlignment="1" pivotButton="0" quotePrefix="0" xfId="0">
      <alignment horizontal="center" vertical="center"/>
    </xf>
    <xf numFmtId="9" fontId="36" fillId="4" borderId="48" applyAlignment="1" pivotButton="0" quotePrefix="0" xfId="0">
      <alignment vertical="center"/>
    </xf>
    <xf numFmtId="9" fontId="38" fillId="4" borderId="50" applyAlignment="1" pivotButton="0" quotePrefix="0" xfId="0">
      <alignment vertical="center"/>
    </xf>
    <xf numFmtId="0" fontId="39" fillId="4" borderId="54" applyAlignment="1" pivotButton="0" quotePrefix="0" xfId="0">
      <alignment vertical="center"/>
    </xf>
    <xf numFmtId="0" fontId="35" fillId="0" borderId="54" pivotButton="0" quotePrefix="0" xfId="0"/>
    <xf numFmtId="0" fontId="0" fillId="0" borderId="54" pivotButton="0" quotePrefix="0" xfId="0"/>
    <xf numFmtId="0" fontId="37" fillId="4" borderId="54" applyAlignment="1" pivotButton="0" quotePrefix="0" xfId="0">
      <alignment horizontal="center" vertical="center"/>
    </xf>
    <xf numFmtId="9" fontId="39" fillId="4" borderId="55" applyAlignment="1" pivotButton="0" quotePrefix="0" xfId="0">
      <alignment vertical="center"/>
    </xf>
    <xf numFmtId="0" fontId="34" fillId="4" borderId="25" applyAlignment="1" pivotButton="0" quotePrefix="0" xfId="0">
      <alignment vertical="center" wrapText="1"/>
    </xf>
    <xf numFmtId="0" fontId="0" fillId="9" borderId="0" pivotButton="0" quotePrefix="0" xfId="0"/>
    <xf numFmtId="0" fontId="18" fillId="10" borderId="30" pivotButton="0" quotePrefix="0" xfId="0"/>
    <xf numFmtId="0" fontId="8" fillId="4" borderId="25" applyAlignment="1" pivotButton="0" quotePrefix="0" xfId="0">
      <alignment horizontal="center"/>
    </xf>
    <xf numFmtId="0" fontId="34" fillId="4" borderId="61" applyAlignment="1" pivotButton="0" quotePrefix="0" xfId="0">
      <alignment horizontal="center" vertical="center" wrapText="1"/>
    </xf>
    <xf numFmtId="0" fontId="0" fillId="0" borderId="48" pivotButton="0" quotePrefix="0" xfId="0"/>
    <xf numFmtId="164" fontId="12" fillId="5" borderId="25" applyAlignment="1" pivotButton="0" quotePrefix="0" xfId="0">
      <alignment horizontal="center"/>
    </xf>
    <xf numFmtId="0" fontId="0" fillId="0" borderId="49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59" pivotButton="0" quotePrefix="0" xfId="0"/>
    <xf numFmtId="0" fontId="0" fillId="0" borderId="58" pivotButton="0" quotePrefix="0" xfId="0"/>
    <xf numFmtId="0" fontId="0" fillId="0" borderId="37" pivotButton="0" quotePrefix="0" xfId="0"/>
    <xf numFmtId="0" fontId="42" fillId="8" borderId="60" applyAlignment="1" pivotButton="0" quotePrefix="0" xfId="0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22" fillId="2" borderId="25" applyAlignment="1" pivotButton="0" quotePrefix="0" xfId="0">
      <alignment horizontal="center" vertical="center" wrapText="1"/>
    </xf>
    <xf numFmtId="0" fontId="23" fillId="4" borderId="13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</cellXfs>
  <cellStyles count="1">
    <cellStyle name="Normal" xfId="0" builtinId="0"/>
  </cellStyles>
  <dxfs count="5">
    <dxf>
      <font>
        <color rgb="FF2E7D32"/>
      </font>
      <fill>
        <patternFill/>
      </fill>
    </dxf>
    <dxf>
      <font>
        <color rgb="FFC62828"/>
      </font>
      <fill>
        <patternFill/>
      </fill>
    </dxf>
    <dxf>
      <font>
        <color rgb="FF2E7D32"/>
      </font>
      <fill>
        <patternFill/>
      </fill>
    </dxf>
    <dxf>
      <font>
        <color rgb="FFE67E00"/>
      </font>
      <fill>
        <patternFill/>
      </fill>
    </dxf>
    <dxf>
      <font>
        <color rgb="FFC62828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 algn="l">
              <a:defRPr sz="1400" b="1" i="0">
                <a:solidFill>
                  <a:srgbClr val="757575"/>
                </a:solidFill>
                <a:latin typeface="Arial Narrow"/>
              </a:defRPr>
            </a:pPr>
            <a:r>
              <a:rPr lang="es-PE" sz="1400" b="1" i="0">
                <a:solidFill>
                  <a:srgbClr val="757575"/>
                </a:solidFill>
                <a:latin typeface="Arial Narrow"/>
              </a:rPr>
              <a:t xml:space="preserve">CHECKS PENDIENTES </a:t>
            </a:r>
          </a:p>
        </rich>
      </tx>
      <layout>
        <manualLayout>
          <xMode val="edge"/>
          <yMode val="edge"/>
          <wMode val="factor"/>
          <hMode val="factor"/>
          <x val="0.02938833209552121"/>
          <y val="0.04402514633161335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095950152022175"/>
          <y val="0.2877239750431729"/>
          <w val="0.8683308783724637"/>
          <h val="0.5126861174616325"/>
        </manualLayout>
      </layout>
      <barChart>
        <barDir val="col"/>
        <grouping val="clustered"/>
        <varyColors val="1"/>
        <ser>
          <idx val="0"/>
          <order val="0"/>
          <tx>
            <v>AYER Y ANTES</v>
          </tx>
          <spPr>
            <a:solidFill>
              <a:srgbClr val="FF0000"/>
            </a:solidFill>
            <a:ln cmpd="sng">
              <a:noFill/>
              <a:prstDash val="solid"/>
            </a:ln>
          </spPr>
          <invertIfNegative val="1"/>
          <dPt>
            <idx val="0"/>
            <invertIfNegative val="1"/>
            <bubble3D val="0"/>
            <spPr>
              <a:solidFill>
                <a:srgbClr val="FF0000"/>
              </a:solidFill>
              <a:ln cmpd="sng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solidFill>
                <a:srgbClr val="FF0000"/>
              </a:solidFill>
              <a:ln cmpd="sng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solidFill>
                <a:srgbClr val="FF0000"/>
              </a:solidFill>
              <a:ln cmpd="sng"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solidFill>
                <a:srgbClr val="FF0000"/>
              </a:solidFill>
              <a:ln cmpd="sng">
                <a:noFill/>
                <a:prstDash val="solid"/>
              </a:ln>
            </spPr>
          </dPt>
          <dPt>
            <idx val="4"/>
            <invertIfNegative val="1"/>
            <bubble3D val="0"/>
            <spPr>
              <a:solidFill>
                <a:srgbClr val="FF0000"/>
              </a:solidFill>
              <a:ln cmpd="sng"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 lvl="0">
                  <a:defRPr sz="1200" b="0" i="0">
                    <a:latin typeface="Arial Narrow"/>
                  </a:defRPr>
                </a:pPr>
                <a:r>
                  <a:t/>
                </a:r>
                <a:endParaRPr lang="es-P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DASHBOARD!$T$6:$T$11</f>
              <strCache>
                <ptCount val="6"/>
                <pt idx="0">
                  <v>EST</v>
                </pt>
                <pt idx="1">
                  <v>CAL</v>
                </pt>
                <pt idx="2">
                  <v>CAMP</v>
                </pt>
                <pt idx="3">
                  <v>AMB</v>
                </pt>
                <pt idx="4">
                  <v>BIM</v>
                </pt>
                <pt idx="5">
                  <v>SSOMA</v>
                </pt>
              </strCache>
            </strRef>
          </cat>
          <val>
            <numRef>
              <f>DASHBOARD!$U$6:$U$11</f>
              <numCache>
                <formatCode>0</formatCode>
                <ptCount val="6"/>
                <pt idx="0">
                  <v>14</v>
                </pt>
                <pt idx="1">
                  <v>30</v>
                </pt>
                <pt idx="2">
                  <v>3</v>
                </pt>
                <pt idx="3">
                  <v>16</v>
                </pt>
                <pt idx="4">
                  <v>0</v>
                </pt>
                <pt idx="5">
                  <v>7</v>
                </pt>
              </numCache>
            </numRef>
          </val>
        </ser>
        <ser>
          <idx val="1"/>
          <order val="1"/>
          <tx>
            <v>HOY</v>
          </tx>
          <spPr>
            <a:solidFill>
              <a:srgbClr val="196B24"/>
            </a:solidFill>
            <a:ln cmpd="sng">
              <a:noFill/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r>
                  <a:t/>
                </a:r>
                <a:endParaRPr lang="es-P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DASHBOARD!$T$6:$T$11</f>
              <strCache>
                <ptCount val="6"/>
                <pt idx="0">
                  <v>EST</v>
                </pt>
                <pt idx="1">
                  <v>CAL</v>
                </pt>
                <pt idx="2">
                  <v>CAMP</v>
                </pt>
                <pt idx="3">
                  <v>AMB</v>
                </pt>
                <pt idx="4">
                  <v>BIM</v>
                </pt>
                <pt idx="5">
                  <v>SSOMA</v>
                </pt>
              </strCache>
            </strRef>
          </cat>
          <val>
            <numRef>
              <f>DASHBOARD!$V$6:$V$11</f>
              <numCache>
                <formatCode>0</formatCode>
                <ptCount val="6"/>
                <pt idx="0">
                  <v>51</v>
                </pt>
                <pt idx="1">
                  <v>77</v>
                </pt>
                <pt idx="2">
                  <v>51</v>
                </pt>
                <pt idx="3">
                  <v>21</v>
                </pt>
                <pt idx="4">
                  <v>15</v>
                </pt>
                <pt idx="5">
                  <v>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31876773"/>
        <axId val="1560533931"/>
      </barChart>
      <catAx>
        <axId val="163187677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s-PE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 Narrow"/>
              </a:defRPr>
            </a:pPr>
            <a:r>
              <a:t/>
            </a:r>
            <a:endParaRPr lang="es-PE"/>
          </a:p>
        </txPr>
        <crossAx val="1560533931"/>
        <crosses val="autoZero"/>
        <auto val="1"/>
        <lblAlgn val="ctr"/>
        <lblOffset val="100"/>
        <noMultiLvlLbl val="1"/>
      </catAx>
      <valAx>
        <axId val="156053393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s-PE"/>
              </a:p>
            </rich>
          </tx>
          <overlay val="0"/>
        </title>
        <numFmt formatCode="0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 Narrow"/>
              </a:defRPr>
            </a:pPr>
            <a:r>
              <a:t/>
            </a:r>
            <a:endParaRPr lang="es-PE"/>
          </a:p>
        </txPr>
        <crossAx val="163187677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180452047403199"/>
          <y val="0.07135771355806957"/>
          <w val="0.4227219521028292"/>
          <h val="0.1333124335979254"/>
        </manualLayout>
      </layout>
      <overlay val="0"/>
      <txPr>
        <a:bodyPr/>
        <a:lstStyle/>
        <a:p>
          <a:pPr lvl="0">
            <a:defRPr sz="1200" b="1" i="0">
              <a:solidFill>
                <a:srgbClr val="1A1A1A"/>
              </a:solidFill>
              <a:latin typeface="Arial Narrow"/>
            </a:defRPr>
          </a:pPr>
          <a:r>
            <a:t/>
          </a:r>
          <a:endParaRPr lang="es-PE"/>
        </a:p>
      </txPr>
    </legend>
    <plotVisOnly val="1"/>
    <dispBlanksAs val="zero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73479</colOff>
      <row>4</row>
      <rowOff>65314</rowOff>
    </from>
    <to>
      <col>7</col>
      <colOff>238125</colOff>
      <row>10</row>
      <rowOff>217714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0"/>
  <sheetViews>
    <sheetView workbookViewId="0">
      <pane ySplit="1" topLeftCell="A100" activePane="bottomLeft" state="frozen"/>
      <selection pane="bottomLeft" activeCell="B3" sqref="B3"/>
    </sheetView>
  </sheetViews>
  <sheetFormatPr baseColWidth="10" defaultColWidth="12.61328125" defaultRowHeight="15" customHeight="1"/>
  <cols>
    <col width="8.61328125" customWidth="1" min="1" max="1"/>
    <col width="53.84375" customWidth="1" min="2" max="2"/>
    <col width="9.84375" customWidth="1" min="3" max="3"/>
    <col width="15" customWidth="1" min="4" max="4"/>
    <col width="3.84375" customWidth="1" min="5" max="5"/>
    <col width="4.15234375" customWidth="1" min="6" max="6"/>
    <col width="7" customWidth="1" min="7" max="7"/>
    <col width="4.4609375" customWidth="1" min="8" max="8"/>
    <col width="4" customWidth="1" min="9" max="9"/>
    <col width="4.23046875" customWidth="1" min="10" max="10"/>
    <col width="10.23046875" customWidth="1" min="11" max="11"/>
    <col width="7.84375" customWidth="1" min="12" max="12"/>
    <col width="10.4609375" customWidth="1" min="13" max="13"/>
    <col width="10.61328125" customWidth="1" min="14" max="15"/>
    <col width="23.4609375" customWidth="1" min="16" max="16"/>
    <col width="10.61328125" customWidth="1" min="17" max="26"/>
  </cols>
  <sheetData>
    <row r="1" ht="30" customHeight="1">
      <c r="A1" s="1" t="inlineStr">
        <is>
          <t>SECTOR / ZONA</t>
        </is>
      </c>
      <c r="B1" s="2" t="inlineStr">
        <is>
          <t>ACTIVIDAD</t>
        </is>
      </c>
      <c r="C1" s="2" t="inlineStr">
        <is>
          <t>FAMILIA</t>
        </is>
      </c>
      <c r="D1" s="2" t="inlineStr">
        <is>
          <t>VENCE</t>
        </is>
      </c>
      <c r="E1" s="2" t="inlineStr">
        <is>
          <t>EST</t>
        </is>
      </c>
      <c r="F1" s="2" t="inlineStr">
        <is>
          <t>CAL</t>
        </is>
      </c>
      <c r="G1" s="2" t="inlineStr">
        <is>
          <t>CAMPO</t>
        </is>
      </c>
      <c r="H1" s="2" t="inlineStr">
        <is>
          <t>AMB</t>
        </is>
      </c>
      <c r="I1" s="2" t="inlineStr">
        <is>
          <t>BIM</t>
        </is>
      </c>
      <c r="J1" s="2" t="inlineStr">
        <is>
          <t>SEG</t>
        </is>
      </c>
      <c r="K1" s="2" t="inlineStr">
        <is>
          <t>CHECKS PENDIENTES</t>
        </is>
      </c>
      <c r="L1" s="2" t="inlineStr">
        <is>
          <t>TOTAL CHECKS</t>
        </is>
      </c>
      <c r="M1" s="3" t="inlineStr">
        <is>
          <t>ANTIGÜEDAD (días)</t>
        </is>
      </c>
      <c r="N1" s="4" t="inlineStr">
        <is>
          <t>CLAVE ORDEN</t>
        </is>
      </c>
      <c r="O1" s="4" t="inlineStr">
        <is>
          <t>LISTA TRELLO</t>
        </is>
      </c>
      <c r="P1" s="4" t="inlineStr">
        <is>
          <t>DÍA DEL CORTE</t>
        </is>
      </c>
      <c r="Q1" s="4" t="inlineStr">
        <is>
          <t>LINK TRELLO</t>
        </is>
      </c>
      <c r="S1" s="87" t="inlineStr">
        <is>
          <t>FUENTE Y TRAZABILIDAD</t>
        </is>
      </c>
    </row>
    <row r="2" ht="14.25" customHeight="1">
      <c r="A2" s="5" t="inlineStr">
        <is>
          <t>1CS13</t>
        </is>
      </c>
      <c r="B2" s="6" t="inlineStr">
        <is>
          <t>CONCRETO EN FALSA ZAPATA</t>
        </is>
      </c>
      <c r="C2" s="6" t="inlineStr">
        <is>
          <t>Concreto</t>
        </is>
      </c>
      <c r="D2" s="7">
        <f>DATE(2026,8,26)+TIME(18,30,0)</f>
        <v/>
      </c>
      <c r="E2" s="91" t="n">
        <v>0</v>
      </c>
      <c r="F2" s="91" t="n">
        <v>5</v>
      </c>
      <c r="G2" s="91" t="n">
        <v>0</v>
      </c>
      <c r="H2" s="91" t="n">
        <v>1</v>
      </c>
      <c r="I2" s="91" t="n">
        <v>0</v>
      </c>
      <c r="J2" s="91" t="n">
        <v>0</v>
      </c>
      <c r="K2" s="91">
        <f>IF($A2="","",SUM($E2:$J2))</f>
        <v/>
      </c>
      <c r="L2" s="91" t="n">
        <v>21</v>
      </c>
      <c r="M2" s="8">
        <f>IF($A2="","",MAX(0,ROUNDUP(DASHBOARD!$F$3-$D2,0)))</f>
        <v/>
      </c>
      <c r="N2" s="9">
        <f>IF($A2="","",$K2+(5002-ROW())/10000)</f>
        <v/>
      </c>
      <c r="O2" s="10" t="inlineStr">
        <is>
          <t>T. POR CERRAR</t>
        </is>
      </c>
      <c r="P2" s="10" t="inlineStr">
        <is>
          <t>AYER Y ANTES</t>
        </is>
      </c>
      <c r="Q2" s="10" t="inlineStr">
        <is>
          <t>https://trello.com/c/sec1trdc</t>
        </is>
      </c>
      <c r="S2" s="88">
        <f>"Trello — Tablero: CONSTRUCCIÓN DE AULAS · Listas: T. POR CERRAR ("&amp;COUNTIF($P$2:$P$201,"AYER Y ANTES")&amp;") y T. DEL DÍA ("&amp;COUNTIF($P$2:$P$201,"HOY")&amp;")"</f>
        <v/>
      </c>
    </row>
    <row r="3" ht="14.25" customHeight="1">
      <c r="A3" s="5" t="inlineStr">
        <is>
          <t>1CS11</t>
        </is>
      </c>
      <c r="B3" s="6" t="inlineStr">
        <is>
          <t>ACERO INFERIOR EN ZAPATAS</t>
        </is>
      </c>
      <c r="C3" s="6" t="inlineStr">
        <is>
          <t>Acero</t>
        </is>
      </c>
      <c r="D3" s="7">
        <f>DATE(2026,8,26)+TIME(18,30,0)</f>
        <v/>
      </c>
      <c r="E3" s="91" t="n">
        <v>0</v>
      </c>
      <c r="F3" s="91" t="n">
        <v>4</v>
      </c>
      <c r="G3" s="91" t="n">
        <v>1</v>
      </c>
      <c r="H3" s="91" t="n">
        <v>2</v>
      </c>
      <c r="I3" s="91" t="n">
        <v>0</v>
      </c>
      <c r="J3" s="91" t="n">
        <v>0</v>
      </c>
      <c r="K3" s="91">
        <f>IF($A3="","",SUM($E3:$J3))</f>
        <v/>
      </c>
      <c r="L3" s="91" t="n">
        <v>18</v>
      </c>
      <c r="M3" s="8">
        <f>IF($A3="","",MAX(0,ROUNDUP(DASHBOARD!$F$3-$D3,0)))</f>
        <v/>
      </c>
      <c r="N3" s="9">
        <f>IF($A3="","",$K3+(5002-ROW())/10000)</f>
        <v/>
      </c>
      <c r="O3" s="10" t="inlineStr">
        <is>
          <t>T. POR CERRAR</t>
        </is>
      </c>
      <c r="P3" s="10" t="inlineStr">
        <is>
          <t>AYER Y ANTES</t>
        </is>
      </c>
      <c r="Q3" s="10" t="inlineStr">
        <is>
          <t>https://trello.com/c/ZBHQBgBG</t>
        </is>
      </c>
      <c r="S3" s="89" t="inlineStr">
        <is>
          <t>https://trello.com/b/zHM9mQvq/construcción-de-aulas</t>
        </is>
      </c>
    </row>
    <row r="4" ht="14.25" customHeight="1">
      <c r="A4" s="5" t="inlineStr">
        <is>
          <t>1CS6</t>
        </is>
      </c>
      <c r="B4" s="6" t="inlineStr">
        <is>
          <t>ACERO VERTICAL DE COLUMNAS Y ESTRIBOS PARCIALES</t>
        </is>
      </c>
      <c r="C4" s="6" t="inlineStr">
        <is>
          <t>Acero</t>
        </is>
      </c>
      <c r="D4" s="7">
        <f>DATE(2026,8,26)+TIME(18,30,0)</f>
        <v/>
      </c>
      <c r="E4" s="91" t="n">
        <v>0</v>
      </c>
      <c r="F4" s="91" t="n">
        <v>0</v>
      </c>
      <c r="G4" s="91" t="n">
        <v>0</v>
      </c>
      <c r="H4" s="91" t="n">
        <v>2</v>
      </c>
      <c r="I4" s="91" t="n">
        <v>0</v>
      </c>
      <c r="J4" s="91" t="n">
        <v>0</v>
      </c>
      <c r="K4" s="91">
        <f>IF($A4="","",SUM($E4:$J4))</f>
        <v/>
      </c>
      <c r="L4" s="91" t="n">
        <v>16</v>
      </c>
      <c r="M4" s="8">
        <f>IF($A4="","",MAX(0,ROUNDUP(DASHBOARD!$F$3-$D4,0)))</f>
        <v/>
      </c>
      <c r="N4" s="9">
        <f>IF($A4="","",$K4+(5002-ROW())/10000)</f>
        <v/>
      </c>
      <c r="O4" s="10" t="inlineStr">
        <is>
          <t>T. POR CERRAR</t>
        </is>
      </c>
      <c r="P4" s="10" t="inlineStr">
        <is>
          <t>AYER Y ANTES</t>
        </is>
      </c>
      <c r="Q4" s="10" t="inlineStr">
        <is>
          <t>https://trello.com/c/AgltFa8m</t>
        </is>
      </c>
      <c r="S4" s="88">
        <f>"Descarga de Trello: "&amp;TEXT(DASHBOARD!$F$3,"dd/mm/yyyy hh:mm")&amp;" h (hora local). Los checks pendientes por responsable provienen de los checklists de cada tarjeta (ítems no marcados)."</f>
        <v/>
      </c>
    </row>
    <row r="5" ht="14.25" customHeight="1">
      <c r="A5" s="5" t="inlineStr">
        <is>
          <t>1CS5</t>
        </is>
      </c>
      <c r="B5" s="6" t="inlineStr">
        <is>
          <t>ACERO DE VIGA DE CIMENTACIÓN</t>
        </is>
      </c>
      <c r="C5" s="6" t="inlineStr">
        <is>
          <t>Acero</t>
        </is>
      </c>
      <c r="D5" s="7">
        <f>DATE(2026,8,26)+TIME(18,30,0)</f>
        <v/>
      </c>
      <c r="E5" s="91" t="n">
        <v>0</v>
      </c>
      <c r="F5" s="91" t="n">
        <v>0</v>
      </c>
      <c r="G5" s="91" t="n">
        <v>0</v>
      </c>
      <c r="H5" s="91" t="n">
        <v>2</v>
      </c>
      <c r="I5" s="91" t="n">
        <v>0</v>
      </c>
      <c r="J5" s="91" t="n">
        <v>0</v>
      </c>
      <c r="K5" s="91">
        <f>IF($A5="","",SUM($E5:$J5))</f>
        <v/>
      </c>
      <c r="L5" s="91" t="n">
        <v>18</v>
      </c>
      <c r="M5" s="8">
        <f>IF($A5="","",MAX(0,ROUNDUP(DASHBOARD!$F$3-$D5,0)))</f>
        <v/>
      </c>
      <c r="N5" s="9">
        <f>IF($A5="","",$K5+(5002-ROW())/10000)</f>
        <v/>
      </c>
      <c r="O5" s="10" t="inlineStr">
        <is>
          <t>T. POR CERRAR</t>
        </is>
      </c>
      <c r="P5" s="10" t="inlineStr">
        <is>
          <t>AYER Y ANTES</t>
        </is>
      </c>
      <c r="Q5" s="10" t="inlineStr">
        <is>
          <t>https://trello.com/c/nhoI3u1j</t>
        </is>
      </c>
    </row>
    <row r="6" ht="14.25" customHeight="1">
      <c r="A6" s="5" t="inlineStr">
        <is>
          <t>1CS5</t>
        </is>
      </c>
      <c r="B6" s="6" t="inlineStr">
        <is>
          <t>ACERO SUPERIOR EN ZAPATAS</t>
        </is>
      </c>
      <c r="C6" s="6" t="inlineStr">
        <is>
          <t>Acero</t>
        </is>
      </c>
      <c r="D6" s="7">
        <f>DATE(2026,8,26)+TIME(18,30,0)</f>
        <v/>
      </c>
      <c r="E6" s="91" t="n">
        <v>1</v>
      </c>
      <c r="F6" s="91" t="n">
        <v>0</v>
      </c>
      <c r="G6" s="91" t="n">
        <v>0</v>
      </c>
      <c r="H6" s="91" t="n">
        <v>3</v>
      </c>
      <c r="I6" s="91" t="n">
        <v>0</v>
      </c>
      <c r="J6" s="91" t="n">
        <v>0</v>
      </c>
      <c r="K6" s="91">
        <f>IF($A6="","",SUM($E6:$J6))</f>
        <v/>
      </c>
      <c r="L6" s="91" t="n">
        <v>22</v>
      </c>
      <c r="M6" s="8">
        <f>IF($A6="","",MAX(0,ROUNDUP(DASHBOARD!$F$3-$D6,0)))</f>
        <v/>
      </c>
      <c r="N6" s="9">
        <f>IF($A6="","",$K6+(5002-ROW())/10000)</f>
        <v/>
      </c>
      <c r="O6" s="10" t="inlineStr">
        <is>
          <t>T. POR CERRAR</t>
        </is>
      </c>
      <c r="P6" s="11" t="inlineStr">
        <is>
          <t>AYER Y ANTES</t>
        </is>
      </c>
      <c r="Q6" s="10" t="inlineStr">
        <is>
          <t>https://trello.com/c/v9ebbERg</t>
        </is>
      </c>
    </row>
    <row r="7" ht="14.25" customHeight="1">
      <c r="A7" s="5" t="inlineStr">
        <is>
          <t>1PS1</t>
        </is>
      </c>
      <c r="B7" s="6" t="inlineStr">
        <is>
          <t>COMPLETADO DE ESTRIBOS EN COLUMNAS Y PLACAS</t>
        </is>
      </c>
      <c r="C7" s="6" t="inlineStr">
        <is>
          <t>Acero</t>
        </is>
      </c>
      <c r="D7" s="7">
        <f>DATE(2026,8,26)+TIME(18,30,0)</f>
        <v/>
      </c>
      <c r="E7" s="91" t="n">
        <v>0</v>
      </c>
      <c r="F7" s="91" t="n">
        <v>0</v>
      </c>
      <c r="G7" s="91" t="n">
        <v>0</v>
      </c>
      <c r="H7" s="91" t="n">
        <v>2</v>
      </c>
      <c r="I7" s="91" t="n">
        <v>0</v>
      </c>
      <c r="J7" s="91" t="n">
        <v>5</v>
      </c>
      <c r="K7" s="91">
        <f>IF($A7="","",SUM($E7:$J7))</f>
        <v/>
      </c>
      <c r="L7" s="91" t="n">
        <v>26</v>
      </c>
      <c r="M7" s="8">
        <f>IF($A7="","",MAX(0,ROUNDUP(DASHBOARD!$F$3-$D7,0)))</f>
        <v/>
      </c>
      <c r="N7" s="9">
        <f>IF($A7="","",$K7+(5002-ROW())/10000)</f>
        <v/>
      </c>
      <c r="O7" s="10" t="inlineStr">
        <is>
          <t>T. POR CERRAR</t>
        </is>
      </c>
      <c r="P7" s="10" t="inlineStr">
        <is>
          <t>AYER Y ANTES</t>
        </is>
      </c>
      <c r="Q7" s="10" t="inlineStr">
        <is>
          <t>https://trello.com/c/QKxpbpkY</t>
        </is>
      </c>
    </row>
    <row r="8" ht="14.25" customHeight="1">
      <c r="A8" s="5" t="inlineStr">
        <is>
          <t>1CS2</t>
        </is>
      </c>
      <c r="B8" s="6" t="inlineStr">
        <is>
          <t>RELLENO CON AFIRMADO COMPACTADO HASTA NIVEL DE ZAPATA</t>
        </is>
      </c>
      <c r="C8" s="6" t="inlineStr">
        <is>
          <t>Relleno</t>
        </is>
      </c>
      <c r="D8" s="7">
        <f>DATE(2026,8,26)+TIME(18,30,0)</f>
        <v/>
      </c>
      <c r="E8" s="91" t="n">
        <v>0</v>
      </c>
      <c r="F8" s="91" t="n">
        <v>0</v>
      </c>
      <c r="G8" s="91" t="n">
        <v>0</v>
      </c>
      <c r="H8" s="91" t="n">
        <v>0</v>
      </c>
      <c r="I8" s="91" t="n">
        <v>0</v>
      </c>
      <c r="J8" s="91" t="n">
        <v>2</v>
      </c>
      <c r="K8" s="91">
        <f>IF($A8="","",SUM($E8:$J8))</f>
        <v/>
      </c>
      <c r="L8" s="91" t="n">
        <v>13</v>
      </c>
      <c r="M8" s="8">
        <f>IF($A8="","",MAX(0,ROUNDUP(DASHBOARD!$F$3-$D8,0)))</f>
        <v/>
      </c>
      <c r="N8" s="9">
        <f>IF($A8="","",$K8+(5002-ROW())/10000)</f>
        <v/>
      </c>
      <c r="O8" s="10" t="inlineStr">
        <is>
          <t>T. POR CERRAR</t>
        </is>
      </c>
      <c r="P8" s="10" t="inlineStr">
        <is>
          <t>AYER Y ANTES</t>
        </is>
      </c>
      <c r="Q8" s="10" t="inlineStr">
        <is>
          <t>https://trello.com/c/57IBCnhy</t>
        </is>
      </c>
    </row>
    <row r="9" ht="14.25" customHeight="1">
      <c r="A9" s="5" t="inlineStr">
        <is>
          <t>1CS4</t>
        </is>
      </c>
      <c r="B9" s="6" t="inlineStr">
        <is>
          <t>ENCOFRADO DE ZAPATA Y VIGA DE CIMENTACIÓN</t>
        </is>
      </c>
      <c r="C9" s="6" t="inlineStr">
        <is>
          <t>Encofrado</t>
        </is>
      </c>
      <c r="D9" s="7">
        <f>DATE(2026,8,26)+TIME(18,30,0)</f>
        <v/>
      </c>
      <c r="E9" s="91" t="n">
        <v>3</v>
      </c>
      <c r="F9" s="91" t="n">
        <v>5</v>
      </c>
      <c r="G9" s="91" t="n">
        <v>0</v>
      </c>
      <c r="H9" s="91" t="n">
        <v>1</v>
      </c>
      <c r="I9" s="91" t="n">
        <v>0</v>
      </c>
      <c r="J9" s="91" t="n">
        <v>0</v>
      </c>
      <c r="K9" s="91">
        <f>IF($A9="","",SUM($E9:$J9))</f>
        <v/>
      </c>
      <c r="L9" s="91" t="n">
        <v>17</v>
      </c>
      <c r="M9" s="8">
        <f>IF($A9="","",MAX(0,ROUNDUP(DASHBOARD!$F$3-$D9,0)))</f>
        <v/>
      </c>
      <c r="N9" s="9">
        <f>IF($A9="","",$K9+(5002-ROW())/10000)</f>
        <v/>
      </c>
      <c r="O9" s="10" t="inlineStr">
        <is>
          <t>T. POR CERRAR</t>
        </is>
      </c>
      <c r="P9" s="10" t="inlineStr">
        <is>
          <t>AYER Y ANTES</t>
        </is>
      </c>
      <c r="Q9" s="10" t="inlineStr">
        <is>
          <t>https://trello.com/c/YqZMtkzT</t>
        </is>
      </c>
    </row>
    <row r="10" ht="14.25" customHeight="1">
      <c r="A10" s="5" t="inlineStr">
        <is>
          <t>1CS14</t>
        </is>
      </c>
      <c r="B10" s="6" t="inlineStr">
        <is>
          <t>ENCOFRADO DE FALSA ZAPATA</t>
        </is>
      </c>
      <c r="C10" s="6" t="inlineStr">
        <is>
          <t>Encofrado</t>
        </is>
      </c>
      <c r="D10" s="7">
        <f>DATE(2026,8,26)+TIME(18,30,0)</f>
        <v/>
      </c>
      <c r="E10" s="91" t="n">
        <v>3</v>
      </c>
      <c r="F10" s="91" t="n">
        <v>7</v>
      </c>
      <c r="G10" s="91" t="n">
        <v>2</v>
      </c>
      <c r="H10" s="91" t="n">
        <v>1</v>
      </c>
      <c r="I10" s="91" t="n">
        <v>0</v>
      </c>
      <c r="J10" s="91" t="n">
        <v>0</v>
      </c>
      <c r="K10" s="91">
        <f>IF($A10="","",SUM($E10:$J10))</f>
        <v/>
      </c>
      <c r="L10" s="91" t="n">
        <v>18</v>
      </c>
      <c r="M10" s="8">
        <f>IF($A10="","",MAX(0,ROUNDUP(DASHBOARD!$F$3-$D10,0)))</f>
        <v/>
      </c>
      <c r="N10" s="9">
        <f>IF($A10="","",$K10+(5002-ROW())/10000)</f>
        <v/>
      </c>
      <c r="O10" s="10" t="inlineStr">
        <is>
          <t>T. POR CERRAR</t>
        </is>
      </c>
      <c r="P10" s="10" t="inlineStr">
        <is>
          <t>AYER Y ANTES</t>
        </is>
      </c>
      <c r="Q10" s="10" t="inlineStr">
        <is>
          <t>https://trello.com/c/MJSPIyhO</t>
        </is>
      </c>
    </row>
    <row r="11" ht="14.25" customHeight="1">
      <c r="A11" s="5" t="inlineStr">
        <is>
          <t>1CS15</t>
        </is>
      </c>
      <c r="B11" s="6" t="inlineStr">
        <is>
          <t>TRAZO Y REPLANTEO PARA EXCAVACIÓN DE CIMENTACIONES</t>
        </is>
      </c>
      <c r="C11" s="6" t="inlineStr">
        <is>
          <t>Trazo</t>
        </is>
      </c>
      <c r="D11" s="7">
        <f>DATE(2026,8,26)+TIME(18,30,0)</f>
        <v/>
      </c>
      <c r="E11" s="91" t="n">
        <v>3</v>
      </c>
      <c r="F11" s="91" t="n">
        <v>5</v>
      </c>
      <c r="G11" s="91" t="n">
        <v>0</v>
      </c>
      <c r="H11" s="91" t="n">
        <v>0</v>
      </c>
      <c r="I11" s="91" t="n">
        <v>0</v>
      </c>
      <c r="J11" s="91" t="n">
        <v>0</v>
      </c>
      <c r="K11" s="91">
        <f>IF($A11="","",SUM($E11:$J11))</f>
        <v/>
      </c>
      <c r="L11" s="91" t="n">
        <v>11</v>
      </c>
      <c r="M11" s="8">
        <f>IF($A11="","",MAX(0,ROUNDUP(DASHBOARD!$F$3-$D11,0)))</f>
        <v/>
      </c>
      <c r="N11" s="9">
        <f>IF($A11="","",$K11+(5002-ROW())/10000)</f>
        <v/>
      </c>
      <c r="O11" s="10" t="inlineStr">
        <is>
          <t>T. POR CERRAR</t>
        </is>
      </c>
      <c r="P11" s="10" t="inlineStr">
        <is>
          <t>AYER Y ANTES</t>
        </is>
      </c>
      <c r="Q11" s="10" t="inlineStr">
        <is>
          <t>https://trello.com/c/hFjlCxrD</t>
        </is>
      </c>
    </row>
    <row r="12" ht="14.25" customHeight="1">
      <c r="A12" s="5" t="inlineStr">
        <is>
          <t>1CS15</t>
        </is>
      </c>
      <c r="B12" s="6" t="inlineStr">
        <is>
          <t>EXCAVACIÓN DE CIMENTACIONES</t>
        </is>
      </c>
      <c r="C12" s="6" t="inlineStr">
        <is>
          <t>Excavación</t>
        </is>
      </c>
      <c r="D12" s="7">
        <f>DATE(2026,8,26)+TIME(18,30,0)</f>
        <v/>
      </c>
      <c r="E12" s="91" t="n">
        <v>4</v>
      </c>
      <c r="F12" s="91" t="n">
        <v>4</v>
      </c>
      <c r="G12" s="91" t="n">
        <v>0</v>
      </c>
      <c r="H12" s="91" t="n">
        <v>2</v>
      </c>
      <c r="I12" s="91" t="n">
        <v>0</v>
      </c>
      <c r="J12" s="91" t="n">
        <v>0</v>
      </c>
      <c r="K12" s="91">
        <f>IF($A12="","",SUM($E12:$J12))</f>
        <v/>
      </c>
      <c r="L12" s="91" t="n">
        <v>21</v>
      </c>
      <c r="M12" s="8">
        <f>IF($A12="","",MAX(0,ROUNDUP(DASHBOARD!$F$3-$D12,0)))</f>
        <v/>
      </c>
      <c r="N12" s="9">
        <f>IF($A12="","",$K12+(5002-ROW())/10000)</f>
        <v/>
      </c>
      <c r="O12" s="10" t="inlineStr">
        <is>
          <t>T. POR CERRAR</t>
        </is>
      </c>
      <c r="P12" s="10" t="inlineStr">
        <is>
          <t>AYER Y ANTES</t>
        </is>
      </c>
      <c r="Q12" s="10" t="inlineStr">
        <is>
          <t>https://trello.com/c/MYWqBFxs</t>
        </is>
      </c>
    </row>
    <row r="13" ht="14.25" customHeight="1">
      <c r="A13" s="5" t="inlineStr">
        <is>
          <t>1CS12</t>
        </is>
      </c>
      <c r="B13" s="6" t="inlineStr">
        <is>
          <t>ACERO INFERIOR EN ZAPATAS</t>
        </is>
      </c>
      <c r="C13" s="6" t="inlineStr">
        <is>
          <t>Acero</t>
        </is>
      </c>
      <c r="D13" s="7">
        <f>DATE(2026,8,27)+TIME(18,30,0)</f>
        <v/>
      </c>
      <c r="E13" s="91" t="n">
        <v>7</v>
      </c>
      <c r="F13" s="91" t="n">
        <v>4</v>
      </c>
      <c r="G13" s="91" t="n">
        <v>1</v>
      </c>
      <c r="H13" s="91" t="n">
        <v>2</v>
      </c>
      <c r="I13" s="91" t="n">
        <v>0</v>
      </c>
      <c r="J13" s="91" t="n">
        <v>0</v>
      </c>
      <c r="K13" s="91">
        <f>IF($A13="","",SUM($E13:$J13))</f>
        <v/>
      </c>
      <c r="L13" s="91" t="n">
        <v>18</v>
      </c>
      <c r="M13" s="8">
        <f>IF($A13="","",MAX(0,ROUNDUP(DASHBOARD!$F$3-$D13,0)))</f>
        <v/>
      </c>
      <c r="N13" s="9">
        <f>IF($A13="","",$K13+(5002-ROW())/10000)</f>
        <v/>
      </c>
      <c r="O13" s="12" t="inlineStr">
        <is>
          <t>T. DEL DÍA ACERO</t>
        </is>
      </c>
      <c r="P13" s="12" t="inlineStr">
        <is>
          <t>HOY</t>
        </is>
      </c>
      <c r="Q13" s="12" t="inlineStr">
        <is>
          <t>https://trello.com/c/aOot1TlU</t>
        </is>
      </c>
    </row>
    <row r="14" ht="14.25" customHeight="1">
      <c r="A14" s="5" t="inlineStr">
        <is>
          <t>1CS11</t>
        </is>
      </c>
      <c r="B14" s="6" t="inlineStr">
        <is>
          <t>ACERO VERTICAL DE COLUMNAS Y ESTRIBOS PARCIALES</t>
        </is>
      </c>
      <c r="C14" s="6" t="inlineStr">
        <is>
          <t>Acero</t>
        </is>
      </c>
      <c r="D14" s="7">
        <f>DATE(2026,8,27)+TIME(18,30,0)</f>
        <v/>
      </c>
      <c r="E14" s="91" t="n">
        <v>5</v>
      </c>
      <c r="F14" s="91" t="n">
        <v>4</v>
      </c>
      <c r="G14" s="91" t="n">
        <v>2</v>
      </c>
      <c r="H14" s="91" t="n">
        <v>2</v>
      </c>
      <c r="I14" s="91" t="n">
        <v>0</v>
      </c>
      <c r="J14" s="91" t="n">
        <v>3</v>
      </c>
      <c r="K14" s="91">
        <f>IF($A14="","",SUM($E14:$J14))</f>
        <v/>
      </c>
      <c r="L14" s="91" t="n">
        <v>16</v>
      </c>
      <c r="M14" s="8">
        <f>IF($A14="","",MAX(0,ROUNDUP(DASHBOARD!$F$3-$D14,0)))</f>
        <v/>
      </c>
      <c r="N14" s="9">
        <f>IF($A14="","",$K14+(5002-ROW())/10000)</f>
        <v/>
      </c>
      <c r="O14" s="12" t="inlineStr">
        <is>
          <t>T. DEL DÍA ACERO</t>
        </is>
      </c>
      <c r="P14" s="12" t="inlineStr">
        <is>
          <t>HOY</t>
        </is>
      </c>
      <c r="Q14" s="12" t="inlineStr">
        <is>
          <t>https://trello.com/c/uRdhIpHd</t>
        </is>
      </c>
    </row>
    <row r="15" ht="14.25" customHeight="1">
      <c r="A15" s="5" t="inlineStr">
        <is>
          <t>1CS6</t>
        </is>
      </c>
      <c r="B15" s="6" t="inlineStr">
        <is>
          <t>ACERO DE VIGA DE CIMENTACIÓN</t>
        </is>
      </c>
      <c r="C15" s="6" t="inlineStr">
        <is>
          <t>Acero</t>
        </is>
      </c>
      <c r="D15" s="7">
        <f>DATE(2026,8,27)+TIME(18,30,0)</f>
        <v/>
      </c>
      <c r="E15" s="91" t="n">
        <v>7</v>
      </c>
      <c r="F15" s="91" t="n">
        <v>4</v>
      </c>
      <c r="G15" s="91" t="n">
        <v>2</v>
      </c>
      <c r="H15" s="91" t="n">
        <v>2</v>
      </c>
      <c r="I15" s="91" t="n">
        <v>0</v>
      </c>
      <c r="J15" s="91" t="n">
        <v>3</v>
      </c>
      <c r="K15" s="91">
        <f>IF($A15="","",SUM($E15:$J15))</f>
        <v/>
      </c>
      <c r="L15" s="91" t="n">
        <v>18</v>
      </c>
      <c r="M15" s="8">
        <f>IF($A15="","",MAX(0,ROUNDUP(DASHBOARD!$F$3-$D15,0)))</f>
        <v/>
      </c>
      <c r="N15" s="9">
        <f>IF($A15="","",$K15+(5002-ROW())/10000)</f>
        <v/>
      </c>
      <c r="O15" s="12" t="inlineStr">
        <is>
          <t>T. DEL DÍA ACERO</t>
        </is>
      </c>
      <c r="P15" s="12" t="inlineStr">
        <is>
          <t>HOY</t>
        </is>
      </c>
      <c r="Q15" s="12" t="inlineStr">
        <is>
          <t>https://trello.com/c/jP8NrRJ1</t>
        </is>
      </c>
    </row>
    <row r="16" ht="14.25" customHeight="1">
      <c r="A16" s="5" t="inlineStr">
        <is>
          <t>1CS6</t>
        </is>
      </c>
      <c r="B16" s="6" t="inlineStr">
        <is>
          <t>ACERO SUPERIOR EN ZAPATAS</t>
        </is>
      </c>
      <c r="C16" s="6" t="inlineStr">
        <is>
          <t>Acero</t>
        </is>
      </c>
      <c r="D16" s="7">
        <f>DATE(2026,8,27)+TIME(18,30,0)</f>
        <v/>
      </c>
      <c r="E16" s="91" t="n">
        <v>2</v>
      </c>
      <c r="F16" s="91" t="n">
        <v>5</v>
      </c>
      <c r="G16" s="91" t="n">
        <v>1</v>
      </c>
      <c r="H16" s="91" t="n">
        <v>3</v>
      </c>
      <c r="I16" s="91" t="n">
        <v>0</v>
      </c>
      <c r="J16" s="91" t="n">
        <v>0</v>
      </c>
      <c r="K16" s="91">
        <f>IF($A16="","",SUM($E16:$J16))</f>
        <v/>
      </c>
      <c r="L16" s="91" t="n">
        <v>22</v>
      </c>
      <c r="M16" s="8">
        <f>IF($A16="","",MAX(0,ROUNDUP(DASHBOARD!$F$3-$D16,0)))</f>
        <v/>
      </c>
      <c r="N16" s="9">
        <f>IF($A16="","",$K16+(5002-ROW())/10000)</f>
        <v/>
      </c>
      <c r="O16" s="12" t="inlineStr">
        <is>
          <t>T. DEL DÍA ACERO</t>
        </is>
      </c>
      <c r="P16" s="12" t="inlineStr">
        <is>
          <t>HOY</t>
        </is>
      </c>
      <c r="Q16" s="12" t="inlineStr">
        <is>
          <t>https://trello.com/c/BQYYbpGR</t>
        </is>
      </c>
    </row>
    <row r="17" ht="14.25" customHeight="1">
      <c r="A17" s="5" t="inlineStr">
        <is>
          <t>1PS2</t>
        </is>
      </c>
      <c r="B17" s="6" t="inlineStr">
        <is>
          <t>COMPLETADO DE ESTRIBOS EN COLUMNAS Y PLACAS</t>
        </is>
      </c>
      <c r="C17" s="6" t="inlineStr">
        <is>
          <t>Acero</t>
        </is>
      </c>
      <c r="D17" s="7">
        <f>DATE(2026,8,27)+TIME(18,30,0)</f>
        <v/>
      </c>
      <c r="E17" s="91" t="n">
        <v>5</v>
      </c>
      <c r="F17" s="91" t="n">
        <v>5</v>
      </c>
      <c r="G17" s="91" t="n">
        <v>5</v>
      </c>
      <c r="H17" s="91" t="n">
        <v>2</v>
      </c>
      <c r="I17" s="91" t="n">
        <v>4</v>
      </c>
      <c r="J17" s="91" t="n">
        <v>5</v>
      </c>
      <c r="K17" s="91">
        <f>IF($A17="","",SUM($E17:$J17))</f>
        <v/>
      </c>
      <c r="L17" s="91" t="n">
        <v>26</v>
      </c>
      <c r="M17" s="8">
        <f>IF($A17="","",MAX(0,ROUNDUP(DASHBOARD!$F$3-$D17,0)))</f>
        <v/>
      </c>
      <c r="N17" s="9">
        <f>IF($A17="","",$K17+(5002-ROW())/10000)</f>
        <v/>
      </c>
      <c r="O17" s="12" t="inlineStr">
        <is>
          <t>T. DEL DÍA ACERO</t>
        </is>
      </c>
      <c r="P17" s="12" t="inlineStr">
        <is>
          <t>HOY</t>
        </is>
      </c>
      <c r="Q17" s="12" t="inlineStr">
        <is>
          <t>https://trello.com/c/g8Agnfym</t>
        </is>
      </c>
    </row>
    <row r="18" ht="14.25" customHeight="1">
      <c r="A18" s="5" t="inlineStr">
        <is>
          <t>1CS15</t>
        </is>
      </c>
      <c r="B18" s="6" t="inlineStr">
        <is>
          <t>ENCOFRADO DE FALSA ZAPATA</t>
        </is>
      </c>
      <c r="C18" s="6" t="inlineStr">
        <is>
          <t>Encofrado</t>
        </is>
      </c>
      <c r="D18" s="7">
        <f>DATE(2026,8,27)+TIME(18,30,0)</f>
        <v/>
      </c>
      <c r="E18" s="91" t="n">
        <v>3</v>
      </c>
      <c r="F18" s="91" t="n">
        <v>7</v>
      </c>
      <c r="G18" s="91" t="n">
        <v>2</v>
      </c>
      <c r="H18" s="91" t="n">
        <v>1</v>
      </c>
      <c r="I18" s="91" t="n">
        <v>2</v>
      </c>
      <c r="J18" s="91" t="n">
        <v>3</v>
      </c>
      <c r="K18" s="91">
        <f>IF($A18="","",SUM($E18:$J18))</f>
        <v/>
      </c>
      <c r="L18" s="91" t="n">
        <v>18</v>
      </c>
      <c r="M18" s="8">
        <f>IF($A18="","",MAX(0,ROUNDUP(DASHBOARD!$F$3-$D18,0)))</f>
        <v/>
      </c>
      <c r="N18" s="9">
        <f>IF($A18="","",$K18+(5002-ROW())/10000)</f>
        <v/>
      </c>
      <c r="O18" s="12" t="inlineStr">
        <is>
          <t>T. DEL DÍA ENCOFRADO</t>
        </is>
      </c>
      <c r="P18" s="12" t="inlineStr">
        <is>
          <t>HOY</t>
        </is>
      </c>
      <c r="Q18" s="12" t="inlineStr">
        <is>
          <t>https://trello.com/c/3ajLlFsT</t>
        </is>
      </c>
    </row>
    <row r="19" ht="14.25" customHeight="1">
      <c r="A19" s="5" t="inlineStr">
        <is>
          <t>1CS5</t>
        </is>
      </c>
      <c r="B19" s="6" t="inlineStr">
        <is>
          <t>ENCOFRADO DE ZAPATA Y VIGA DE CIMENTACIÓN</t>
        </is>
      </c>
      <c r="C19" s="6" t="inlineStr">
        <is>
          <t>Encofrado</t>
        </is>
      </c>
      <c r="D19" s="7">
        <f>DATE(2026,8,27)+TIME(18,30,0)</f>
        <v/>
      </c>
      <c r="E19" s="91" t="n">
        <v>3</v>
      </c>
      <c r="F19" s="91" t="n">
        <v>5</v>
      </c>
      <c r="G19" s="91" t="n">
        <v>4</v>
      </c>
      <c r="H19" s="91" t="n">
        <v>1</v>
      </c>
      <c r="I19" s="91" t="n">
        <v>2</v>
      </c>
      <c r="J19" s="91" t="n">
        <v>2</v>
      </c>
      <c r="K19" s="91">
        <f>IF($A19="","",SUM($E19:$J19))</f>
        <v/>
      </c>
      <c r="L19" s="91" t="n">
        <v>17</v>
      </c>
      <c r="M19" s="8">
        <f>IF($A19="","",MAX(0,ROUNDUP(DASHBOARD!$F$3-$D19,0)))</f>
        <v/>
      </c>
      <c r="N19" s="9">
        <f>IF($A19="","",$K19+(5002-ROW())/10000)</f>
        <v/>
      </c>
      <c r="O19" s="12" t="inlineStr">
        <is>
          <t>T. DEL DÍA ENCOFRADO</t>
        </is>
      </c>
      <c r="P19" s="12" t="inlineStr">
        <is>
          <t>HOY</t>
        </is>
      </c>
      <c r="Q19" s="12" t="inlineStr">
        <is>
          <t>https://trello.com/c/OXb5t9ie</t>
        </is>
      </c>
    </row>
    <row r="20" ht="14.25" customHeight="1">
      <c r="A20" s="5" t="inlineStr">
        <is>
          <t>1PS1</t>
        </is>
      </c>
      <c r="B20" s="6" t="inlineStr">
        <is>
          <t>ENCOFRADO DE COLUMNAS Y PLACAS</t>
        </is>
      </c>
      <c r="C20" s="6" t="inlineStr">
        <is>
          <t>Encofrado</t>
        </is>
      </c>
      <c r="D20" s="7">
        <f>DATE(2026,8,27)+TIME(18,30,0)</f>
        <v/>
      </c>
      <c r="E20" s="91" t="n">
        <v>3</v>
      </c>
      <c r="F20" s="91" t="n">
        <v>8</v>
      </c>
      <c r="G20" s="91" t="n">
        <v>6</v>
      </c>
      <c r="H20" s="91" t="n">
        <v>1</v>
      </c>
      <c r="I20" s="91" t="n">
        <v>0</v>
      </c>
      <c r="J20" s="91" t="n">
        <v>2</v>
      </c>
      <c r="K20" s="91">
        <f>IF($A20="","",SUM($E20:$J20))</f>
        <v/>
      </c>
      <c r="L20" s="91" t="n">
        <v>20</v>
      </c>
      <c r="M20" s="8">
        <f>IF($A20="","",MAX(0,ROUNDUP(DASHBOARD!$F$3-$D20,0)))</f>
        <v/>
      </c>
      <c r="N20" s="9">
        <f>IF($A20="","",$K20+(5002-ROW())/10000)</f>
        <v/>
      </c>
      <c r="O20" s="12" t="inlineStr">
        <is>
          <t>T. DEL DÍA ENCOFRADO</t>
        </is>
      </c>
      <c r="P20" s="12" t="inlineStr">
        <is>
          <t>HOY</t>
        </is>
      </c>
      <c r="Q20" s="12" t="inlineStr">
        <is>
          <t>https://trello.com/c/0j71oTjs</t>
        </is>
      </c>
    </row>
    <row r="21" ht="14.25" customHeight="1">
      <c r="A21" s="5" t="inlineStr">
        <is>
          <t>1CS14</t>
        </is>
      </c>
      <c r="B21" s="6" t="inlineStr">
        <is>
          <t>CONCRETO EN FALSA ZAPATA</t>
        </is>
      </c>
      <c r="C21" s="6" t="inlineStr">
        <is>
          <t>Concreto</t>
        </is>
      </c>
      <c r="D21" s="7">
        <f>DATE(2026,8,27)+TIME(18,30,0)</f>
        <v/>
      </c>
      <c r="E21" s="91" t="n">
        <v>3</v>
      </c>
      <c r="F21" s="91" t="n">
        <v>5</v>
      </c>
      <c r="G21" s="91" t="n">
        <v>7</v>
      </c>
      <c r="H21" s="91" t="n">
        <v>2</v>
      </c>
      <c r="I21" s="91" t="n">
        <v>1</v>
      </c>
      <c r="J21" s="91" t="n">
        <v>3</v>
      </c>
      <c r="K21" s="91">
        <f>IF($A21="","",SUM($E21:$J21))</f>
        <v/>
      </c>
      <c r="L21" s="91" t="n">
        <v>21</v>
      </c>
      <c r="M21" s="8">
        <f>IF($A21="","",MAX(0,ROUNDUP(DASHBOARD!$F$3-$D21,0)))</f>
        <v/>
      </c>
      <c r="N21" s="9">
        <f>IF($A21="","",$K21+(5002-ROW())/10000)</f>
        <v/>
      </c>
      <c r="O21" s="12" t="inlineStr">
        <is>
          <t>T. DEL DÍA CONCRETO Y MORTERO</t>
        </is>
      </c>
      <c r="P21" s="12" t="inlineStr">
        <is>
          <t>HOY</t>
        </is>
      </c>
      <c r="Q21" s="12" t="inlineStr">
        <is>
          <t>https://trello.com/c/2AyY2l2C</t>
        </is>
      </c>
    </row>
    <row r="22" ht="14.25" customHeight="1">
      <c r="A22" s="5" t="inlineStr">
        <is>
          <t>1CS4</t>
        </is>
      </c>
      <c r="B22" s="6" t="inlineStr">
        <is>
          <t>CONCRETO DE ZAPATA Y VIGA DE CIMENTACIÓN</t>
        </is>
      </c>
      <c r="C22" s="6" t="inlineStr">
        <is>
          <t>Concreto</t>
        </is>
      </c>
      <c r="D22" s="7">
        <f>DATE(2026,8,27)+TIME(18,30,0)</f>
        <v/>
      </c>
      <c r="E22" s="91" t="n">
        <v>3</v>
      </c>
      <c r="F22" s="91" t="n">
        <v>5</v>
      </c>
      <c r="G22" s="91" t="n">
        <v>5</v>
      </c>
      <c r="H22" s="91" t="n">
        <v>1</v>
      </c>
      <c r="I22" s="91" t="n">
        <v>1</v>
      </c>
      <c r="J22" s="91" t="n">
        <v>2</v>
      </c>
      <c r="K22" s="91">
        <f>IF($A22="","",SUM($E22:$J22))</f>
        <v/>
      </c>
      <c r="L22" s="91" t="n">
        <v>17</v>
      </c>
      <c r="M22" s="8">
        <f>IF($A22="","",MAX(0,ROUNDUP(DASHBOARD!$F$3-$D22,0)))</f>
        <v/>
      </c>
      <c r="N22" s="9">
        <f>IF($A22="","",$K22+(5002-ROW())/10000)</f>
        <v/>
      </c>
      <c r="O22" s="12" t="inlineStr">
        <is>
          <t>T. DEL DÍA CONCRETO Y MORTERO</t>
        </is>
      </c>
      <c r="P22" s="12" t="inlineStr">
        <is>
          <t>HOY</t>
        </is>
      </c>
      <c r="Q22" s="12" t="inlineStr">
        <is>
          <t>https://trello.com/c/SUsennNc</t>
        </is>
      </c>
    </row>
    <row r="23" ht="14.25" customHeight="1">
      <c r="A23" s="5" t="inlineStr">
        <is>
          <t>1CS13</t>
        </is>
      </c>
      <c r="B23" s="6" t="inlineStr">
        <is>
          <t>RELLENO CON AFIRMADO COMPACTADO HASTA NIVEL DE FALSA ZAPATA</t>
        </is>
      </c>
      <c r="C23" s="6" t="inlineStr">
        <is>
          <t>Relleno</t>
        </is>
      </c>
      <c r="D23" s="7">
        <f>DATE(2026,8,27)+TIME(18,30,0)</f>
        <v/>
      </c>
      <c r="E23" s="91" t="n">
        <v>0</v>
      </c>
      <c r="F23" s="91" t="n">
        <v>4</v>
      </c>
      <c r="G23" s="91" t="n">
        <v>4</v>
      </c>
      <c r="H23" s="91" t="n">
        <v>1</v>
      </c>
      <c r="I23" s="91" t="n">
        <v>0</v>
      </c>
      <c r="J23" s="91" t="n">
        <v>1</v>
      </c>
      <c r="K23" s="91">
        <f>IF($A23="","",SUM($E23:$J23))</f>
        <v/>
      </c>
      <c r="L23" s="91" t="n">
        <v>11</v>
      </c>
      <c r="M23" s="8">
        <f>IF($A23="","",MAX(0,ROUNDUP(DASHBOARD!$F$3-$D23,0)))</f>
        <v/>
      </c>
      <c r="N23" s="9">
        <f>IF($A23="","",$K23+(5002-ROW())/10000)</f>
        <v/>
      </c>
      <c r="O23" s="12" t="inlineStr">
        <is>
          <t>T. DEL DÍA VARIOS</t>
        </is>
      </c>
      <c r="P23" s="12" t="inlineStr">
        <is>
          <t>HOY</t>
        </is>
      </c>
      <c r="Q23" s="12" t="inlineStr">
        <is>
          <t>https://trello.com/c/HI91I8Pi</t>
        </is>
      </c>
    </row>
    <row r="24" ht="14.25" customHeight="1">
      <c r="A24" s="5" t="inlineStr">
        <is>
          <t>1CS7</t>
        </is>
      </c>
      <c r="B24" s="6" t="inlineStr">
        <is>
          <t>EXCAVACIÓN DE CIMENTACIONES</t>
        </is>
      </c>
      <c r="C24" s="6" t="inlineStr">
        <is>
          <t>Excavación</t>
        </is>
      </c>
      <c r="D24" s="7">
        <f>DATE(2026,8,27)+TIME(18,30,0)</f>
        <v/>
      </c>
      <c r="E24" s="91" t="n">
        <v>4</v>
      </c>
      <c r="F24" s="91" t="n">
        <v>4</v>
      </c>
      <c r="G24" s="91" t="n">
        <v>6</v>
      </c>
      <c r="H24" s="91" t="n">
        <v>2</v>
      </c>
      <c r="I24" s="91" t="n">
        <v>2</v>
      </c>
      <c r="J24" s="91" t="n">
        <v>3</v>
      </c>
      <c r="K24" s="91">
        <f>IF($A24="","",SUM($E24:$J24))</f>
        <v/>
      </c>
      <c r="L24" s="91" t="n">
        <v>21</v>
      </c>
      <c r="M24" s="8">
        <f>IF($A24="","",MAX(0,ROUNDUP(DASHBOARD!$F$3-$D24,0)))</f>
        <v/>
      </c>
      <c r="N24" s="9">
        <f>IF($A24="","",$K24+(5002-ROW())/10000)</f>
        <v/>
      </c>
      <c r="O24" s="12" t="inlineStr">
        <is>
          <t>T. DEL DÍA VARIOS</t>
        </is>
      </c>
      <c r="P24" s="12" t="inlineStr">
        <is>
          <t>HOY</t>
        </is>
      </c>
      <c r="Q24" s="12" t="inlineStr">
        <is>
          <t>https://trello.com/c/OWZas5ga</t>
        </is>
      </c>
    </row>
    <row r="25" ht="14.25" customHeight="1">
      <c r="A25" s="5" t="inlineStr">
        <is>
          <t>1CS3</t>
        </is>
      </c>
      <c r="B25" s="6" t="inlineStr">
        <is>
          <t>RELLENO CON AFIRMADO COMPACTADO HASTA NIVEL DE ZAPATA</t>
        </is>
      </c>
      <c r="C25" s="6" t="inlineStr">
        <is>
          <t>Relleno</t>
        </is>
      </c>
      <c r="D25" s="7">
        <f>DATE(2026,8,27)+TIME(18,30,0)</f>
        <v/>
      </c>
      <c r="E25" s="91" t="n">
        <v>0</v>
      </c>
      <c r="F25" s="91" t="n">
        <v>6</v>
      </c>
      <c r="G25" s="91" t="n">
        <v>4</v>
      </c>
      <c r="H25" s="91" t="n">
        <v>1</v>
      </c>
      <c r="I25" s="91" t="n">
        <v>0</v>
      </c>
      <c r="J25" s="91" t="n">
        <v>2</v>
      </c>
      <c r="K25" s="91">
        <f>IF($A25="","",SUM($E25:$J25))</f>
        <v/>
      </c>
      <c r="L25" s="91" t="n">
        <v>13</v>
      </c>
      <c r="M25" s="8">
        <f>IF($A25="","",MAX(0,ROUNDUP(DASHBOARD!$F$3-$D25,0)))</f>
        <v/>
      </c>
      <c r="N25" s="9">
        <f>IF($A25="","",$K25+(5002-ROW())/10000)</f>
        <v/>
      </c>
      <c r="O25" s="12" t="inlineStr">
        <is>
          <t>T. DEL DÍA VARIOS</t>
        </is>
      </c>
      <c r="P25" s="12" t="inlineStr">
        <is>
          <t>HOY</t>
        </is>
      </c>
      <c r="Q25" s="12" t="inlineStr">
        <is>
          <t>https://trello.com/c/RcGvJEBj</t>
        </is>
      </c>
    </row>
    <row r="26" ht="14.25" customHeight="1">
      <c r="A26" s="5" t="inlineStr">
        <is>
          <t>1CS7</t>
        </is>
      </c>
      <c r="B26" s="6" t="inlineStr">
        <is>
          <t>TRAZO Y REPLANTEO PARA EXCAVACIÓN DE CIMENTACIONES</t>
        </is>
      </c>
      <c r="C26" s="6" t="inlineStr">
        <is>
          <t>Trazo</t>
        </is>
      </c>
      <c r="D26" s="7">
        <f>DATE(2026,8,27)+TIME(18,30,0)</f>
        <v/>
      </c>
      <c r="E26" s="91" t="n">
        <v>3</v>
      </c>
      <c r="F26" s="91" t="n">
        <v>5</v>
      </c>
      <c r="G26" s="91" t="n">
        <v>1</v>
      </c>
      <c r="H26" s="91" t="n">
        <v>0</v>
      </c>
      <c r="I26" s="91" t="n">
        <v>0</v>
      </c>
      <c r="J26" s="91" t="n">
        <v>0</v>
      </c>
      <c r="K26" s="91">
        <f>IF($A26="","",SUM($E26:$J26))</f>
        <v/>
      </c>
      <c r="L26" s="91" t="n">
        <v>11</v>
      </c>
      <c r="M26" s="8">
        <f>IF($A26="","",MAX(0,ROUNDUP(DASHBOARD!$F$3-$D26,0)))</f>
        <v/>
      </c>
      <c r="N26" s="9">
        <f>IF($A26="","",$K26+(5002-ROW())/10000)</f>
        <v/>
      </c>
      <c r="O26" s="12" t="inlineStr">
        <is>
          <t>T. DEL DÍA VARIOS</t>
        </is>
      </c>
      <c r="P26" s="12" t="inlineStr">
        <is>
          <t>HOY</t>
        </is>
      </c>
      <c r="Q26" s="12" t="inlineStr">
        <is>
          <t>https://trello.com/c/WluWtcLO</t>
        </is>
      </c>
    </row>
    <row r="27" ht="14.25" customHeight="1">
      <c r="A27" t="inlineStr">
        <is>
          <t>1PS2</t>
        </is>
      </c>
      <c r="B27" t="inlineStr">
        <is>
          <t>TRAZO Y REPLANTEO DE COLUMNAS Y PLACAS</t>
        </is>
      </c>
      <c r="C27" t="inlineStr">
        <is>
          <t>Trazo</t>
        </is>
      </c>
      <c r="D27" s="90">
        <f>DATE(2026,8,27)+TIME(18,30,0)</f>
        <v/>
      </c>
      <c r="E27" s="92" t="n">
        <v>3</v>
      </c>
      <c r="F27" s="92" t="n">
        <v>6</v>
      </c>
      <c r="G27" s="92" t="n">
        <v>1</v>
      </c>
      <c r="H27" s="92" t="n">
        <v>0</v>
      </c>
      <c r="I27" s="92" t="n">
        <v>3</v>
      </c>
      <c r="J27" s="92" t="n">
        <v>0</v>
      </c>
      <c r="K27" s="91">
        <f>IF($A27="","",SUM($E27:$J27))</f>
        <v/>
      </c>
      <c r="L27" s="92" t="n">
        <v>13</v>
      </c>
      <c r="M27" s="8">
        <f>IF($A27="","",MAX(0,ROUNDUP(DASHBOARD!$F$3-$D27,0)))</f>
        <v/>
      </c>
      <c r="N27" s="9">
        <f>IF($A27="","",$K27+(5002-ROW())/10000)</f>
        <v/>
      </c>
      <c r="O27" t="inlineStr">
        <is>
          <t>T. DEL DÍA VARIOS</t>
        </is>
      </c>
      <c r="P27" t="inlineStr">
        <is>
          <t>HOY</t>
        </is>
      </c>
      <c r="Q27" t="inlineStr">
        <is>
          <t>https://trello.com/c/Ur6rObnM</t>
        </is>
      </c>
    </row>
    <row r="28" ht="14.25" customHeight="1">
      <c r="D28" s="90" t="n"/>
      <c r="E28" s="92" t="n"/>
      <c r="F28" s="92" t="n"/>
      <c r="G28" s="92" t="n"/>
      <c r="H28" s="92" t="n"/>
      <c r="I28" s="92" t="n"/>
      <c r="J28" s="92" t="n"/>
      <c r="K28" s="91">
        <f>IF($A28="","",SUM($E28:$J28))</f>
        <v/>
      </c>
      <c r="L28" s="92" t="n"/>
      <c r="M28" s="8">
        <f>IF($A28="","",MAX(0,ROUNDUP(DASHBOARD!$F$3-$D28,0)))</f>
        <v/>
      </c>
      <c r="N28" s="9">
        <f>IF($A28="","",$K28+(5002-ROW())/10000)</f>
        <v/>
      </c>
    </row>
    <row r="29" ht="14.25" customHeight="1">
      <c r="D29" s="90" t="n"/>
      <c r="E29" s="92" t="n"/>
      <c r="F29" s="92" t="n"/>
      <c r="G29" s="92" t="n"/>
      <c r="H29" s="92" t="n"/>
      <c r="I29" s="92" t="n"/>
      <c r="J29" s="92" t="n"/>
      <c r="K29" s="91">
        <f>IF($A29="","",SUM($E29:$J29))</f>
        <v/>
      </c>
      <c r="L29" s="92" t="n"/>
      <c r="M29" s="8">
        <f>IF($A29="","",MAX(0,ROUNDUP(DASHBOARD!$F$3-$D29,0)))</f>
        <v/>
      </c>
      <c r="N29" s="9">
        <f>IF($A29="","",$K29+(5002-ROW())/10000)</f>
        <v/>
      </c>
    </row>
    <row r="30" ht="14.25" customHeight="1">
      <c r="D30" s="90" t="n"/>
      <c r="E30" s="92" t="n"/>
      <c r="F30" s="92" t="n"/>
      <c r="G30" s="92" t="n"/>
      <c r="H30" s="92" t="n"/>
      <c r="I30" s="92" t="n"/>
      <c r="J30" s="92" t="n"/>
      <c r="K30" s="91">
        <f>IF($A30="","",SUM($E30:$J30))</f>
        <v/>
      </c>
      <c r="L30" s="92" t="n"/>
      <c r="M30" s="8">
        <f>IF($A30="","",MAX(0,ROUNDUP(DASHBOARD!$F$3-$D30,0)))</f>
        <v/>
      </c>
      <c r="N30" s="9">
        <f>IF($A30="","",$K30+(5002-ROW())/10000)</f>
        <v/>
      </c>
    </row>
    <row r="31" ht="14.25" customHeight="1">
      <c r="D31" s="90" t="n"/>
      <c r="E31" s="92" t="n"/>
      <c r="F31" s="92" t="n"/>
      <c r="G31" s="92" t="n"/>
      <c r="H31" s="92" t="n"/>
      <c r="I31" s="92" t="n"/>
      <c r="J31" s="92" t="n"/>
      <c r="K31" s="91">
        <f>IF($A31="","",SUM($E31:$J31))</f>
        <v/>
      </c>
      <c r="L31" s="92" t="n"/>
      <c r="M31" s="8">
        <f>IF($A31="","",MAX(0,ROUNDUP(DASHBOARD!$F$3-$D31,0)))</f>
        <v/>
      </c>
      <c r="N31" s="9">
        <f>IF($A31="","",$K31+(5002-ROW())/10000)</f>
        <v/>
      </c>
    </row>
    <row r="32" ht="14.25" customHeight="1">
      <c r="D32" s="90" t="n"/>
      <c r="E32" s="92" t="n"/>
      <c r="F32" s="92" t="n"/>
      <c r="G32" s="92" t="n"/>
      <c r="H32" s="92" t="n"/>
      <c r="I32" s="92" t="n"/>
      <c r="J32" s="92" t="n"/>
      <c r="K32" s="91">
        <f>IF($A32="","",SUM($E32:$J32))</f>
        <v/>
      </c>
      <c r="L32" s="92" t="n"/>
      <c r="M32" s="8">
        <f>IF($A32="","",MAX(0,ROUNDUP(DASHBOARD!$F$3-$D32,0)))</f>
        <v/>
      </c>
      <c r="N32" s="9">
        <f>IF($A32="","",$K32+(5002-ROW())/10000)</f>
        <v/>
      </c>
    </row>
    <row r="33" ht="14.25" customHeight="1">
      <c r="D33" s="90" t="n"/>
      <c r="E33" s="92" t="n"/>
      <c r="F33" s="92" t="n"/>
      <c r="G33" s="92" t="n"/>
      <c r="H33" s="92" t="n"/>
      <c r="I33" s="92" t="n"/>
      <c r="J33" s="92" t="n"/>
      <c r="K33" s="91">
        <f>IF($A33="","",SUM($E33:$J33))</f>
        <v/>
      </c>
      <c r="L33" s="92" t="n"/>
      <c r="M33" s="8">
        <f>IF($A33="","",MAX(0,ROUNDUP(DASHBOARD!$F$3-$D33,0)))</f>
        <v/>
      </c>
      <c r="N33" s="9">
        <f>IF($A33="","",$K33+(5002-ROW())/10000)</f>
        <v/>
      </c>
    </row>
    <row r="34" ht="14.25" customHeight="1">
      <c r="D34" s="90" t="n"/>
      <c r="E34" s="92" t="n"/>
      <c r="F34" s="92" t="n"/>
      <c r="G34" s="92" t="n"/>
      <c r="H34" s="92" t="n"/>
      <c r="I34" s="92" t="n"/>
      <c r="J34" s="92" t="n"/>
      <c r="K34" s="91">
        <f>IF($A34="","",SUM($E34:$J34))</f>
        <v/>
      </c>
      <c r="L34" s="92" t="n"/>
      <c r="M34" s="8">
        <f>IF($A34="","",MAX(0,ROUNDUP(DASHBOARD!$F$3-$D34,0)))</f>
        <v/>
      </c>
      <c r="N34" s="9">
        <f>IF($A34="","",$K34+(5002-ROW())/10000)</f>
        <v/>
      </c>
    </row>
    <row r="35" ht="14.25" customHeight="1">
      <c r="D35" s="90" t="n"/>
      <c r="E35" s="92" t="n"/>
      <c r="F35" s="92" t="n"/>
      <c r="G35" s="92" t="n"/>
      <c r="H35" s="92" t="n"/>
      <c r="I35" s="92" t="n"/>
      <c r="J35" s="92" t="n"/>
      <c r="K35" s="91">
        <f>IF($A35="","",SUM($E35:$J35))</f>
        <v/>
      </c>
      <c r="L35" s="92" t="n"/>
      <c r="M35" s="8">
        <f>IF($A35="","",MAX(0,ROUNDUP(DASHBOARD!$F$3-$D35,0)))</f>
        <v/>
      </c>
      <c r="N35" s="9">
        <f>IF($A35="","",$K35+(5002-ROW())/10000)</f>
        <v/>
      </c>
    </row>
    <row r="36" ht="14.25" customHeight="1">
      <c r="D36" s="90" t="n"/>
      <c r="E36" s="92" t="n"/>
      <c r="F36" s="92" t="n"/>
      <c r="G36" s="92" t="n"/>
      <c r="H36" s="92" t="n"/>
      <c r="I36" s="92" t="n"/>
      <c r="J36" s="92" t="n"/>
      <c r="K36" s="91">
        <f>IF($A36="","",SUM($E36:$J36))</f>
        <v/>
      </c>
      <c r="L36" s="92" t="n"/>
      <c r="M36" s="8">
        <f>IF($A36="","",MAX(0,ROUNDUP(DASHBOARD!$F$3-$D36,0)))</f>
        <v/>
      </c>
      <c r="N36" s="9">
        <f>IF($A36="","",$K36+(5002-ROW())/10000)</f>
        <v/>
      </c>
    </row>
    <row r="37" ht="14.25" customHeight="1">
      <c r="D37" s="90" t="n"/>
      <c r="E37" s="92" t="n"/>
      <c r="F37" s="92" t="n"/>
      <c r="G37" s="92" t="n"/>
      <c r="H37" s="92" t="n"/>
      <c r="I37" s="92" t="n"/>
      <c r="J37" s="92" t="n"/>
      <c r="K37" s="91">
        <f>IF($A37="","",SUM($E37:$J37))</f>
        <v/>
      </c>
      <c r="L37" s="92" t="n"/>
      <c r="M37" s="8">
        <f>IF($A37="","",MAX(0,ROUNDUP(DASHBOARD!$F$3-$D37,0)))</f>
        <v/>
      </c>
      <c r="N37" s="9">
        <f>IF($A37="","",$K37+(5002-ROW())/10000)</f>
        <v/>
      </c>
    </row>
    <row r="38" ht="14.25" customHeight="1">
      <c r="D38" s="90" t="n"/>
      <c r="E38" s="92" t="n"/>
      <c r="F38" s="92" t="n"/>
      <c r="G38" s="92" t="n"/>
      <c r="H38" s="92" t="n"/>
      <c r="I38" s="92" t="n"/>
      <c r="J38" s="92" t="n"/>
      <c r="K38" s="91">
        <f>IF($A38="","",SUM($E38:$J38))</f>
        <v/>
      </c>
      <c r="L38" s="92" t="n"/>
      <c r="M38" s="8">
        <f>IF($A38="","",MAX(0,ROUNDUP(DASHBOARD!$F$3-$D38,0)))</f>
        <v/>
      </c>
      <c r="N38" s="9">
        <f>IF($A38="","",$K38+(5002-ROW())/10000)</f>
        <v/>
      </c>
    </row>
    <row r="39" ht="14.25" customHeight="1">
      <c r="D39" s="90" t="n"/>
      <c r="E39" s="92" t="n"/>
      <c r="F39" s="92" t="n"/>
      <c r="G39" s="92" t="n"/>
      <c r="H39" s="92" t="n"/>
      <c r="I39" s="92" t="n"/>
      <c r="J39" s="92" t="n"/>
      <c r="K39" s="91">
        <f>IF($A39="","",SUM($E39:$J39))</f>
        <v/>
      </c>
      <c r="L39" s="92" t="n"/>
      <c r="M39" s="8">
        <f>IF($A39="","",MAX(0,ROUNDUP(DASHBOARD!$F$3-$D39,0)))</f>
        <v/>
      </c>
      <c r="N39" s="9">
        <f>IF($A39="","",$K39+(5002-ROW())/10000)</f>
        <v/>
      </c>
    </row>
    <row r="40" ht="14.25" customHeight="1">
      <c r="D40" s="90" t="n"/>
      <c r="E40" s="92" t="n"/>
      <c r="F40" s="92" t="n"/>
      <c r="G40" s="92" t="n"/>
      <c r="H40" s="92" t="n"/>
      <c r="I40" s="92" t="n"/>
      <c r="J40" s="92" t="n"/>
      <c r="K40" s="91">
        <f>IF($A40="","",SUM($E40:$J40))</f>
        <v/>
      </c>
      <c r="L40" s="92" t="n"/>
      <c r="M40" s="8">
        <f>IF($A40="","",MAX(0,ROUNDUP(DASHBOARD!$F$3-$D40,0)))</f>
        <v/>
      </c>
      <c r="N40" s="9">
        <f>IF($A40="","",$K40+(5002-ROW())/10000)</f>
        <v/>
      </c>
    </row>
    <row r="41" ht="14.25" customHeight="1">
      <c r="D41" s="90" t="n"/>
      <c r="E41" s="92" t="n"/>
      <c r="F41" s="92" t="n"/>
      <c r="G41" s="92" t="n"/>
      <c r="H41" s="92" t="n"/>
      <c r="I41" s="92" t="n"/>
      <c r="J41" s="92" t="n"/>
      <c r="K41" s="91">
        <f>IF($A41="","",SUM($E41:$J41))</f>
        <v/>
      </c>
      <c r="L41" s="92" t="n"/>
      <c r="M41" s="8">
        <f>IF($A41="","",MAX(0,ROUNDUP(DASHBOARD!$F$3-$D41,0)))</f>
        <v/>
      </c>
      <c r="N41" s="9">
        <f>IF($A41="","",$K41+(5002-ROW())/10000)</f>
        <v/>
      </c>
    </row>
    <row r="42" ht="14.25" customHeight="1">
      <c r="D42" s="90" t="n"/>
      <c r="E42" s="92" t="n"/>
      <c r="F42" s="92" t="n"/>
      <c r="G42" s="92" t="n"/>
      <c r="H42" s="92" t="n"/>
      <c r="I42" s="92" t="n"/>
      <c r="J42" s="92" t="n"/>
      <c r="K42" s="91">
        <f>IF($A42="","",SUM($E42:$J42))</f>
        <v/>
      </c>
      <c r="L42" s="92" t="n"/>
      <c r="M42" s="8">
        <f>IF($A42="","",MAX(0,ROUNDUP(DASHBOARD!$F$3-$D42,0)))</f>
        <v/>
      </c>
      <c r="N42" s="9">
        <f>IF($A42="","",$K42+(5002-ROW())/10000)</f>
        <v/>
      </c>
    </row>
    <row r="43" ht="14.25" customHeight="1">
      <c r="D43" s="90" t="n"/>
      <c r="E43" s="92" t="n"/>
      <c r="F43" s="92" t="n"/>
      <c r="G43" s="92" t="n"/>
      <c r="H43" s="92" t="n"/>
      <c r="I43" s="92" t="n"/>
      <c r="J43" s="92" t="n"/>
      <c r="K43" s="91">
        <f>IF($A43="","",SUM($E43:$J43))</f>
        <v/>
      </c>
      <c r="L43" s="92" t="n"/>
      <c r="M43" s="8">
        <f>IF($A43="","",MAX(0,ROUNDUP(DASHBOARD!$F$3-$D43,0)))</f>
        <v/>
      </c>
      <c r="N43" s="9">
        <f>IF($A43="","",$K43+(5002-ROW())/10000)</f>
        <v/>
      </c>
    </row>
    <row r="44" ht="14.25" customHeight="1">
      <c r="D44" s="90" t="n"/>
      <c r="E44" s="92" t="n"/>
      <c r="F44" s="92" t="n"/>
      <c r="G44" s="92" t="n"/>
      <c r="H44" s="92" t="n"/>
      <c r="I44" s="92" t="n"/>
      <c r="J44" s="92" t="n"/>
      <c r="K44" s="91">
        <f>IF($A44="","",SUM($E44:$J44))</f>
        <v/>
      </c>
      <c r="L44" s="92" t="n"/>
      <c r="M44" s="8">
        <f>IF($A44="","",MAX(0,ROUNDUP(DASHBOARD!$F$3-$D44,0)))</f>
        <v/>
      </c>
      <c r="N44" s="9">
        <f>IF($A44="","",$K44+(5002-ROW())/10000)</f>
        <v/>
      </c>
    </row>
    <row r="45" ht="14.25" customHeight="1">
      <c r="D45" s="90" t="n"/>
      <c r="E45" s="92" t="n"/>
      <c r="F45" s="92" t="n"/>
      <c r="G45" s="92" t="n"/>
      <c r="H45" s="92" t="n"/>
      <c r="I45" s="92" t="n"/>
      <c r="J45" s="92" t="n"/>
      <c r="K45" s="91">
        <f>IF($A45="","",SUM($E45:$J45))</f>
        <v/>
      </c>
      <c r="L45" s="92" t="n"/>
      <c r="M45" s="8">
        <f>IF($A45="","",MAX(0,ROUNDUP(DASHBOARD!$F$3-$D45,0)))</f>
        <v/>
      </c>
      <c r="N45" s="9">
        <f>IF($A45="","",$K45+(5002-ROW())/10000)</f>
        <v/>
      </c>
    </row>
    <row r="46" ht="14.25" customHeight="1">
      <c r="D46" s="90" t="n"/>
      <c r="E46" s="92" t="n"/>
      <c r="F46" s="92" t="n"/>
      <c r="G46" s="92" t="n"/>
      <c r="H46" s="92" t="n"/>
      <c r="I46" s="92" t="n"/>
      <c r="J46" s="92" t="n"/>
      <c r="K46" s="91">
        <f>IF($A46="","",SUM($E46:$J46))</f>
        <v/>
      </c>
      <c r="L46" s="92" t="n"/>
      <c r="M46" s="8">
        <f>IF($A46="","",MAX(0,ROUNDUP(DASHBOARD!$F$3-$D46,0)))</f>
        <v/>
      </c>
      <c r="N46" s="9">
        <f>IF($A46="","",$K46+(5002-ROW())/10000)</f>
        <v/>
      </c>
    </row>
    <row r="47" ht="14.25" customHeight="1">
      <c r="D47" s="90" t="n"/>
      <c r="E47" s="92" t="n"/>
      <c r="F47" s="92" t="n"/>
      <c r="G47" s="92" t="n"/>
      <c r="H47" s="92" t="n"/>
      <c r="I47" s="92" t="n"/>
      <c r="J47" s="92" t="n"/>
      <c r="K47" s="91">
        <f>IF($A47="","",SUM($E47:$J47))</f>
        <v/>
      </c>
      <c r="L47" s="92" t="n"/>
      <c r="M47" s="8">
        <f>IF($A47="","",MAX(0,ROUNDUP(DASHBOARD!$F$3-$D47,0)))</f>
        <v/>
      </c>
      <c r="N47" s="9">
        <f>IF($A47="","",$K47+(5002-ROW())/10000)</f>
        <v/>
      </c>
    </row>
    <row r="48" ht="14.25" customHeight="1">
      <c r="D48" s="90" t="n"/>
      <c r="E48" s="92" t="n"/>
      <c r="F48" s="92" t="n"/>
      <c r="G48" s="92" t="n"/>
      <c r="H48" s="92" t="n"/>
      <c r="I48" s="92" t="n"/>
      <c r="J48" s="92" t="n"/>
      <c r="K48" s="91">
        <f>IF($A48="","",SUM($E48:$J48))</f>
        <v/>
      </c>
      <c r="L48" s="92" t="n"/>
      <c r="M48" s="8">
        <f>IF($A48="","",MAX(0,ROUNDUP(DASHBOARD!$F$3-$D48,0)))</f>
        <v/>
      </c>
      <c r="N48" s="9">
        <f>IF($A48="","",$K48+(5002-ROW())/10000)</f>
        <v/>
      </c>
    </row>
    <row r="49" ht="14.25" customHeight="1">
      <c r="D49" s="90" t="n"/>
      <c r="E49" s="92" t="n"/>
      <c r="F49" s="92" t="n"/>
      <c r="G49" s="92" t="n"/>
      <c r="H49" s="92" t="n"/>
      <c r="I49" s="92" t="n"/>
      <c r="J49" s="92" t="n"/>
      <c r="K49" s="91">
        <f>IF($A49="","",SUM($E49:$J49))</f>
        <v/>
      </c>
      <c r="L49" s="92" t="n"/>
      <c r="M49" s="8">
        <f>IF($A49="","",MAX(0,ROUNDUP(DASHBOARD!$F$3-$D49,0)))</f>
        <v/>
      </c>
      <c r="N49" s="9">
        <f>IF($A49="","",$K49+(5002-ROW())/10000)</f>
        <v/>
      </c>
    </row>
    <row r="50" ht="14.25" customHeight="1">
      <c r="D50" s="90" t="n"/>
      <c r="E50" s="92" t="n"/>
      <c r="F50" s="92" t="n"/>
      <c r="G50" s="92" t="n"/>
      <c r="H50" s="92" t="n"/>
      <c r="I50" s="92" t="n"/>
      <c r="J50" s="92" t="n"/>
      <c r="K50" s="91">
        <f>IF($A50="","",SUM($E50:$J50))</f>
        <v/>
      </c>
      <c r="L50" s="92" t="n"/>
      <c r="M50" s="8">
        <f>IF($A50="","",MAX(0,ROUNDUP(DASHBOARD!$F$3-$D50,0)))</f>
        <v/>
      </c>
      <c r="N50" s="9">
        <f>IF($A50="","",$K50+(5002-ROW())/10000)</f>
        <v/>
      </c>
    </row>
    <row r="51" ht="14.25" customHeight="1">
      <c r="D51" s="90" t="n"/>
      <c r="E51" s="92" t="n"/>
      <c r="F51" s="92" t="n"/>
      <c r="G51" s="92" t="n"/>
      <c r="H51" s="92" t="n"/>
      <c r="I51" s="92" t="n"/>
      <c r="J51" s="92" t="n"/>
      <c r="K51" s="91">
        <f>IF($A51="","",SUM($E51:$J51))</f>
        <v/>
      </c>
      <c r="L51" s="92" t="n"/>
      <c r="M51" s="8">
        <f>IF($A51="","",MAX(0,ROUNDUP(DASHBOARD!$F$3-$D51,0)))</f>
        <v/>
      </c>
      <c r="N51" s="9">
        <f>IF($A51="","",$K51+(5002-ROW())/10000)</f>
        <v/>
      </c>
    </row>
    <row r="52" ht="14.25" customHeight="1">
      <c r="D52" s="90" t="n"/>
      <c r="E52" s="92" t="n"/>
      <c r="F52" s="92" t="n"/>
      <c r="G52" s="92" t="n"/>
      <c r="H52" s="92" t="n"/>
      <c r="I52" s="92" t="n"/>
      <c r="J52" s="92" t="n"/>
      <c r="K52" s="91">
        <f>IF($A52="","",SUM($E52:$J52))</f>
        <v/>
      </c>
      <c r="L52" s="92" t="n"/>
      <c r="M52" s="8">
        <f>IF($A52="","",MAX(0,ROUNDUP(DASHBOARD!$F$3-$D52,0)))</f>
        <v/>
      </c>
      <c r="N52" s="9">
        <f>IF($A52="","",$K52+(5002-ROW())/10000)</f>
        <v/>
      </c>
    </row>
    <row r="53" ht="14.25" customHeight="1">
      <c r="D53" s="90" t="n"/>
      <c r="E53" s="92" t="n"/>
      <c r="F53" s="92" t="n"/>
      <c r="G53" s="92" t="n"/>
      <c r="H53" s="92" t="n"/>
      <c r="I53" s="92" t="n"/>
      <c r="J53" s="92" t="n"/>
      <c r="K53" s="91">
        <f>IF($A53="","",SUM($E53:$J53))</f>
        <v/>
      </c>
      <c r="L53" s="92" t="n"/>
      <c r="M53" s="8">
        <f>IF($A53="","",MAX(0,ROUNDUP(DASHBOARD!$F$3-$D53,0)))</f>
        <v/>
      </c>
      <c r="N53" s="9">
        <f>IF($A53="","",$K53+(5002-ROW())/10000)</f>
        <v/>
      </c>
    </row>
    <row r="54" ht="14.25" customHeight="1">
      <c r="D54" s="90" t="n"/>
      <c r="E54" s="92" t="n"/>
      <c r="F54" s="92" t="n"/>
      <c r="G54" s="92" t="n"/>
      <c r="H54" s="92" t="n"/>
      <c r="I54" s="92" t="n"/>
      <c r="J54" s="92" t="n"/>
      <c r="K54" s="91">
        <f>IF($A54="","",SUM($E54:$J54))</f>
        <v/>
      </c>
      <c r="L54" s="92" t="n"/>
      <c r="M54" s="8">
        <f>IF($A54="","",MAX(0,ROUNDUP(DASHBOARD!$F$3-$D54,0)))</f>
        <v/>
      </c>
      <c r="N54" s="9">
        <f>IF($A54="","",$K54+(5002-ROW())/10000)</f>
        <v/>
      </c>
    </row>
    <row r="55" ht="14.25" customHeight="1">
      <c r="D55" s="90" t="n"/>
      <c r="E55" s="92" t="n"/>
      <c r="F55" s="92" t="n"/>
      <c r="G55" s="92" t="n"/>
      <c r="H55" s="92" t="n"/>
      <c r="I55" s="92" t="n"/>
      <c r="J55" s="92" t="n"/>
      <c r="K55" s="91">
        <f>IF($A55="","",SUM($E55:$J55))</f>
        <v/>
      </c>
      <c r="L55" s="92" t="n"/>
      <c r="M55" s="8">
        <f>IF($A55="","",MAX(0,ROUNDUP(DASHBOARD!$F$3-$D55,0)))</f>
        <v/>
      </c>
      <c r="N55" s="9">
        <f>IF($A55="","",$K55+(5002-ROW())/10000)</f>
        <v/>
      </c>
    </row>
    <row r="56" ht="14.25" customHeight="1">
      <c r="D56" s="90" t="n"/>
      <c r="E56" s="92" t="n"/>
      <c r="F56" s="92" t="n"/>
      <c r="G56" s="92" t="n"/>
      <c r="H56" s="92" t="n"/>
      <c r="I56" s="92" t="n"/>
      <c r="J56" s="92" t="n"/>
      <c r="K56" s="91">
        <f>IF($A56="","",SUM($E56:$J56))</f>
        <v/>
      </c>
      <c r="L56" s="92" t="n"/>
      <c r="M56" s="8">
        <f>IF($A56="","",MAX(0,ROUNDUP(DASHBOARD!$F$3-$D56,0)))</f>
        <v/>
      </c>
      <c r="N56" s="9">
        <f>IF($A56="","",$K56+(5002-ROW())/10000)</f>
        <v/>
      </c>
    </row>
    <row r="57" ht="14.25" customHeight="1">
      <c r="D57" s="90" t="n"/>
      <c r="E57" s="92" t="n"/>
      <c r="F57" s="92" t="n"/>
      <c r="G57" s="92" t="n"/>
      <c r="H57" s="92" t="n"/>
      <c r="I57" s="92" t="n"/>
      <c r="J57" s="92" t="n"/>
      <c r="K57" s="91">
        <f>IF($A57="","",SUM($E57:$J57))</f>
        <v/>
      </c>
      <c r="L57" s="92" t="n"/>
      <c r="M57" s="8">
        <f>IF($A57="","",MAX(0,ROUNDUP(DASHBOARD!$F$3-$D57,0)))</f>
        <v/>
      </c>
      <c r="N57" s="9">
        <f>IF($A57="","",$K57+(5002-ROW())/10000)</f>
        <v/>
      </c>
    </row>
    <row r="58" ht="14.25" customHeight="1">
      <c r="D58" s="90" t="n"/>
      <c r="E58" s="92" t="n"/>
      <c r="F58" s="92" t="n"/>
      <c r="G58" s="92" t="n"/>
      <c r="H58" s="92" t="n"/>
      <c r="I58" s="92" t="n"/>
      <c r="J58" s="92" t="n"/>
      <c r="K58" s="91">
        <f>IF($A58="","",SUM($E58:$J58))</f>
        <v/>
      </c>
      <c r="L58" s="92" t="n"/>
      <c r="M58" s="8">
        <f>IF($A58="","",MAX(0,ROUNDUP(DASHBOARD!$F$3-$D58,0)))</f>
        <v/>
      </c>
      <c r="N58" s="9">
        <f>IF($A58="","",$K58+(5002-ROW())/10000)</f>
        <v/>
      </c>
    </row>
    <row r="59" ht="14.25" customHeight="1">
      <c r="D59" s="90" t="n"/>
      <c r="E59" s="92" t="n"/>
      <c r="F59" s="92" t="n"/>
      <c r="G59" s="92" t="n"/>
      <c r="H59" s="92" t="n"/>
      <c r="I59" s="92" t="n"/>
      <c r="J59" s="92" t="n"/>
      <c r="K59" s="91">
        <f>IF($A59="","",SUM($E59:$J59))</f>
        <v/>
      </c>
      <c r="L59" s="92" t="n"/>
      <c r="M59" s="8">
        <f>IF($A59="","",MAX(0,ROUNDUP(DASHBOARD!$F$3-$D59,0)))</f>
        <v/>
      </c>
      <c r="N59" s="9">
        <f>IF($A59="","",$K59+(5002-ROW())/10000)</f>
        <v/>
      </c>
    </row>
    <row r="60" ht="14.25" customHeight="1">
      <c r="D60" s="90" t="n"/>
      <c r="E60" s="92" t="n"/>
      <c r="F60" s="92" t="n"/>
      <c r="G60" s="92" t="n"/>
      <c r="H60" s="92" t="n"/>
      <c r="I60" s="92" t="n"/>
      <c r="J60" s="92" t="n"/>
      <c r="K60" s="91">
        <f>IF($A60="","",SUM($E60:$J60))</f>
        <v/>
      </c>
      <c r="L60" s="92" t="n"/>
      <c r="M60" s="8">
        <f>IF($A60="","",MAX(0,ROUNDUP(DASHBOARD!$F$3-$D60,0)))</f>
        <v/>
      </c>
      <c r="N60" s="9">
        <f>IF($A60="","",$K60+(5002-ROW())/10000)</f>
        <v/>
      </c>
    </row>
    <row r="61" ht="14.25" customHeight="1">
      <c r="D61" s="90" t="n"/>
      <c r="E61" s="92" t="n"/>
      <c r="F61" s="92" t="n"/>
      <c r="G61" s="92" t="n"/>
      <c r="H61" s="92" t="n"/>
      <c r="I61" s="92" t="n"/>
      <c r="J61" s="92" t="n"/>
      <c r="K61" s="91">
        <f>IF($A61="","",SUM($E61:$J61))</f>
        <v/>
      </c>
      <c r="L61" s="92" t="n"/>
      <c r="M61" s="8">
        <f>IF($A61="","",MAX(0,ROUNDUP(DASHBOARD!$F$3-$D61,0)))</f>
        <v/>
      </c>
      <c r="N61" s="9">
        <f>IF($A61="","",$K61+(5002-ROW())/10000)</f>
        <v/>
      </c>
    </row>
    <row r="62" ht="14.25" customHeight="1">
      <c r="D62" s="90" t="n"/>
      <c r="E62" s="92" t="n"/>
      <c r="F62" s="92" t="n"/>
      <c r="G62" s="92" t="n"/>
      <c r="H62" s="92" t="n"/>
      <c r="I62" s="92" t="n"/>
      <c r="J62" s="92" t="n"/>
      <c r="K62" s="91">
        <f>IF($A62="","",SUM($E62:$J62))</f>
        <v/>
      </c>
      <c r="L62" s="92" t="n"/>
      <c r="M62" s="8">
        <f>IF($A62="","",MAX(0,ROUNDUP(DASHBOARD!$F$3-$D62,0)))</f>
        <v/>
      </c>
      <c r="N62" s="9">
        <f>IF($A62="","",$K62+(5002-ROW())/10000)</f>
        <v/>
      </c>
    </row>
    <row r="63" ht="14.25" customHeight="1">
      <c r="D63" s="90" t="n"/>
      <c r="E63" s="92" t="n"/>
      <c r="F63" s="92" t="n"/>
      <c r="G63" s="92" t="n"/>
      <c r="H63" s="92" t="n"/>
      <c r="I63" s="92" t="n"/>
      <c r="J63" s="92" t="n"/>
      <c r="K63" s="91">
        <f>IF($A63="","",SUM($E63:$J63))</f>
        <v/>
      </c>
      <c r="L63" s="92" t="n"/>
      <c r="M63" s="8">
        <f>IF($A63="","",MAX(0,ROUNDUP(DASHBOARD!$F$3-$D63,0)))</f>
        <v/>
      </c>
      <c r="N63" s="9">
        <f>IF($A63="","",$K63+(5002-ROW())/10000)</f>
        <v/>
      </c>
    </row>
    <row r="64" ht="14.25" customHeight="1">
      <c r="D64" s="90" t="n"/>
      <c r="E64" s="92" t="n"/>
      <c r="F64" s="92" t="n"/>
      <c r="G64" s="92" t="n"/>
      <c r="H64" s="92" t="n"/>
      <c r="I64" s="92" t="n"/>
      <c r="J64" s="92" t="n"/>
      <c r="K64" s="91">
        <f>IF($A64="","",SUM($E64:$J64))</f>
        <v/>
      </c>
      <c r="L64" s="92" t="n"/>
      <c r="M64" s="8">
        <f>IF($A64="","",MAX(0,ROUNDUP(DASHBOARD!$F$3-$D64,0)))</f>
        <v/>
      </c>
      <c r="N64" s="9">
        <f>IF($A64="","",$K64+(5002-ROW())/10000)</f>
        <v/>
      </c>
    </row>
    <row r="65" ht="14.25" customHeight="1">
      <c r="D65" s="90" t="n"/>
      <c r="E65" s="92" t="n"/>
      <c r="F65" s="92" t="n"/>
      <c r="G65" s="92" t="n"/>
      <c r="H65" s="92" t="n"/>
      <c r="I65" s="92" t="n"/>
      <c r="J65" s="92" t="n"/>
      <c r="K65" s="91">
        <f>IF($A65="","",SUM($E65:$J65))</f>
        <v/>
      </c>
      <c r="L65" s="92" t="n"/>
      <c r="M65" s="8">
        <f>IF($A65="","",MAX(0,ROUNDUP(DASHBOARD!$F$3-$D65,0)))</f>
        <v/>
      </c>
      <c r="N65" s="9">
        <f>IF($A65="","",$K65+(5002-ROW())/10000)</f>
        <v/>
      </c>
    </row>
    <row r="66" ht="14.25" customHeight="1">
      <c r="D66" s="90" t="n"/>
      <c r="E66" s="92" t="n"/>
      <c r="F66" s="92" t="n"/>
      <c r="G66" s="92" t="n"/>
      <c r="H66" s="92" t="n"/>
      <c r="I66" s="92" t="n"/>
      <c r="J66" s="92" t="n"/>
      <c r="K66" s="91">
        <f>IF($A66="","",SUM($E66:$J66))</f>
        <v/>
      </c>
      <c r="L66" s="92" t="n"/>
      <c r="M66" s="8">
        <f>IF($A66="","",MAX(0,ROUNDUP(DASHBOARD!$F$3-$D66,0)))</f>
        <v/>
      </c>
      <c r="N66" s="9">
        <f>IF($A66="","",$K66+(5002-ROW())/10000)</f>
        <v/>
      </c>
    </row>
    <row r="67" ht="14.25" customHeight="1">
      <c r="D67" s="90" t="n"/>
      <c r="E67" s="92" t="n"/>
      <c r="F67" s="92" t="n"/>
      <c r="G67" s="92" t="n"/>
      <c r="H67" s="92" t="n"/>
      <c r="I67" s="92" t="n"/>
      <c r="J67" s="92" t="n"/>
      <c r="K67" s="91">
        <f>IF($A67="","",SUM($E67:$J67))</f>
        <v/>
      </c>
      <c r="L67" s="92" t="n"/>
      <c r="M67" s="8">
        <f>IF($A67="","",MAX(0,ROUNDUP(DASHBOARD!$F$3-$D67,0)))</f>
        <v/>
      </c>
      <c r="N67" s="9">
        <f>IF($A67="","",$K67+(5002-ROW())/10000)</f>
        <v/>
      </c>
    </row>
    <row r="68" ht="14.25" customHeight="1">
      <c r="D68" s="90" t="n"/>
      <c r="E68" s="92" t="n"/>
      <c r="F68" s="92" t="n"/>
      <c r="G68" s="92" t="n"/>
      <c r="H68" s="92" t="n"/>
      <c r="I68" s="92" t="n"/>
      <c r="J68" s="92" t="n"/>
      <c r="K68" s="91">
        <f>IF($A68="","",SUM($E68:$J68))</f>
        <v/>
      </c>
      <c r="L68" s="92" t="n"/>
      <c r="M68" s="8">
        <f>IF($A68="","",MAX(0,ROUNDUP(DASHBOARD!$F$3-$D68,0)))</f>
        <v/>
      </c>
      <c r="N68" s="9">
        <f>IF($A68="","",$K68+(5002-ROW())/10000)</f>
        <v/>
      </c>
    </row>
    <row r="69" ht="14.25" customHeight="1">
      <c r="D69" s="90" t="n"/>
      <c r="E69" s="92" t="n"/>
      <c r="F69" s="92" t="n"/>
      <c r="G69" s="92" t="n"/>
      <c r="H69" s="92" t="n"/>
      <c r="I69" s="92" t="n"/>
      <c r="J69" s="92" t="n"/>
      <c r="K69" s="91">
        <f>IF($A69="","",SUM($E69:$J69))</f>
        <v/>
      </c>
      <c r="L69" s="92" t="n"/>
      <c r="M69" s="8">
        <f>IF($A69="","",MAX(0,ROUNDUP(DASHBOARD!$F$3-$D69,0)))</f>
        <v/>
      </c>
      <c r="N69" s="9">
        <f>IF($A69="","",$K69+(5002-ROW())/10000)</f>
        <v/>
      </c>
    </row>
    <row r="70" ht="14.25" customHeight="1">
      <c r="D70" s="90" t="n"/>
      <c r="E70" s="92" t="n"/>
      <c r="F70" s="92" t="n"/>
      <c r="G70" s="92" t="n"/>
      <c r="H70" s="92" t="n"/>
      <c r="I70" s="92" t="n"/>
      <c r="J70" s="92" t="n"/>
      <c r="K70" s="91">
        <f>IF($A70="","",SUM($E70:$J70))</f>
        <v/>
      </c>
      <c r="L70" s="92" t="n"/>
      <c r="M70" s="8">
        <f>IF($A70="","",MAX(0,ROUNDUP(DASHBOARD!$F$3-$D70,0)))</f>
        <v/>
      </c>
      <c r="N70" s="9">
        <f>IF($A70="","",$K70+(5002-ROW())/10000)</f>
        <v/>
      </c>
    </row>
    <row r="71" ht="14.25" customHeight="1">
      <c r="D71" s="90" t="n"/>
      <c r="E71" s="92" t="n"/>
      <c r="F71" s="92" t="n"/>
      <c r="G71" s="92" t="n"/>
      <c r="H71" s="92" t="n"/>
      <c r="I71" s="92" t="n"/>
      <c r="J71" s="92" t="n"/>
      <c r="K71" s="91">
        <f>IF($A71="","",SUM($E71:$J71))</f>
        <v/>
      </c>
      <c r="L71" s="92" t="n"/>
      <c r="M71" s="8">
        <f>IF($A71="","",MAX(0,ROUNDUP(DASHBOARD!$F$3-$D71,0)))</f>
        <v/>
      </c>
      <c r="N71" s="9">
        <f>IF($A71="","",$K71+(5002-ROW())/10000)</f>
        <v/>
      </c>
    </row>
    <row r="72" ht="14.25" customHeight="1">
      <c r="D72" s="90" t="n"/>
      <c r="E72" s="92" t="n"/>
      <c r="F72" s="92" t="n"/>
      <c r="G72" s="92" t="n"/>
      <c r="H72" s="92" t="n"/>
      <c r="I72" s="92" t="n"/>
      <c r="J72" s="92" t="n"/>
      <c r="K72" s="91">
        <f>IF($A72="","",SUM($E72:$J72))</f>
        <v/>
      </c>
      <c r="L72" s="92" t="n"/>
      <c r="M72" s="8">
        <f>IF($A72="","",MAX(0,ROUNDUP(DASHBOARD!$F$3-$D72,0)))</f>
        <v/>
      </c>
      <c r="N72" s="9">
        <f>IF($A72="","",$K72+(5002-ROW())/10000)</f>
        <v/>
      </c>
    </row>
    <row r="73" ht="14.25" customHeight="1">
      <c r="D73" s="90" t="n"/>
      <c r="E73" s="92" t="n"/>
      <c r="F73" s="92" t="n"/>
      <c r="G73" s="92" t="n"/>
      <c r="H73" s="92" t="n"/>
      <c r="I73" s="92" t="n"/>
      <c r="J73" s="92" t="n"/>
      <c r="K73" s="91">
        <f>IF($A73="","",SUM($E73:$J73))</f>
        <v/>
      </c>
      <c r="L73" s="92" t="n"/>
      <c r="M73" s="8">
        <f>IF($A73="","",MAX(0,ROUNDUP(DASHBOARD!$F$3-$D73,0)))</f>
        <v/>
      </c>
      <c r="N73" s="9">
        <f>IF($A73="","",$K73+(5002-ROW())/10000)</f>
        <v/>
      </c>
    </row>
    <row r="74" ht="14.25" customHeight="1">
      <c r="D74" s="90" t="n"/>
      <c r="E74" s="92" t="n"/>
      <c r="F74" s="92" t="n"/>
      <c r="G74" s="92" t="n"/>
      <c r="H74" s="92" t="n"/>
      <c r="I74" s="92" t="n"/>
      <c r="J74" s="92" t="n"/>
      <c r="K74" s="91">
        <f>IF($A74="","",SUM($E74:$J74))</f>
        <v/>
      </c>
      <c r="L74" s="92" t="n"/>
      <c r="M74" s="8">
        <f>IF($A74="","",MAX(0,ROUNDUP(DASHBOARD!$F$3-$D74,0)))</f>
        <v/>
      </c>
      <c r="N74" s="9">
        <f>IF($A74="","",$K74+(5002-ROW())/10000)</f>
        <v/>
      </c>
    </row>
    <row r="75" ht="14.25" customHeight="1">
      <c r="D75" s="90" t="n"/>
      <c r="E75" s="92" t="n"/>
      <c r="F75" s="92" t="n"/>
      <c r="G75" s="92" t="n"/>
      <c r="H75" s="92" t="n"/>
      <c r="I75" s="92" t="n"/>
      <c r="J75" s="92" t="n"/>
      <c r="K75" s="91">
        <f>IF($A75="","",SUM($E75:$J75))</f>
        <v/>
      </c>
      <c r="L75" s="92" t="n"/>
      <c r="M75" s="8">
        <f>IF($A75="","",MAX(0,ROUNDUP(DASHBOARD!$F$3-$D75,0)))</f>
        <v/>
      </c>
      <c r="N75" s="9">
        <f>IF($A75="","",$K75+(5002-ROW())/10000)</f>
        <v/>
      </c>
    </row>
    <row r="76" ht="14.25" customHeight="1">
      <c r="D76" s="90" t="n"/>
      <c r="E76" s="92" t="n"/>
      <c r="F76" s="92" t="n"/>
      <c r="G76" s="92" t="n"/>
      <c r="H76" s="92" t="n"/>
      <c r="I76" s="92" t="n"/>
      <c r="J76" s="92" t="n"/>
      <c r="K76" s="91">
        <f>IF($A76="","",SUM($E76:$J76))</f>
        <v/>
      </c>
      <c r="L76" s="92" t="n"/>
      <c r="M76" s="8">
        <f>IF($A76="","",MAX(0,ROUNDUP(DASHBOARD!$F$3-$D76,0)))</f>
        <v/>
      </c>
      <c r="N76" s="9">
        <f>IF($A76="","",$K76+(5002-ROW())/10000)</f>
        <v/>
      </c>
    </row>
    <row r="77" ht="14.25" customHeight="1">
      <c r="D77" s="90" t="n"/>
      <c r="E77" s="92" t="n"/>
      <c r="F77" s="92" t="n"/>
      <c r="G77" s="92" t="n"/>
      <c r="H77" s="92" t="n"/>
      <c r="I77" s="92" t="n"/>
      <c r="J77" s="92" t="n"/>
      <c r="K77" s="91">
        <f>IF($A77="","",SUM($E77:$J77))</f>
        <v/>
      </c>
      <c r="L77" s="92" t="n"/>
      <c r="M77" s="8">
        <f>IF($A77="","",MAX(0,ROUNDUP(DASHBOARD!$F$3-$D77,0)))</f>
        <v/>
      </c>
      <c r="N77" s="9">
        <f>IF($A77="","",$K77+(5002-ROW())/10000)</f>
        <v/>
      </c>
    </row>
    <row r="78" ht="14.25" customHeight="1">
      <c r="D78" s="90" t="n"/>
      <c r="E78" s="92" t="n"/>
      <c r="F78" s="92" t="n"/>
      <c r="G78" s="92" t="n"/>
      <c r="H78" s="92" t="n"/>
      <c r="I78" s="92" t="n"/>
      <c r="J78" s="92" t="n"/>
      <c r="K78" s="91">
        <f>IF($A78="","",SUM($E78:$J78))</f>
        <v/>
      </c>
      <c r="L78" s="92" t="n"/>
      <c r="M78" s="8">
        <f>IF($A78="","",MAX(0,ROUNDUP(DASHBOARD!$F$3-$D78,0)))</f>
        <v/>
      </c>
      <c r="N78" s="9">
        <f>IF($A78="","",$K78+(5002-ROW())/10000)</f>
        <v/>
      </c>
    </row>
    <row r="79" ht="14.25" customHeight="1">
      <c r="D79" s="90" t="n"/>
      <c r="E79" s="92" t="n"/>
      <c r="F79" s="92" t="n"/>
      <c r="G79" s="92" t="n"/>
      <c r="H79" s="92" t="n"/>
      <c r="I79" s="92" t="n"/>
      <c r="J79" s="92" t="n"/>
      <c r="K79" s="91">
        <f>IF($A79="","",SUM($E79:$J79))</f>
        <v/>
      </c>
      <c r="L79" s="92" t="n"/>
      <c r="M79" s="8">
        <f>IF($A79="","",MAX(0,ROUNDUP(DASHBOARD!$F$3-$D79,0)))</f>
        <v/>
      </c>
      <c r="N79" s="9">
        <f>IF($A79="","",$K79+(5002-ROW())/10000)</f>
        <v/>
      </c>
    </row>
    <row r="80" ht="14.25" customHeight="1">
      <c r="D80" s="90" t="n"/>
      <c r="E80" s="92" t="n"/>
      <c r="F80" s="92" t="n"/>
      <c r="G80" s="92" t="n"/>
      <c r="H80" s="92" t="n"/>
      <c r="I80" s="92" t="n"/>
      <c r="J80" s="92" t="n"/>
      <c r="K80" s="91">
        <f>IF($A80="","",SUM($E80:$J80))</f>
        <v/>
      </c>
      <c r="L80" s="92" t="n"/>
      <c r="M80" s="8">
        <f>IF($A80="","",MAX(0,ROUNDUP(DASHBOARD!$F$3-$D80,0)))</f>
        <v/>
      </c>
      <c r="N80" s="9">
        <f>IF($A80="","",$K80+(5002-ROW())/10000)</f>
        <v/>
      </c>
    </row>
    <row r="81" ht="14.25" customHeight="1">
      <c r="D81" s="90" t="n"/>
      <c r="E81" s="92" t="n"/>
      <c r="F81" s="92" t="n"/>
      <c r="G81" s="92" t="n"/>
      <c r="H81" s="92" t="n"/>
      <c r="I81" s="92" t="n"/>
      <c r="J81" s="92" t="n"/>
      <c r="K81" s="91">
        <f>IF($A81="","",SUM($E81:$J81))</f>
        <v/>
      </c>
      <c r="L81" s="92" t="n"/>
      <c r="M81" s="8">
        <f>IF($A81="","",MAX(0,ROUNDUP(DASHBOARD!$F$3-$D81,0)))</f>
        <v/>
      </c>
      <c r="N81" s="9">
        <f>IF($A81="","",$K81+(5002-ROW())/10000)</f>
        <v/>
      </c>
    </row>
    <row r="82" ht="14.25" customHeight="1">
      <c r="D82" s="90" t="n"/>
      <c r="E82" s="92" t="n"/>
      <c r="F82" s="92" t="n"/>
      <c r="G82" s="92" t="n"/>
      <c r="H82" s="92" t="n"/>
      <c r="I82" s="92" t="n"/>
      <c r="J82" s="92" t="n"/>
      <c r="K82" s="91">
        <f>IF($A82="","",SUM($E82:$J82))</f>
        <v/>
      </c>
      <c r="L82" s="92" t="n"/>
      <c r="M82" s="8">
        <f>IF($A82="","",MAX(0,ROUNDUP(DASHBOARD!$F$3-$D82,0)))</f>
        <v/>
      </c>
      <c r="N82" s="9">
        <f>IF($A82="","",$K82+(5002-ROW())/10000)</f>
        <v/>
      </c>
    </row>
    <row r="83" ht="14.25" customHeight="1">
      <c r="D83" s="90" t="n"/>
      <c r="E83" s="92" t="n"/>
      <c r="F83" s="92" t="n"/>
      <c r="G83" s="92" t="n"/>
      <c r="H83" s="92" t="n"/>
      <c r="I83" s="92" t="n"/>
      <c r="J83" s="92" t="n"/>
      <c r="K83" s="91">
        <f>IF($A83="","",SUM($E83:$J83))</f>
        <v/>
      </c>
      <c r="L83" s="92" t="n"/>
      <c r="M83" s="8">
        <f>IF($A83="","",MAX(0,ROUNDUP(DASHBOARD!$F$3-$D83,0)))</f>
        <v/>
      </c>
      <c r="N83" s="9">
        <f>IF($A83="","",$K83+(5002-ROW())/10000)</f>
        <v/>
      </c>
    </row>
    <row r="84" ht="14.25" customHeight="1">
      <c r="D84" s="90" t="n"/>
      <c r="E84" s="92" t="n"/>
      <c r="F84" s="92" t="n"/>
      <c r="G84" s="92" t="n"/>
      <c r="H84" s="92" t="n"/>
      <c r="I84" s="92" t="n"/>
      <c r="J84" s="92" t="n"/>
      <c r="K84" s="91">
        <f>IF($A84="","",SUM($E84:$J84))</f>
        <v/>
      </c>
      <c r="L84" s="92" t="n"/>
      <c r="M84" s="8">
        <f>IF($A84="","",MAX(0,ROUNDUP(DASHBOARD!$F$3-$D84,0)))</f>
        <v/>
      </c>
      <c r="N84" s="9">
        <f>IF($A84="","",$K84+(5002-ROW())/10000)</f>
        <v/>
      </c>
    </row>
    <row r="85" ht="14.25" customHeight="1">
      <c r="D85" s="90" t="n"/>
      <c r="E85" s="92" t="n"/>
      <c r="F85" s="92" t="n"/>
      <c r="G85" s="92" t="n"/>
      <c r="H85" s="92" t="n"/>
      <c r="I85" s="92" t="n"/>
      <c r="J85" s="92" t="n"/>
      <c r="K85" s="91">
        <f>IF($A85="","",SUM($E85:$J85))</f>
        <v/>
      </c>
      <c r="L85" s="92" t="n"/>
      <c r="M85" s="8">
        <f>IF($A85="","",MAX(0,ROUNDUP(DASHBOARD!$F$3-$D85,0)))</f>
        <v/>
      </c>
      <c r="N85" s="9">
        <f>IF($A85="","",$K85+(5002-ROW())/10000)</f>
        <v/>
      </c>
    </row>
    <row r="86" ht="14.25" customHeight="1">
      <c r="D86" s="90" t="n"/>
      <c r="E86" s="92" t="n"/>
      <c r="F86" s="92" t="n"/>
      <c r="G86" s="92" t="n"/>
      <c r="H86" s="92" t="n"/>
      <c r="I86" s="92" t="n"/>
      <c r="J86" s="92" t="n"/>
      <c r="K86" s="91">
        <f>IF($A86="","",SUM($E86:$J86))</f>
        <v/>
      </c>
      <c r="L86" s="92" t="n"/>
      <c r="M86" s="8">
        <f>IF($A86="","",MAX(0,ROUNDUP(DASHBOARD!$F$3-$D86,0)))</f>
        <v/>
      </c>
      <c r="N86" s="9">
        <f>IF($A86="","",$K86+(5002-ROW())/10000)</f>
        <v/>
      </c>
    </row>
    <row r="87" ht="14.25" customHeight="1">
      <c r="D87" s="90" t="n"/>
      <c r="E87" s="92" t="n"/>
      <c r="F87" s="92" t="n"/>
      <c r="G87" s="92" t="n"/>
      <c r="H87" s="92" t="n"/>
      <c r="I87" s="92" t="n"/>
      <c r="J87" s="92" t="n"/>
      <c r="K87" s="91">
        <f>IF($A87="","",SUM($E87:$J87))</f>
        <v/>
      </c>
      <c r="L87" s="92" t="n"/>
      <c r="M87" s="8">
        <f>IF($A87="","",MAX(0,ROUNDUP(DASHBOARD!$F$3-$D87,0)))</f>
        <v/>
      </c>
      <c r="N87" s="9">
        <f>IF($A87="","",$K87+(5002-ROW())/10000)</f>
        <v/>
      </c>
    </row>
    <row r="88" ht="14.25" customHeight="1">
      <c r="D88" s="90" t="n"/>
      <c r="E88" s="92" t="n"/>
      <c r="F88" s="92" t="n"/>
      <c r="G88" s="92" t="n"/>
      <c r="H88" s="92" t="n"/>
      <c r="I88" s="92" t="n"/>
      <c r="J88" s="92" t="n"/>
      <c r="K88" s="91">
        <f>IF($A88="","",SUM($E88:$J88))</f>
        <v/>
      </c>
      <c r="L88" s="92" t="n"/>
      <c r="M88" s="8">
        <f>IF($A88="","",MAX(0,ROUNDUP(DASHBOARD!$F$3-$D88,0)))</f>
        <v/>
      </c>
      <c r="N88" s="9">
        <f>IF($A88="","",$K88+(5002-ROW())/10000)</f>
        <v/>
      </c>
    </row>
    <row r="89" ht="14.25" customHeight="1">
      <c r="D89" s="90" t="n"/>
      <c r="E89" s="92" t="n"/>
      <c r="F89" s="92" t="n"/>
      <c r="G89" s="92" t="n"/>
      <c r="H89" s="92" t="n"/>
      <c r="I89" s="92" t="n"/>
      <c r="J89" s="92" t="n"/>
      <c r="K89" s="91">
        <f>IF($A89="","",SUM($E89:$J89))</f>
        <v/>
      </c>
      <c r="L89" s="92" t="n"/>
      <c r="M89" s="8">
        <f>IF($A89="","",MAX(0,ROUNDUP(DASHBOARD!$F$3-$D89,0)))</f>
        <v/>
      </c>
      <c r="N89" s="9">
        <f>IF($A89="","",$K89+(5002-ROW())/10000)</f>
        <v/>
      </c>
    </row>
    <row r="90" ht="14.25" customHeight="1">
      <c r="D90" s="90" t="n"/>
      <c r="E90" s="92" t="n"/>
      <c r="F90" s="92" t="n"/>
      <c r="G90" s="92" t="n"/>
      <c r="H90" s="92" t="n"/>
      <c r="I90" s="92" t="n"/>
      <c r="J90" s="92" t="n"/>
      <c r="K90" s="91">
        <f>IF($A90="","",SUM($E90:$J90))</f>
        <v/>
      </c>
      <c r="L90" s="92" t="n"/>
      <c r="M90" s="8">
        <f>IF($A90="","",MAX(0,ROUNDUP(DASHBOARD!$F$3-$D90,0)))</f>
        <v/>
      </c>
      <c r="N90" s="9">
        <f>IF($A90="","",$K90+(5002-ROW())/10000)</f>
        <v/>
      </c>
    </row>
    <row r="91" ht="14.25" customHeight="1">
      <c r="D91" s="90" t="n"/>
      <c r="E91" s="92" t="n"/>
      <c r="F91" s="92" t="n"/>
      <c r="G91" s="92" t="n"/>
      <c r="H91" s="92" t="n"/>
      <c r="I91" s="92" t="n"/>
      <c r="J91" s="92" t="n"/>
      <c r="K91" s="91">
        <f>IF($A91="","",SUM($E91:$J91))</f>
        <v/>
      </c>
      <c r="L91" s="92" t="n"/>
      <c r="M91" s="8">
        <f>IF($A91="","",MAX(0,ROUNDUP(DASHBOARD!$F$3-$D91,0)))</f>
        <v/>
      </c>
      <c r="N91" s="9">
        <f>IF($A91="","",$K91+(5002-ROW())/10000)</f>
        <v/>
      </c>
    </row>
    <row r="92" ht="14.25" customHeight="1">
      <c r="D92" s="90" t="n"/>
      <c r="E92" s="92" t="n"/>
      <c r="F92" s="92" t="n"/>
      <c r="G92" s="92" t="n"/>
      <c r="H92" s="92" t="n"/>
      <c r="I92" s="92" t="n"/>
      <c r="J92" s="92" t="n"/>
      <c r="K92" s="91">
        <f>IF($A92="","",SUM($E92:$J92))</f>
        <v/>
      </c>
      <c r="L92" s="92" t="n"/>
      <c r="M92" s="8">
        <f>IF($A92="","",MAX(0,ROUNDUP(DASHBOARD!$F$3-$D92,0)))</f>
        <v/>
      </c>
      <c r="N92" s="9">
        <f>IF($A92="","",$K92+(5002-ROW())/10000)</f>
        <v/>
      </c>
    </row>
    <row r="93" ht="14.25" customHeight="1">
      <c r="D93" s="90" t="n"/>
      <c r="E93" s="92" t="n"/>
      <c r="F93" s="92" t="n"/>
      <c r="G93" s="92" t="n"/>
      <c r="H93" s="92" t="n"/>
      <c r="I93" s="92" t="n"/>
      <c r="J93" s="92" t="n"/>
      <c r="K93" s="91">
        <f>IF($A93="","",SUM($E93:$J93))</f>
        <v/>
      </c>
      <c r="L93" s="92" t="n"/>
      <c r="M93" s="8">
        <f>IF($A93="","",MAX(0,ROUNDUP(DASHBOARD!$F$3-$D93,0)))</f>
        <v/>
      </c>
      <c r="N93" s="9">
        <f>IF($A93="","",$K93+(5002-ROW())/10000)</f>
        <v/>
      </c>
    </row>
    <row r="94" ht="14.25" customHeight="1">
      <c r="D94" s="90" t="n"/>
      <c r="E94" s="92" t="n"/>
      <c r="F94" s="92" t="n"/>
      <c r="G94" s="92" t="n"/>
      <c r="H94" s="92" t="n"/>
      <c r="I94" s="92" t="n"/>
      <c r="J94" s="92" t="n"/>
      <c r="K94" s="91">
        <f>IF($A94="","",SUM($E94:$J94))</f>
        <v/>
      </c>
      <c r="L94" s="92" t="n"/>
      <c r="M94" s="8">
        <f>IF($A94="","",MAX(0,ROUNDUP(DASHBOARD!$F$3-$D94,0)))</f>
        <v/>
      </c>
      <c r="N94" s="9">
        <f>IF($A94="","",$K94+(5002-ROW())/10000)</f>
        <v/>
      </c>
    </row>
    <row r="95" ht="14.25" customHeight="1">
      <c r="D95" s="90" t="n"/>
      <c r="E95" s="92" t="n"/>
      <c r="F95" s="92" t="n"/>
      <c r="G95" s="92" t="n"/>
      <c r="H95" s="92" t="n"/>
      <c r="I95" s="92" t="n"/>
      <c r="J95" s="92" t="n"/>
      <c r="K95" s="91">
        <f>IF($A95="","",SUM($E95:$J95))</f>
        <v/>
      </c>
      <c r="L95" s="92" t="n"/>
      <c r="M95" s="8">
        <f>IF($A95="","",MAX(0,ROUNDUP(DASHBOARD!$F$3-$D95,0)))</f>
        <v/>
      </c>
      <c r="N95" s="9">
        <f>IF($A95="","",$K95+(5002-ROW())/10000)</f>
        <v/>
      </c>
    </row>
    <row r="96" ht="14.25" customHeight="1">
      <c r="D96" s="90" t="n"/>
      <c r="E96" s="92" t="n"/>
      <c r="F96" s="92" t="n"/>
      <c r="G96" s="92" t="n"/>
      <c r="H96" s="92" t="n"/>
      <c r="I96" s="92" t="n"/>
      <c r="J96" s="92" t="n"/>
      <c r="K96" s="91">
        <f>IF($A96="","",SUM($E96:$J96))</f>
        <v/>
      </c>
      <c r="L96" s="92" t="n"/>
      <c r="M96" s="8">
        <f>IF($A96="","",MAX(0,ROUNDUP(DASHBOARD!$F$3-$D96,0)))</f>
        <v/>
      </c>
      <c r="N96" s="9">
        <f>IF($A96="","",$K96+(5002-ROW())/10000)</f>
        <v/>
      </c>
    </row>
    <row r="97" ht="14.25" customHeight="1">
      <c r="D97" s="90" t="n"/>
      <c r="E97" s="92" t="n"/>
      <c r="F97" s="92" t="n"/>
      <c r="G97" s="92" t="n"/>
      <c r="H97" s="92" t="n"/>
      <c r="I97" s="92" t="n"/>
      <c r="J97" s="92" t="n"/>
      <c r="K97" s="91">
        <f>IF($A97="","",SUM($E97:$J97))</f>
        <v/>
      </c>
      <c r="L97" s="92" t="n"/>
      <c r="M97" s="8">
        <f>IF($A97="","",MAX(0,ROUNDUP(DASHBOARD!$F$3-$D97,0)))</f>
        <v/>
      </c>
      <c r="N97" s="9">
        <f>IF($A97="","",$K97+(5002-ROW())/10000)</f>
        <v/>
      </c>
    </row>
    <row r="98" ht="14.25" customHeight="1">
      <c r="D98" s="90" t="n"/>
      <c r="E98" s="92" t="n"/>
      <c r="F98" s="92" t="n"/>
      <c r="G98" s="92" t="n"/>
      <c r="H98" s="92" t="n"/>
      <c r="I98" s="92" t="n"/>
      <c r="J98" s="92" t="n"/>
      <c r="K98" s="91">
        <f>IF($A98="","",SUM($E98:$J98))</f>
        <v/>
      </c>
      <c r="L98" s="92" t="n"/>
      <c r="M98" s="8">
        <f>IF($A98="","",MAX(0,ROUNDUP(DASHBOARD!$F$3-$D98,0)))</f>
        <v/>
      </c>
      <c r="N98" s="9">
        <f>IF($A98="","",$K98+(5002-ROW())/10000)</f>
        <v/>
      </c>
    </row>
    <row r="99" ht="14.25" customHeight="1">
      <c r="D99" s="90" t="n"/>
      <c r="E99" s="92" t="n"/>
      <c r="F99" s="92" t="n"/>
      <c r="G99" s="92" t="n"/>
      <c r="H99" s="92" t="n"/>
      <c r="I99" s="92" t="n"/>
      <c r="J99" s="92" t="n"/>
      <c r="K99" s="91">
        <f>IF($A99="","",SUM($E99:$J99))</f>
        <v/>
      </c>
      <c r="L99" s="92" t="n"/>
      <c r="M99" s="8">
        <f>IF($A99="","",MAX(0,ROUNDUP(DASHBOARD!$F$3-$D99,0)))</f>
        <v/>
      </c>
      <c r="N99" s="9">
        <f>IF($A99="","",$K99+(5002-ROW())/10000)</f>
        <v/>
      </c>
    </row>
    <row r="100" ht="14.25" customHeight="1">
      <c r="D100" s="90" t="n"/>
      <c r="E100" s="92" t="n"/>
      <c r="F100" s="92" t="n"/>
      <c r="G100" s="92" t="n"/>
      <c r="H100" s="92" t="n"/>
      <c r="I100" s="92" t="n"/>
      <c r="J100" s="92" t="n"/>
      <c r="K100" s="91">
        <f>IF($A100="","",SUM($E100:$J100))</f>
        <v/>
      </c>
      <c r="L100" s="92" t="n"/>
      <c r="M100" s="8">
        <f>IF($A100="","",MAX(0,ROUNDUP(DASHBOARD!$F$3-$D100,0)))</f>
        <v/>
      </c>
      <c r="N100" s="9">
        <f>IF($A100="","",$K100+(5002-ROW())/10000)</f>
        <v/>
      </c>
    </row>
    <row r="101" ht="14.25" customHeight="1">
      <c r="D101" s="90" t="n"/>
      <c r="E101" s="92" t="n"/>
      <c r="F101" s="92" t="n"/>
      <c r="G101" s="92" t="n"/>
      <c r="H101" s="92" t="n"/>
      <c r="I101" s="92" t="n"/>
      <c r="J101" s="92" t="n"/>
      <c r="K101" s="91">
        <f>IF($A101="","",SUM($E101:$J101))</f>
        <v/>
      </c>
      <c r="L101" s="92" t="n"/>
      <c r="M101" s="8">
        <f>IF($A101="","",MAX(0,ROUNDUP(DASHBOARD!$F$3-$D101,0)))</f>
        <v/>
      </c>
      <c r="N101" s="9">
        <f>IF($A101="","",$K101+(5002-ROW())/10000)</f>
        <v/>
      </c>
    </row>
    <row r="102" ht="14.25" customHeight="1">
      <c r="D102" s="90" t="n"/>
      <c r="E102" s="92" t="n"/>
      <c r="F102" s="92" t="n"/>
      <c r="G102" s="92" t="n"/>
      <c r="H102" s="92" t="n"/>
      <c r="I102" s="92" t="n"/>
      <c r="J102" s="92" t="n"/>
      <c r="K102" s="91">
        <f>IF($A102="","",SUM($E102:$J102))</f>
        <v/>
      </c>
      <c r="L102" s="92" t="n"/>
      <c r="M102" s="8">
        <f>IF($A102="","",MAX(0,ROUNDUP(DASHBOARD!$F$3-$D102,0)))</f>
        <v/>
      </c>
      <c r="N102" s="9">
        <f>IF($A102="","",$K102+(5002-ROW())/10000)</f>
        <v/>
      </c>
    </row>
    <row r="103" ht="14.25" customHeight="1">
      <c r="D103" s="90" t="n"/>
      <c r="E103" s="92" t="n"/>
      <c r="F103" s="92" t="n"/>
      <c r="G103" s="92" t="n"/>
      <c r="H103" s="92" t="n"/>
      <c r="I103" s="92" t="n"/>
      <c r="J103" s="92" t="n"/>
      <c r="K103" s="91">
        <f>IF($A103="","",SUM($E103:$J103))</f>
        <v/>
      </c>
      <c r="L103" s="92" t="n"/>
      <c r="M103" s="8">
        <f>IF($A103="","",MAX(0,ROUNDUP(DASHBOARD!$F$3-$D103,0)))</f>
        <v/>
      </c>
      <c r="N103" s="9">
        <f>IF($A103="","",$K103+(5002-ROW())/10000)</f>
        <v/>
      </c>
    </row>
    <row r="104" ht="14.25" customHeight="1">
      <c r="D104" s="90" t="n"/>
      <c r="E104" s="92" t="n"/>
      <c r="F104" s="92" t="n"/>
      <c r="G104" s="92" t="n"/>
      <c r="H104" s="92" t="n"/>
      <c r="I104" s="92" t="n"/>
      <c r="J104" s="92" t="n"/>
      <c r="K104" s="91">
        <f>IF($A104="","",SUM($E104:$J104))</f>
        <v/>
      </c>
      <c r="L104" s="92" t="n"/>
      <c r="M104" s="8">
        <f>IF($A104="","",MAX(0,ROUNDUP(DASHBOARD!$F$3-$D104,0)))</f>
        <v/>
      </c>
      <c r="N104" s="9">
        <f>IF($A104="","",$K104+(5002-ROW())/10000)</f>
        <v/>
      </c>
    </row>
    <row r="105" ht="14.25" customHeight="1">
      <c r="D105" s="90" t="n"/>
      <c r="E105" s="92" t="n"/>
      <c r="F105" s="92" t="n"/>
      <c r="G105" s="92" t="n"/>
      <c r="H105" s="92" t="n"/>
      <c r="I105" s="92" t="n"/>
      <c r="J105" s="92" t="n"/>
      <c r="K105" s="91">
        <f>IF($A105="","",SUM($E105:$J105))</f>
        <v/>
      </c>
      <c r="L105" s="92" t="n"/>
      <c r="M105" s="8">
        <f>IF($A105="","",MAX(0,ROUNDUP(DASHBOARD!$F$3-$D105,0)))</f>
        <v/>
      </c>
      <c r="N105" s="9">
        <f>IF($A105="","",$K105+(5002-ROW())/10000)</f>
        <v/>
      </c>
    </row>
    <row r="106" ht="14.25" customHeight="1">
      <c r="D106" s="90" t="n"/>
      <c r="E106" s="92" t="n"/>
      <c r="F106" s="92" t="n"/>
      <c r="G106" s="92" t="n"/>
      <c r="H106" s="92" t="n"/>
      <c r="I106" s="92" t="n"/>
      <c r="J106" s="92" t="n"/>
      <c r="K106" s="91">
        <f>IF($A106="","",SUM($E106:$J106))</f>
        <v/>
      </c>
      <c r="L106" s="92" t="n"/>
      <c r="M106" s="8">
        <f>IF($A106="","",MAX(0,ROUNDUP(DASHBOARD!$F$3-$D106,0)))</f>
        <v/>
      </c>
      <c r="N106" s="9">
        <f>IF($A106="","",$K106+(5002-ROW())/10000)</f>
        <v/>
      </c>
    </row>
    <row r="107" ht="14.25" customHeight="1">
      <c r="D107" s="90" t="n"/>
      <c r="E107" s="92" t="n"/>
      <c r="F107" s="92" t="n"/>
      <c r="G107" s="92" t="n"/>
      <c r="H107" s="92" t="n"/>
      <c r="I107" s="92" t="n"/>
      <c r="J107" s="92" t="n"/>
      <c r="K107" s="91">
        <f>IF($A107="","",SUM($E107:$J107))</f>
        <v/>
      </c>
      <c r="L107" s="92" t="n"/>
      <c r="M107" s="8">
        <f>IF($A107="","",MAX(0,ROUNDUP(DASHBOARD!$F$3-$D107,0)))</f>
        <v/>
      </c>
      <c r="N107" s="9">
        <f>IF($A107="","",$K107+(5002-ROW())/10000)</f>
        <v/>
      </c>
    </row>
    <row r="108" ht="14.25" customHeight="1">
      <c r="D108" s="90" t="n"/>
      <c r="E108" s="92" t="n"/>
      <c r="F108" s="92" t="n"/>
      <c r="G108" s="92" t="n"/>
      <c r="H108" s="92" t="n"/>
      <c r="I108" s="92" t="n"/>
      <c r="J108" s="92" t="n"/>
      <c r="K108" s="91">
        <f>IF($A108="","",SUM($E108:$J108))</f>
        <v/>
      </c>
      <c r="L108" s="92" t="n"/>
      <c r="M108" s="8">
        <f>IF($A108="","",MAX(0,ROUNDUP(DASHBOARD!$F$3-$D108,0)))</f>
        <v/>
      </c>
      <c r="N108" s="9">
        <f>IF($A108="","",$K108+(5002-ROW())/10000)</f>
        <v/>
      </c>
    </row>
    <row r="109" ht="14.25" customHeight="1">
      <c r="D109" s="90" t="n"/>
      <c r="E109" s="92" t="n"/>
      <c r="F109" s="92" t="n"/>
      <c r="G109" s="92" t="n"/>
      <c r="H109" s="92" t="n"/>
      <c r="I109" s="92" t="n"/>
      <c r="J109" s="92" t="n"/>
      <c r="K109" s="91">
        <f>IF($A109="","",SUM($E109:$J109))</f>
        <v/>
      </c>
      <c r="L109" s="92" t="n"/>
      <c r="M109" s="8">
        <f>IF($A109="","",MAX(0,ROUNDUP(DASHBOARD!$F$3-$D109,0)))</f>
        <v/>
      </c>
      <c r="N109" s="9">
        <f>IF($A109="","",$K109+(5002-ROW())/10000)</f>
        <v/>
      </c>
    </row>
    <row r="110" ht="14.25" customHeight="1">
      <c r="D110" s="90" t="n"/>
      <c r="E110" s="92" t="n"/>
      <c r="F110" s="92" t="n"/>
      <c r="G110" s="92" t="n"/>
      <c r="H110" s="92" t="n"/>
      <c r="I110" s="92" t="n"/>
      <c r="J110" s="92" t="n"/>
      <c r="K110" s="91">
        <f>IF($A110="","",SUM($E110:$J110))</f>
        <v/>
      </c>
      <c r="L110" s="92" t="n"/>
      <c r="M110" s="8">
        <f>IF($A110="","",MAX(0,ROUNDUP(DASHBOARD!$F$3-$D110,0)))</f>
        <v/>
      </c>
      <c r="N110" s="9">
        <f>IF($A110="","",$K110+(5002-ROW())/10000)</f>
        <v/>
      </c>
    </row>
    <row r="111" ht="14.25" customHeight="1">
      <c r="D111" s="90" t="n"/>
      <c r="E111" s="92" t="n"/>
      <c r="F111" s="92" t="n"/>
      <c r="G111" s="92" t="n"/>
      <c r="H111" s="92" t="n"/>
      <c r="I111" s="92" t="n"/>
      <c r="J111" s="92" t="n"/>
      <c r="K111" s="91">
        <f>IF($A111="","",SUM($E111:$J111))</f>
        <v/>
      </c>
      <c r="L111" s="92" t="n"/>
      <c r="M111" s="8">
        <f>IF($A111="","",MAX(0,ROUNDUP(DASHBOARD!$F$3-$D111,0)))</f>
        <v/>
      </c>
      <c r="N111" s="9">
        <f>IF($A111="","",$K111+(5002-ROW())/10000)</f>
        <v/>
      </c>
    </row>
    <row r="112" ht="14.25" customHeight="1">
      <c r="D112" s="90" t="n"/>
      <c r="E112" s="92" t="n"/>
      <c r="F112" s="92" t="n"/>
      <c r="G112" s="92" t="n"/>
      <c r="H112" s="92" t="n"/>
      <c r="I112" s="92" t="n"/>
      <c r="J112" s="92" t="n"/>
      <c r="K112" s="91">
        <f>IF($A112="","",SUM($E112:$J112))</f>
        <v/>
      </c>
      <c r="L112" s="92" t="n"/>
      <c r="M112" s="8">
        <f>IF($A112="","",MAX(0,ROUNDUP(DASHBOARD!$F$3-$D112,0)))</f>
        <v/>
      </c>
      <c r="N112" s="9">
        <f>IF($A112="","",$K112+(5002-ROW())/10000)</f>
        <v/>
      </c>
    </row>
    <row r="113" ht="14.25" customHeight="1">
      <c r="D113" s="90" t="n"/>
      <c r="E113" s="92" t="n"/>
      <c r="F113" s="92" t="n"/>
      <c r="G113" s="92" t="n"/>
      <c r="H113" s="92" t="n"/>
      <c r="I113" s="92" t="n"/>
      <c r="J113" s="92" t="n"/>
      <c r="K113" s="91">
        <f>IF($A113="","",SUM($E113:$J113))</f>
        <v/>
      </c>
      <c r="L113" s="92" t="n"/>
      <c r="M113" s="8">
        <f>IF($A113="","",MAX(0,ROUNDUP(DASHBOARD!$F$3-$D113,0)))</f>
        <v/>
      </c>
      <c r="N113" s="9">
        <f>IF($A113="","",$K113+(5002-ROW())/10000)</f>
        <v/>
      </c>
    </row>
    <row r="114" ht="14.25" customHeight="1">
      <c r="D114" s="90" t="n"/>
      <c r="E114" s="92" t="n"/>
      <c r="F114" s="92" t="n"/>
      <c r="G114" s="92" t="n"/>
      <c r="H114" s="92" t="n"/>
      <c r="I114" s="92" t="n"/>
      <c r="J114" s="92" t="n"/>
      <c r="K114" s="91">
        <f>IF($A114="","",SUM($E114:$J114))</f>
        <v/>
      </c>
      <c r="L114" s="92" t="n"/>
      <c r="M114" s="8">
        <f>IF($A114="","",MAX(0,ROUNDUP(DASHBOARD!$F$3-$D114,0)))</f>
        <v/>
      </c>
      <c r="N114" s="9">
        <f>IF($A114="","",$K114+(5002-ROW())/10000)</f>
        <v/>
      </c>
    </row>
    <row r="115" ht="14.25" customHeight="1">
      <c r="D115" s="90" t="n"/>
      <c r="E115" s="92" t="n"/>
      <c r="F115" s="92" t="n"/>
      <c r="G115" s="92" t="n"/>
      <c r="H115" s="92" t="n"/>
      <c r="I115" s="92" t="n"/>
      <c r="J115" s="92" t="n"/>
      <c r="K115" s="91">
        <f>IF($A115="","",SUM($E115:$J115))</f>
        <v/>
      </c>
      <c r="L115" s="92" t="n"/>
      <c r="M115" s="8">
        <f>IF($A115="","",MAX(0,ROUNDUP(DASHBOARD!$F$3-$D115,0)))</f>
        <v/>
      </c>
      <c r="N115" s="9">
        <f>IF($A115="","",$K115+(5002-ROW())/10000)</f>
        <v/>
      </c>
    </row>
    <row r="116" ht="14.25" customHeight="1">
      <c r="D116" s="90" t="n"/>
      <c r="E116" s="92" t="n"/>
      <c r="F116" s="92" t="n"/>
      <c r="G116" s="92" t="n"/>
      <c r="H116" s="92" t="n"/>
      <c r="I116" s="92" t="n"/>
      <c r="J116" s="92" t="n"/>
      <c r="K116" s="91">
        <f>IF($A116="","",SUM($E116:$J116))</f>
        <v/>
      </c>
      <c r="L116" s="92" t="n"/>
      <c r="M116" s="8">
        <f>IF($A116="","",MAX(0,ROUNDUP(DASHBOARD!$F$3-$D116,0)))</f>
        <v/>
      </c>
      <c r="N116" s="9">
        <f>IF($A116="","",$K116+(5002-ROW())/10000)</f>
        <v/>
      </c>
    </row>
    <row r="117" ht="14.25" customHeight="1">
      <c r="D117" s="90" t="n"/>
      <c r="E117" s="92" t="n"/>
      <c r="F117" s="92" t="n"/>
      <c r="G117" s="92" t="n"/>
      <c r="H117" s="92" t="n"/>
      <c r="I117" s="92" t="n"/>
      <c r="J117" s="92" t="n"/>
      <c r="K117" s="91">
        <f>IF($A117="","",SUM($E117:$J117))</f>
        <v/>
      </c>
      <c r="L117" s="92" t="n"/>
      <c r="M117" s="8">
        <f>IF($A117="","",MAX(0,ROUNDUP(DASHBOARD!$F$3-$D117,0)))</f>
        <v/>
      </c>
      <c r="N117" s="9">
        <f>IF($A117="","",$K117+(5002-ROW())/10000)</f>
        <v/>
      </c>
    </row>
    <row r="118" ht="14.25" customHeight="1">
      <c r="D118" s="90" t="n"/>
      <c r="E118" s="92" t="n"/>
      <c r="F118" s="92" t="n"/>
      <c r="G118" s="92" t="n"/>
      <c r="H118" s="92" t="n"/>
      <c r="I118" s="92" t="n"/>
      <c r="J118" s="92" t="n"/>
      <c r="K118" s="91">
        <f>IF($A118="","",SUM($E118:$J118))</f>
        <v/>
      </c>
      <c r="L118" s="92" t="n"/>
      <c r="M118" s="8">
        <f>IF($A118="","",MAX(0,ROUNDUP(DASHBOARD!$F$3-$D118,0)))</f>
        <v/>
      </c>
      <c r="N118" s="9">
        <f>IF($A118="","",$K118+(5002-ROW())/10000)</f>
        <v/>
      </c>
    </row>
    <row r="119" ht="14.25" customHeight="1">
      <c r="D119" s="90" t="n"/>
      <c r="E119" s="92" t="n"/>
      <c r="F119" s="92" t="n"/>
      <c r="G119" s="92" t="n"/>
      <c r="H119" s="92" t="n"/>
      <c r="I119" s="92" t="n"/>
      <c r="J119" s="92" t="n"/>
      <c r="K119" s="91">
        <f>IF($A119="","",SUM($E119:$J119))</f>
        <v/>
      </c>
      <c r="L119" s="92" t="n"/>
      <c r="M119" s="8">
        <f>IF($A119="","",MAX(0,ROUNDUP(DASHBOARD!$F$3-$D119,0)))</f>
        <v/>
      </c>
      <c r="N119" s="9">
        <f>IF($A119="","",$K119+(5002-ROW())/10000)</f>
        <v/>
      </c>
    </row>
    <row r="120" ht="14.25" customHeight="1">
      <c r="D120" s="90" t="n"/>
      <c r="E120" s="92" t="n"/>
      <c r="F120" s="92" t="n"/>
      <c r="G120" s="92" t="n"/>
      <c r="H120" s="92" t="n"/>
      <c r="I120" s="92" t="n"/>
      <c r="J120" s="92" t="n"/>
      <c r="K120" s="91">
        <f>IF($A120="","",SUM($E120:$J120))</f>
        <v/>
      </c>
      <c r="L120" s="92" t="n"/>
      <c r="M120" s="8">
        <f>IF($A120="","",MAX(0,ROUNDUP(DASHBOARD!$F$3-$D120,0)))</f>
        <v/>
      </c>
      <c r="N120" s="9">
        <f>IF($A120="","",$K120+(5002-ROW())/10000)</f>
        <v/>
      </c>
    </row>
    <row r="121" ht="14.25" customHeight="1">
      <c r="D121" s="90" t="n"/>
      <c r="E121" s="92" t="n"/>
      <c r="F121" s="92" t="n"/>
      <c r="G121" s="92" t="n"/>
      <c r="H121" s="92" t="n"/>
      <c r="I121" s="92" t="n"/>
      <c r="J121" s="92" t="n"/>
      <c r="K121" s="91">
        <f>IF($A121="","",SUM($E121:$J121))</f>
        <v/>
      </c>
      <c r="L121" s="92" t="n"/>
      <c r="M121" s="8">
        <f>IF($A121="","",MAX(0,ROUNDUP(DASHBOARD!$F$3-$D121,0)))</f>
        <v/>
      </c>
      <c r="N121" s="9">
        <f>IF($A121="","",$K121+(5002-ROW())/10000)</f>
        <v/>
      </c>
    </row>
    <row r="122" ht="14.25" customHeight="1">
      <c r="D122" s="90" t="n"/>
      <c r="E122" s="92" t="n"/>
      <c r="F122" s="92" t="n"/>
      <c r="G122" s="92" t="n"/>
      <c r="H122" s="92" t="n"/>
      <c r="I122" s="92" t="n"/>
      <c r="J122" s="92" t="n"/>
      <c r="K122" s="91">
        <f>IF($A122="","",SUM($E122:$J122))</f>
        <v/>
      </c>
      <c r="L122" s="92" t="n"/>
      <c r="M122" s="8">
        <f>IF($A122="","",MAX(0,ROUNDUP(DASHBOARD!$F$3-$D122,0)))</f>
        <v/>
      </c>
      <c r="N122" s="9">
        <f>IF($A122="","",$K122+(5002-ROW())/10000)</f>
        <v/>
      </c>
    </row>
    <row r="123" ht="14.25" customHeight="1">
      <c r="D123" s="90" t="n"/>
      <c r="E123" s="92" t="n"/>
      <c r="F123" s="92" t="n"/>
      <c r="G123" s="92" t="n"/>
      <c r="H123" s="92" t="n"/>
      <c r="I123" s="92" t="n"/>
      <c r="J123" s="92" t="n"/>
      <c r="K123" s="91">
        <f>IF($A123="","",SUM($E123:$J123))</f>
        <v/>
      </c>
      <c r="L123" s="92" t="n"/>
      <c r="M123" s="8">
        <f>IF($A123="","",MAX(0,ROUNDUP(DASHBOARD!$F$3-$D123,0)))</f>
        <v/>
      </c>
      <c r="N123" s="9">
        <f>IF($A123="","",$K123+(5002-ROW())/10000)</f>
        <v/>
      </c>
    </row>
    <row r="124" ht="14.25" customHeight="1">
      <c r="D124" s="90" t="n"/>
      <c r="E124" s="92" t="n"/>
      <c r="F124" s="92" t="n"/>
      <c r="G124" s="92" t="n"/>
      <c r="H124" s="92" t="n"/>
      <c r="I124" s="92" t="n"/>
      <c r="J124" s="92" t="n"/>
      <c r="K124" s="91">
        <f>IF($A124="","",SUM($E124:$J124))</f>
        <v/>
      </c>
      <c r="L124" s="92" t="n"/>
      <c r="M124" s="8">
        <f>IF($A124="","",MAX(0,ROUNDUP(DASHBOARD!$F$3-$D124,0)))</f>
        <v/>
      </c>
      <c r="N124" s="9">
        <f>IF($A124="","",$K124+(5002-ROW())/10000)</f>
        <v/>
      </c>
    </row>
    <row r="125" ht="14.25" customHeight="1">
      <c r="D125" s="90" t="n"/>
      <c r="E125" s="92" t="n"/>
      <c r="F125" s="92" t="n"/>
      <c r="G125" s="92" t="n"/>
      <c r="H125" s="92" t="n"/>
      <c r="I125" s="92" t="n"/>
      <c r="J125" s="92" t="n"/>
      <c r="K125" s="91">
        <f>IF($A125="","",SUM($E125:$J125))</f>
        <v/>
      </c>
      <c r="L125" s="92" t="n"/>
      <c r="M125" s="8">
        <f>IF($A125="","",MAX(0,ROUNDUP(DASHBOARD!$F$3-$D125,0)))</f>
        <v/>
      </c>
      <c r="N125" s="9">
        <f>IF($A125="","",$K125+(5002-ROW())/10000)</f>
        <v/>
      </c>
    </row>
    <row r="126" ht="14.25" customHeight="1">
      <c r="D126" s="90" t="n"/>
      <c r="E126" s="92" t="n"/>
      <c r="F126" s="92" t="n"/>
      <c r="G126" s="92" t="n"/>
      <c r="H126" s="92" t="n"/>
      <c r="I126" s="92" t="n"/>
      <c r="J126" s="92" t="n"/>
      <c r="K126" s="91">
        <f>IF($A126="","",SUM($E126:$J126))</f>
        <v/>
      </c>
      <c r="L126" s="92" t="n"/>
      <c r="M126" s="8">
        <f>IF($A126="","",MAX(0,ROUNDUP(DASHBOARD!$F$3-$D126,0)))</f>
        <v/>
      </c>
      <c r="N126" s="9">
        <f>IF($A126="","",$K126+(5002-ROW())/10000)</f>
        <v/>
      </c>
    </row>
    <row r="127" ht="14.25" customHeight="1">
      <c r="D127" s="90" t="n"/>
      <c r="E127" s="92" t="n"/>
      <c r="F127" s="92" t="n"/>
      <c r="G127" s="92" t="n"/>
      <c r="H127" s="92" t="n"/>
      <c r="I127" s="92" t="n"/>
      <c r="J127" s="92" t="n"/>
      <c r="K127" s="91">
        <f>IF($A127="","",SUM($E127:$J127))</f>
        <v/>
      </c>
      <c r="L127" s="92" t="n"/>
      <c r="M127" s="8">
        <f>IF($A127="","",MAX(0,ROUNDUP(DASHBOARD!$F$3-$D127,0)))</f>
        <v/>
      </c>
      <c r="N127" s="9">
        <f>IF($A127="","",$K127+(5002-ROW())/10000)</f>
        <v/>
      </c>
    </row>
    <row r="128" ht="14.25" customHeight="1">
      <c r="D128" s="90" t="n"/>
      <c r="E128" s="92" t="n"/>
      <c r="F128" s="92" t="n"/>
      <c r="G128" s="92" t="n"/>
      <c r="H128" s="92" t="n"/>
      <c r="I128" s="92" t="n"/>
      <c r="J128" s="92" t="n"/>
      <c r="K128" s="91">
        <f>IF($A128="","",SUM($E128:$J128))</f>
        <v/>
      </c>
      <c r="L128" s="92" t="n"/>
      <c r="M128" s="8">
        <f>IF($A128="","",MAX(0,ROUNDUP(DASHBOARD!$F$3-$D128,0)))</f>
        <v/>
      </c>
      <c r="N128" s="9">
        <f>IF($A128="","",$K128+(5002-ROW())/10000)</f>
        <v/>
      </c>
    </row>
    <row r="129" ht="14.25" customHeight="1">
      <c r="D129" s="90" t="n"/>
      <c r="E129" s="92" t="n"/>
      <c r="F129" s="92" t="n"/>
      <c r="G129" s="92" t="n"/>
      <c r="H129" s="92" t="n"/>
      <c r="I129" s="92" t="n"/>
      <c r="J129" s="92" t="n"/>
      <c r="K129" s="91">
        <f>IF($A129="","",SUM($E129:$J129))</f>
        <v/>
      </c>
      <c r="L129" s="92" t="n"/>
      <c r="M129" s="8">
        <f>IF($A129="","",MAX(0,ROUNDUP(DASHBOARD!$F$3-$D129,0)))</f>
        <v/>
      </c>
      <c r="N129" s="9">
        <f>IF($A129="","",$K129+(5002-ROW())/10000)</f>
        <v/>
      </c>
    </row>
    <row r="130" ht="14.25" customHeight="1">
      <c r="D130" s="90" t="n"/>
      <c r="E130" s="92" t="n"/>
      <c r="F130" s="92" t="n"/>
      <c r="G130" s="92" t="n"/>
      <c r="H130" s="92" t="n"/>
      <c r="I130" s="92" t="n"/>
      <c r="J130" s="92" t="n"/>
      <c r="K130" s="91">
        <f>IF($A130="","",SUM($E130:$J130))</f>
        <v/>
      </c>
      <c r="L130" s="92" t="n"/>
      <c r="M130" s="8">
        <f>IF($A130="","",MAX(0,ROUNDUP(DASHBOARD!$F$3-$D130,0)))</f>
        <v/>
      </c>
      <c r="N130" s="9">
        <f>IF($A130="","",$K130+(5002-ROW())/10000)</f>
        <v/>
      </c>
    </row>
    <row r="131" ht="14.25" customHeight="1">
      <c r="D131" s="90" t="n"/>
      <c r="E131" s="92" t="n"/>
      <c r="F131" s="92" t="n"/>
      <c r="G131" s="92" t="n"/>
      <c r="H131" s="92" t="n"/>
      <c r="I131" s="92" t="n"/>
      <c r="J131" s="92" t="n"/>
      <c r="K131" s="91">
        <f>IF($A131="","",SUM($E131:$J131))</f>
        <v/>
      </c>
      <c r="L131" s="92" t="n"/>
      <c r="M131" s="8">
        <f>IF($A131="","",MAX(0,ROUNDUP(DASHBOARD!$F$3-$D131,0)))</f>
        <v/>
      </c>
      <c r="N131" s="9">
        <f>IF($A131="","",$K131+(5002-ROW())/10000)</f>
        <v/>
      </c>
    </row>
    <row r="132" ht="14.25" customHeight="1">
      <c r="D132" s="90" t="n"/>
      <c r="E132" s="92" t="n"/>
      <c r="F132" s="92" t="n"/>
      <c r="G132" s="92" t="n"/>
      <c r="H132" s="92" t="n"/>
      <c r="I132" s="92" t="n"/>
      <c r="J132" s="92" t="n"/>
      <c r="K132" s="91">
        <f>IF($A132="","",SUM($E132:$J132))</f>
        <v/>
      </c>
      <c r="L132" s="92" t="n"/>
      <c r="M132" s="8">
        <f>IF($A132="","",MAX(0,ROUNDUP(DASHBOARD!$F$3-$D132,0)))</f>
        <v/>
      </c>
      <c r="N132" s="9">
        <f>IF($A132="","",$K132+(5002-ROW())/10000)</f>
        <v/>
      </c>
    </row>
    <row r="133" ht="14.25" customHeight="1">
      <c r="D133" s="90" t="n"/>
      <c r="E133" s="92" t="n"/>
      <c r="F133" s="92" t="n"/>
      <c r="G133" s="92" t="n"/>
      <c r="H133" s="92" t="n"/>
      <c r="I133" s="92" t="n"/>
      <c r="J133" s="92" t="n"/>
      <c r="K133" s="91">
        <f>IF($A133="","",SUM($E133:$J133))</f>
        <v/>
      </c>
      <c r="L133" s="92" t="n"/>
      <c r="M133" s="8">
        <f>IF($A133="","",MAX(0,ROUNDUP(DASHBOARD!$F$3-$D133,0)))</f>
        <v/>
      </c>
      <c r="N133" s="9">
        <f>IF($A133="","",$K133+(5002-ROW())/10000)</f>
        <v/>
      </c>
    </row>
    <row r="134" ht="14.25" customHeight="1">
      <c r="D134" s="90" t="n"/>
      <c r="E134" s="92" t="n"/>
      <c r="F134" s="92" t="n"/>
      <c r="G134" s="92" t="n"/>
      <c r="H134" s="92" t="n"/>
      <c r="I134" s="92" t="n"/>
      <c r="J134" s="92" t="n"/>
      <c r="K134" s="91">
        <f>IF($A134="","",SUM($E134:$J134))</f>
        <v/>
      </c>
      <c r="L134" s="92" t="n"/>
      <c r="M134" s="8">
        <f>IF($A134="","",MAX(0,ROUNDUP(DASHBOARD!$F$3-$D134,0)))</f>
        <v/>
      </c>
      <c r="N134" s="9">
        <f>IF($A134="","",$K134+(5002-ROW())/10000)</f>
        <v/>
      </c>
    </row>
    <row r="135" ht="14.25" customHeight="1">
      <c r="D135" s="90" t="n"/>
      <c r="E135" s="92" t="n"/>
      <c r="F135" s="92" t="n"/>
      <c r="G135" s="92" t="n"/>
      <c r="H135" s="92" t="n"/>
      <c r="I135" s="92" t="n"/>
      <c r="J135" s="92" t="n"/>
      <c r="K135" s="91">
        <f>IF($A135="","",SUM($E135:$J135))</f>
        <v/>
      </c>
      <c r="L135" s="92" t="n"/>
      <c r="M135" s="8">
        <f>IF($A135="","",MAX(0,ROUNDUP(DASHBOARD!$F$3-$D135,0)))</f>
        <v/>
      </c>
      <c r="N135" s="9">
        <f>IF($A135="","",$K135+(5002-ROW())/10000)</f>
        <v/>
      </c>
    </row>
    <row r="136" ht="14.25" customHeight="1">
      <c r="D136" s="90" t="n"/>
      <c r="E136" s="92" t="n"/>
      <c r="F136" s="92" t="n"/>
      <c r="G136" s="92" t="n"/>
      <c r="H136" s="92" t="n"/>
      <c r="I136" s="92" t="n"/>
      <c r="J136" s="92" t="n"/>
      <c r="K136" s="91">
        <f>IF($A136="","",SUM($E136:$J136))</f>
        <v/>
      </c>
      <c r="L136" s="92" t="n"/>
      <c r="M136" s="8">
        <f>IF($A136="","",MAX(0,ROUNDUP(DASHBOARD!$F$3-$D136,0)))</f>
        <v/>
      </c>
      <c r="N136" s="9">
        <f>IF($A136="","",$K136+(5002-ROW())/10000)</f>
        <v/>
      </c>
    </row>
    <row r="137" ht="14.25" customHeight="1">
      <c r="D137" s="90" t="n"/>
      <c r="E137" s="92" t="n"/>
      <c r="F137" s="92" t="n"/>
      <c r="G137" s="92" t="n"/>
      <c r="H137" s="92" t="n"/>
      <c r="I137" s="92" t="n"/>
      <c r="J137" s="92" t="n"/>
      <c r="K137" s="91">
        <f>IF($A137="","",SUM($E137:$J137))</f>
        <v/>
      </c>
      <c r="L137" s="92" t="n"/>
      <c r="M137" s="8">
        <f>IF($A137="","",MAX(0,ROUNDUP(DASHBOARD!$F$3-$D137,0)))</f>
        <v/>
      </c>
      <c r="N137" s="9">
        <f>IF($A137="","",$K137+(5002-ROW())/10000)</f>
        <v/>
      </c>
    </row>
    <row r="138" ht="14.25" customHeight="1">
      <c r="D138" s="90" t="n"/>
      <c r="E138" s="92" t="n"/>
      <c r="F138" s="92" t="n"/>
      <c r="G138" s="92" t="n"/>
      <c r="H138" s="92" t="n"/>
      <c r="I138" s="92" t="n"/>
      <c r="J138" s="92" t="n"/>
      <c r="K138" s="91">
        <f>IF($A138="","",SUM($E138:$J138))</f>
        <v/>
      </c>
      <c r="L138" s="92" t="n"/>
      <c r="M138" s="8">
        <f>IF($A138="","",MAX(0,ROUNDUP(DASHBOARD!$F$3-$D138,0)))</f>
        <v/>
      </c>
      <c r="N138" s="9">
        <f>IF($A138="","",$K138+(5002-ROW())/10000)</f>
        <v/>
      </c>
    </row>
    <row r="139" ht="14.25" customHeight="1">
      <c r="D139" s="90" t="n"/>
      <c r="E139" s="92" t="n"/>
      <c r="F139" s="92" t="n"/>
      <c r="G139" s="92" t="n"/>
      <c r="H139" s="92" t="n"/>
      <c r="I139" s="92" t="n"/>
      <c r="J139" s="92" t="n"/>
      <c r="K139" s="91">
        <f>IF($A139="","",SUM($E139:$J139))</f>
        <v/>
      </c>
      <c r="L139" s="92" t="n"/>
      <c r="M139" s="8">
        <f>IF($A139="","",MAX(0,ROUNDUP(DASHBOARD!$F$3-$D139,0)))</f>
        <v/>
      </c>
      <c r="N139" s="9">
        <f>IF($A139="","",$K139+(5002-ROW())/10000)</f>
        <v/>
      </c>
    </row>
    <row r="140" ht="14.25" customHeight="1">
      <c r="D140" s="90" t="n"/>
      <c r="E140" s="92" t="n"/>
      <c r="F140" s="92" t="n"/>
      <c r="G140" s="92" t="n"/>
      <c r="H140" s="92" t="n"/>
      <c r="I140" s="92" t="n"/>
      <c r="J140" s="92" t="n"/>
      <c r="K140" s="91">
        <f>IF($A140="","",SUM($E140:$J140))</f>
        <v/>
      </c>
      <c r="L140" s="92" t="n"/>
      <c r="M140" s="8">
        <f>IF($A140="","",MAX(0,ROUNDUP(DASHBOARD!$F$3-$D140,0)))</f>
        <v/>
      </c>
      <c r="N140" s="9">
        <f>IF($A140="","",$K140+(5002-ROW())/10000)</f>
        <v/>
      </c>
    </row>
    <row r="141" ht="14.25" customHeight="1">
      <c r="D141" s="90" t="n"/>
      <c r="E141" s="92" t="n"/>
      <c r="F141" s="92" t="n"/>
      <c r="G141" s="92" t="n"/>
      <c r="H141" s="92" t="n"/>
      <c r="I141" s="92" t="n"/>
      <c r="J141" s="92" t="n"/>
      <c r="K141" s="91">
        <f>IF($A141="","",SUM($E141:$J141))</f>
        <v/>
      </c>
      <c r="L141" s="92" t="n"/>
      <c r="M141" s="8">
        <f>IF($A141="","",MAX(0,ROUNDUP(DASHBOARD!$F$3-$D141,0)))</f>
        <v/>
      </c>
      <c r="N141" s="9">
        <f>IF($A141="","",$K141+(5002-ROW())/10000)</f>
        <v/>
      </c>
    </row>
    <row r="142" ht="14.25" customHeight="1">
      <c r="D142" s="90" t="n"/>
      <c r="E142" s="92" t="n"/>
      <c r="F142" s="92" t="n"/>
      <c r="G142" s="92" t="n"/>
      <c r="H142" s="92" t="n"/>
      <c r="I142" s="92" t="n"/>
      <c r="J142" s="92" t="n"/>
      <c r="K142" s="91">
        <f>IF($A142="","",SUM($E142:$J142))</f>
        <v/>
      </c>
      <c r="L142" s="92" t="n"/>
      <c r="M142" s="8">
        <f>IF($A142="","",MAX(0,ROUNDUP(DASHBOARD!$F$3-$D142,0)))</f>
        <v/>
      </c>
      <c r="N142" s="9">
        <f>IF($A142="","",$K142+(5002-ROW())/10000)</f>
        <v/>
      </c>
    </row>
    <row r="143" ht="14.25" customHeight="1">
      <c r="D143" s="90" t="n"/>
      <c r="E143" s="92" t="n"/>
      <c r="F143" s="92" t="n"/>
      <c r="G143" s="92" t="n"/>
      <c r="H143" s="92" t="n"/>
      <c r="I143" s="92" t="n"/>
      <c r="J143" s="92" t="n"/>
      <c r="K143" s="91">
        <f>IF($A143="","",SUM($E143:$J143))</f>
        <v/>
      </c>
      <c r="L143" s="92" t="n"/>
      <c r="M143" s="8">
        <f>IF($A143="","",MAX(0,ROUNDUP(DASHBOARD!$F$3-$D143,0)))</f>
        <v/>
      </c>
      <c r="N143" s="9">
        <f>IF($A143="","",$K143+(5002-ROW())/10000)</f>
        <v/>
      </c>
    </row>
    <row r="144" ht="14.25" customHeight="1">
      <c r="D144" s="90" t="n"/>
      <c r="E144" s="92" t="n"/>
      <c r="F144" s="92" t="n"/>
      <c r="G144" s="92" t="n"/>
      <c r="H144" s="92" t="n"/>
      <c r="I144" s="92" t="n"/>
      <c r="J144" s="92" t="n"/>
      <c r="K144" s="91">
        <f>IF($A144="","",SUM($E144:$J144))</f>
        <v/>
      </c>
      <c r="L144" s="92" t="n"/>
      <c r="M144" s="8">
        <f>IF($A144="","",MAX(0,ROUNDUP(DASHBOARD!$F$3-$D144,0)))</f>
        <v/>
      </c>
      <c r="N144" s="9">
        <f>IF($A144="","",$K144+(5002-ROW())/10000)</f>
        <v/>
      </c>
    </row>
    <row r="145" ht="14.25" customHeight="1">
      <c r="D145" s="90" t="n"/>
      <c r="E145" s="92" t="n"/>
      <c r="F145" s="92" t="n"/>
      <c r="G145" s="92" t="n"/>
      <c r="H145" s="92" t="n"/>
      <c r="I145" s="92" t="n"/>
      <c r="J145" s="92" t="n"/>
      <c r="K145" s="91">
        <f>IF($A145="","",SUM($E145:$J145))</f>
        <v/>
      </c>
      <c r="L145" s="92" t="n"/>
      <c r="M145" s="8">
        <f>IF($A145="","",MAX(0,ROUNDUP(DASHBOARD!$F$3-$D145,0)))</f>
        <v/>
      </c>
      <c r="N145" s="9">
        <f>IF($A145="","",$K145+(5002-ROW())/10000)</f>
        <v/>
      </c>
    </row>
    <row r="146" ht="14.25" customHeight="1">
      <c r="D146" s="90" t="n"/>
      <c r="E146" s="92" t="n"/>
      <c r="F146" s="92" t="n"/>
      <c r="G146" s="92" t="n"/>
      <c r="H146" s="92" t="n"/>
      <c r="I146" s="92" t="n"/>
      <c r="J146" s="92" t="n"/>
      <c r="K146" s="91">
        <f>IF($A146="","",SUM($E146:$J146))</f>
        <v/>
      </c>
      <c r="L146" s="92" t="n"/>
      <c r="M146" s="8">
        <f>IF($A146="","",MAX(0,ROUNDUP(DASHBOARD!$F$3-$D146,0)))</f>
        <v/>
      </c>
      <c r="N146" s="9">
        <f>IF($A146="","",$K146+(5002-ROW())/10000)</f>
        <v/>
      </c>
    </row>
    <row r="147" ht="14.25" customHeight="1">
      <c r="D147" s="90" t="n"/>
      <c r="E147" s="92" t="n"/>
      <c r="F147" s="92" t="n"/>
      <c r="G147" s="92" t="n"/>
      <c r="H147" s="92" t="n"/>
      <c r="I147" s="92" t="n"/>
      <c r="J147" s="92" t="n"/>
      <c r="K147" s="91">
        <f>IF($A147="","",SUM($E147:$J147))</f>
        <v/>
      </c>
      <c r="L147" s="92" t="n"/>
      <c r="M147" s="8">
        <f>IF($A147="","",MAX(0,ROUNDUP(DASHBOARD!$F$3-$D147,0)))</f>
        <v/>
      </c>
      <c r="N147" s="9">
        <f>IF($A147="","",$K147+(5002-ROW())/10000)</f>
        <v/>
      </c>
    </row>
    <row r="148" ht="14.25" customHeight="1">
      <c r="D148" s="90" t="n"/>
      <c r="E148" s="92" t="n"/>
      <c r="F148" s="92" t="n"/>
      <c r="G148" s="92" t="n"/>
      <c r="H148" s="92" t="n"/>
      <c r="I148" s="92" t="n"/>
      <c r="J148" s="92" t="n"/>
      <c r="K148" s="91">
        <f>IF($A148="","",SUM($E148:$J148))</f>
        <v/>
      </c>
      <c r="L148" s="92" t="n"/>
      <c r="M148" s="8">
        <f>IF($A148="","",MAX(0,ROUNDUP(DASHBOARD!$F$3-$D148,0)))</f>
        <v/>
      </c>
      <c r="N148" s="9">
        <f>IF($A148="","",$K148+(5002-ROW())/10000)</f>
        <v/>
      </c>
    </row>
    <row r="149" ht="14.25" customHeight="1">
      <c r="D149" s="90" t="n"/>
      <c r="E149" s="92" t="n"/>
      <c r="F149" s="92" t="n"/>
      <c r="G149" s="92" t="n"/>
      <c r="H149" s="92" t="n"/>
      <c r="I149" s="92" t="n"/>
      <c r="J149" s="92" t="n"/>
      <c r="K149" s="91">
        <f>IF($A149="","",SUM($E149:$J149))</f>
        <v/>
      </c>
      <c r="L149" s="92" t="n"/>
      <c r="M149" s="8">
        <f>IF($A149="","",MAX(0,ROUNDUP(DASHBOARD!$F$3-$D149,0)))</f>
        <v/>
      </c>
      <c r="N149" s="9">
        <f>IF($A149="","",$K149+(5002-ROW())/10000)</f>
        <v/>
      </c>
    </row>
    <row r="150" ht="14.25" customHeight="1">
      <c r="D150" s="90" t="n"/>
      <c r="E150" s="92" t="n"/>
      <c r="F150" s="92" t="n"/>
      <c r="G150" s="92" t="n"/>
      <c r="H150" s="92" t="n"/>
      <c r="I150" s="92" t="n"/>
      <c r="J150" s="92" t="n"/>
      <c r="K150" s="91">
        <f>IF($A150="","",SUM($E150:$J150))</f>
        <v/>
      </c>
      <c r="L150" s="92" t="n"/>
      <c r="M150" s="8">
        <f>IF($A150="","",MAX(0,ROUNDUP(DASHBOARD!$F$3-$D150,0)))</f>
        <v/>
      </c>
      <c r="N150" s="9">
        <f>IF($A150="","",$K150+(5002-ROW())/10000)</f>
        <v/>
      </c>
    </row>
    <row r="151" ht="14.25" customHeight="1">
      <c r="D151" s="90" t="n"/>
      <c r="E151" s="92" t="n"/>
      <c r="F151" s="92" t="n"/>
      <c r="G151" s="92" t="n"/>
      <c r="H151" s="92" t="n"/>
      <c r="I151" s="92" t="n"/>
      <c r="J151" s="92" t="n"/>
      <c r="K151" s="91">
        <f>IF($A151="","",SUM($E151:$J151))</f>
        <v/>
      </c>
      <c r="L151" s="92" t="n"/>
      <c r="M151" s="8">
        <f>IF($A151="","",MAX(0,ROUNDUP(DASHBOARD!$F$3-$D151,0)))</f>
        <v/>
      </c>
      <c r="N151" s="9">
        <f>IF($A151="","",$K151+(5002-ROW())/10000)</f>
        <v/>
      </c>
    </row>
    <row r="152" ht="14.25" customHeight="1">
      <c r="D152" s="90" t="n"/>
      <c r="E152" s="92" t="n"/>
      <c r="F152" s="92" t="n"/>
      <c r="G152" s="92" t="n"/>
      <c r="H152" s="92" t="n"/>
      <c r="I152" s="92" t="n"/>
      <c r="J152" s="92" t="n"/>
      <c r="K152" s="91">
        <f>IF($A152="","",SUM($E152:$J152))</f>
        <v/>
      </c>
      <c r="L152" s="92" t="n"/>
      <c r="M152" s="8">
        <f>IF($A152="","",MAX(0,ROUNDUP(DASHBOARD!$F$3-$D152,0)))</f>
        <v/>
      </c>
      <c r="N152" s="9">
        <f>IF($A152="","",$K152+(5002-ROW())/10000)</f>
        <v/>
      </c>
    </row>
    <row r="153" ht="14.25" customHeight="1">
      <c r="D153" s="90" t="n"/>
      <c r="E153" s="92" t="n"/>
      <c r="F153" s="92" t="n"/>
      <c r="G153" s="92" t="n"/>
      <c r="H153" s="92" t="n"/>
      <c r="I153" s="92" t="n"/>
      <c r="J153" s="92" t="n"/>
      <c r="K153" s="91">
        <f>IF($A153="","",SUM($E153:$J153))</f>
        <v/>
      </c>
      <c r="L153" s="92" t="n"/>
      <c r="M153" s="8">
        <f>IF($A153="","",MAX(0,ROUNDUP(DASHBOARD!$F$3-$D153,0)))</f>
        <v/>
      </c>
      <c r="N153" s="9">
        <f>IF($A153="","",$K153+(5002-ROW())/10000)</f>
        <v/>
      </c>
    </row>
    <row r="154" ht="14.25" customHeight="1">
      <c r="D154" s="90" t="n"/>
      <c r="E154" s="92" t="n"/>
      <c r="F154" s="92" t="n"/>
      <c r="G154" s="92" t="n"/>
      <c r="H154" s="92" t="n"/>
      <c r="I154" s="92" t="n"/>
      <c r="J154" s="92" t="n"/>
      <c r="K154" s="91">
        <f>IF($A154="","",SUM($E154:$J154))</f>
        <v/>
      </c>
      <c r="L154" s="92" t="n"/>
      <c r="M154" s="8">
        <f>IF($A154="","",MAX(0,ROUNDUP(DASHBOARD!$F$3-$D154,0)))</f>
        <v/>
      </c>
      <c r="N154" s="9">
        <f>IF($A154="","",$K154+(5002-ROW())/10000)</f>
        <v/>
      </c>
    </row>
    <row r="155" ht="14.25" customHeight="1">
      <c r="D155" s="90" t="n"/>
      <c r="E155" s="92" t="n"/>
      <c r="F155" s="92" t="n"/>
      <c r="G155" s="92" t="n"/>
      <c r="H155" s="92" t="n"/>
      <c r="I155" s="92" t="n"/>
      <c r="J155" s="92" t="n"/>
      <c r="K155" s="91">
        <f>IF($A155="","",SUM($E155:$J155))</f>
        <v/>
      </c>
      <c r="L155" s="92" t="n"/>
      <c r="M155" s="8">
        <f>IF($A155="","",MAX(0,ROUNDUP(DASHBOARD!$F$3-$D155,0)))</f>
        <v/>
      </c>
      <c r="N155" s="9">
        <f>IF($A155="","",$K155+(5002-ROW())/10000)</f>
        <v/>
      </c>
    </row>
    <row r="156" ht="14.25" customHeight="1">
      <c r="D156" s="90" t="n"/>
      <c r="E156" s="92" t="n"/>
      <c r="F156" s="92" t="n"/>
      <c r="G156" s="92" t="n"/>
      <c r="H156" s="92" t="n"/>
      <c r="I156" s="92" t="n"/>
      <c r="J156" s="92" t="n"/>
      <c r="K156" s="91">
        <f>IF($A156="","",SUM($E156:$J156))</f>
        <v/>
      </c>
      <c r="L156" s="92" t="n"/>
      <c r="M156" s="8">
        <f>IF($A156="","",MAX(0,ROUNDUP(DASHBOARD!$F$3-$D156,0)))</f>
        <v/>
      </c>
      <c r="N156" s="9">
        <f>IF($A156="","",$K156+(5002-ROW())/10000)</f>
        <v/>
      </c>
    </row>
    <row r="157" ht="14.25" customHeight="1">
      <c r="D157" s="90" t="n"/>
      <c r="E157" s="92" t="n"/>
      <c r="F157" s="92" t="n"/>
      <c r="G157" s="92" t="n"/>
      <c r="H157" s="92" t="n"/>
      <c r="I157" s="92" t="n"/>
      <c r="J157" s="92" t="n"/>
      <c r="K157" s="91">
        <f>IF($A157="","",SUM($E157:$J157))</f>
        <v/>
      </c>
      <c r="L157" s="92" t="n"/>
      <c r="M157" s="8">
        <f>IF($A157="","",MAX(0,ROUNDUP(DASHBOARD!$F$3-$D157,0)))</f>
        <v/>
      </c>
      <c r="N157" s="9">
        <f>IF($A157="","",$K157+(5002-ROW())/10000)</f>
        <v/>
      </c>
    </row>
    <row r="158" ht="14.25" customHeight="1">
      <c r="D158" s="90" t="n"/>
      <c r="E158" s="92" t="n"/>
      <c r="F158" s="92" t="n"/>
      <c r="G158" s="92" t="n"/>
      <c r="H158" s="92" t="n"/>
      <c r="I158" s="92" t="n"/>
      <c r="J158" s="92" t="n"/>
      <c r="K158" s="91">
        <f>IF($A158="","",SUM($E158:$J158))</f>
        <v/>
      </c>
      <c r="L158" s="92" t="n"/>
      <c r="M158" s="8">
        <f>IF($A158="","",MAX(0,ROUNDUP(DASHBOARD!$F$3-$D158,0)))</f>
        <v/>
      </c>
      <c r="N158" s="9">
        <f>IF($A158="","",$K158+(5002-ROW())/10000)</f>
        <v/>
      </c>
    </row>
    <row r="159" ht="14.25" customHeight="1">
      <c r="D159" s="90" t="n"/>
      <c r="E159" s="92" t="n"/>
      <c r="F159" s="92" t="n"/>
      <c r="G159" s="92" t="n"/>
      <c r="H159" s="92" t="n"/>
      <c r="I159" s="92" t="n"/>
      <c r="J159" s="92" t="n"/>
      <c r="K159" s="91">
        <f>IF($A159="","",SUM($E159:$J159))</f>
        <v/>
      </c>
      <c r="L159" s="92" t="n"/>
      <c r="M159" s="8">
        <f>IF($A159="","",MAX(0,ROUNDUP(DASHBOARD!$F$3-$D159,0)))</f>
        <v/>
      </c>
      <c r="N159" s="9">
        <f>IF($A159="","",$K159+(5002-ROW())/10000)</f>
        <v/>
      </c>
    </row>
    <row r="160" ht="14.25" customHeight="1">
      <c r="D160" s="90" t="n"/>
      <c r="E160" s="92" t="n"/>
      <c r="F160" s="92" t="n"/>
      <c r="G160" s="92" t="n"/>
      <c r="H160" s="92" t="n"/>
      <c r="I160" s="92" t="n"/>
      <c r="J160" s="92" t="n"/>
      <c r="K160" s="91">
        <f>IF($A160="","",SUM($E160:$J160))</f>
        <v/>
      </c>
      <c r="L160" s="92" t="n"/>
      <c r="M160" s="8">
        <f>IF($A160="","",MAX(0,ROUNDUP(DASHBOARD!$F$3-$D160,0)))</f>
        <v/>
      </c>
      <c r="N160" s="9">
        <f>IF($A160="","",$K160+(5002-ROW())/10000)</f>
        <v/>
      </c>
    </row>
    <row r="161" ht="14.25" customHeight="1">
      <c r="D161" s="90" t="n"/>
      <c r="E161" s="92" t="n"/>
      <c r="F161" s="92" t="n"/>
      <c r="G161" s="92" t="n"/>
      <c r="H161" s="92" t="n"/>
      <c r="I161" s="92" t="n"/>
      <c r="J161" s="92" t="n"/>
      <c r="K161" s="91">
        <f>IF($A161="","",SUM($E161:$J161))</f>
        <v/>
      </c>
      <c r="L161" s="92" t="n"/>
      <c r="M161" s="8">
        <f>IF($A161="","",MAX(0,ROUNDUP(DASHBOARD!$F$3-$D161,0)))</f>
        <v/>
      </c>
      <c r="N161" s="9">
        <f>IF($A161="","",$K161+(5002-ROW())/10000)</f>
        <v/>
      </c>
    </row>
    <row r="162" ht="14.25" customHeight="1">
      <c r="D162" s="90" t="n"/>
      <c r="E162" s="92" t="n"/>
      <c r="F162" s="92" t="n"/>
      <c r="G162" s="92" t="n"/>
      <c r="H162" s="92" t="n"/>
      <c r="I162" s="92" t="n"/>
      <c r="J162" s="92" t="n"/>
      <c r="K162" s="91">
        <f>IF($A162="","",SUM($E162:$J162))</f>
        <v/>
      </c>
      <c r="L162" s="92" t="n"/>
      <c r="M162" s="8">
        <f>IF($A162="","",MAX(0,ROUNDUP(DASHBOARD!$F$3-$D162,0)))</f>
        <v/>
      </c>
      <c r="N162" s="9">
        <f>IF($A162="","",$K162+(5002-ROW())/10000)</f>
        <v/>
      </c>
    </row>
    <row r="163" ht="14.25" customHeight="1">
      <c r="D163" s="90" t="n"/>
      <c r="E163" s="92" t="n"/>
      <c r="F163" s="92" t="n"/>
      <c r="G163" s="92" t="n"/>
      <c r="H163" s="92" t="n"/>
      <c r="I163" s="92" t="n"/>
      <c r="J163" s="92" t="n"/>
      <c r="K163" s="91">
        <f>IF($A163="","",SUM($E163:$J163))</f>
        <v/>
      </c>
      <c r="L163" s="92" t="n"/>
      <c r="M163" s="8">
        <f>IF($A163="","",MAX(0,ROUNDUP(DASHBOARD!$F$3-$D163,0)))</f>
        <v/>
      </c>
      <c r="N163" s="9">
        <f>IF($A163="","",$K163+(5002-ROW())/10000)</f>
        <v/>
      </c>
    </row>
    <row r="164" ht="14.25" customHeight="1">
      <c r="D164" s="90" t="n"/>
      <c r="E164" s="92" t="n"/>
      <c r="F164" s="92" t="n"/>
      <c r="G164" s="92" t="n"/>
      <c r="H164" s="92" t="n"/>
      <c r="I164" s="92" t="n"/>
      <c r="J164" s="92" t="n"/>
      <c r="K164" s="91">
        <f>IF($A164="","",SUM($E164:$J164))</f>
        <v/>
      </c>
      <c r="L164" s="92" t="n"/>
      <c r="M164" s="8">
        <f>IF($A164="","",MAX(0,ROUNDUP(DASHBOARD!$F$3-$D164,0)))</f>
        <v/>
      </c>
      <c r="N164" s="9">
        <f>IF($A164="","",$K164+(5002-ROW())/10000)</f>
        <v/>
      </c>
    </row>
    <row r="165" ht="14.25" customHeight="1">
      <c r="D165" s="90" t="n"/>
      <c r="E165" s="92" t="n"/>
      <c r="F165" s="92" t="n"/>
      <c r="G165" s="92" t="n"/>
      <c r="H165" s="92" t="n"/>
      <c r="I165" s="92" t="n"/>
      <c r="J165" s="92" t="n"/>
      <c r="K165" s="91">
        <f>IF($A165="","",SUM($E165:$J165))</f>
        <v/>
      </c>
      <c r="L165" s="92" t="n"/>
      <c r="M165" s="8">
        <f>IF($A165="","",MAX(0,ROUNDUP(DASHBOARD!$F$3-$D165,0)))</f>
        <v/>
      </c>
      <c r="N165" s="9">
        <f>IF($A165="","",$K165+(5002-ROW())/10000)</f>
        <v/>
      </c>
    </row>
    <row r="166" ht="14.25" customHeight="1">
      <c r="D166" s="90" t="n"/>
      <c r="E166" s="92" t="n"/>
      <c r="F166" s="92" t="n"/>
      <c r="G166" s="92" t="n"/>
      <c r="H166" s="92" t="n"/>
      <c r="I166" s="92" t="n"/>
      <c r="J166" s="92" t="n"/>
      <c r="K166" s="91">
        <f>IF($A166="","",SUM($E166:$J166))</f>
        <v/>
      </c>
      <c r="L166" s="92" t="n"/>
      <c r="M166" s="8">
        <f>IF($A166="","",MAX(0,ROUNDUP(DASHBOARD!$F$3-$D166,0)))</f>
        <v/>
      </c>
      <c r="N166" s="9">
        <f>IF($A166="","",$K166+(5002-ROW())/10000)</f>
        <v/>
      </c>
    </row>
    <row r="167" ht="14.25" customHeight="1">
      <c r="D167" s="90" t="n"/>
      <c r="E167" s="92" t="n"/>
      <c r="F167" s="92" t="n"/>
      <c r="G167" s="92" t="n"/>
      <c r="H167" s="92" t="n"/>
      <c r="I167" s="92" t="n"/>
      <c r="J167" s="92" t="n"/>
      <c r="K167" s="91">
        <f>IF($A167="","",SUM($E167:$J167))</f>
        <v/>
      </c>
      <c r="L167" s="92" t="n"/>
      <c r="M167" s="8">
        <f>IF($A167="","",MAX(0,ROUNDUP(DASHBOARD!$F$3-$D167,0)))</f>
        <v/>
      </c>
      <c r="N167" s="9">
        <f>IF($A167="","",$K167+(5002-ROW())/10000)</f>
        <v/>
      </c>
    </row>
    <row r="168" ht="14.25" customHeight="1">
      <c r="D168" s="90" t="n"/>
      <c r="E168" s="92" t="n"/>
      <c r="F168" s="92" t="n"/>
      <c r="G168" s="92" t="n"/>
      <c r="H168" s="92" t="n"/>
      <c r="I168" s="92" t="n"/>
      <c r="J168" s="92" t="n"/>
      <c r="K168" s="91">
        <f>IF($A168="","",SUM($E168:$J168))</f>
        <v/>
      </c>
      <c r="L168" s="92" t="n"/>
      <c r="M168" s="8">
        <f>IF($A168="","",MAX(0,ROUNDUP(DASHBOARD!$F$3-$D168,0)))</f>
        <v/>
      </c>
      <c r="N168" s="9">
        <f>IF($A168="","",$K168+(5002-ROW())/10000)</f>
        <v/>
      </c>
    </row>
    <row r="169" ht="14.25" customHeight="1">
      <c r="D169" s="90" t="n"/>
      <c r="E169" s="92" t="n"/>
      <c r="F169" s="92" t="n"/>
      <c r="G169" s="92" t="n"/>
      <c r="H169" s="92" t="n"/>
      <c r="I169" s="92" t="n"/>
      <c r="J169" s="92" t="n"/>
      <c r="K169" s="91">
        <f>IF($A169="","",SUM($E169:$J169))</f>
        <v/>
      </c>
      <c r="L169" s="92" t="n"/>
      <c r="M169" s="8">
        <f>IF($A169="","",MAX(0,ROUNDUP(DASHBOARD!$F$3-$D169,0)))</f>
        <v/>
      </c>
      <c r="N169" s="9">
        <f>IF($A169="","",$K169+(5002-ROW())/10000)</f>
        <v/>
      </c>
    </row>
    <row r="170" ht="14.25" customHeight="1">
      <c r="D170" s="90" t="n"/>
      <c r="E170" s="92" t="n"/>
      <c r="F170" s="92" t="n"/>
      <c r="G170" s="92" t="n"/>
      <c r="H170" s="92" t="n"/>
      <c r="I170" s="92" t="n"/>
      <c r="J170" s="92" t="n"/>
      <c r="K170" s="91">
        <f>IF($A170="","",SUM($E170:$J170))</f>
        <v/>
      </c>
      <c r="L170" s="92" t="n"/>
      <c r="M170" s="8">
        <f>IF($A170="","",MAX(0,ROUNDUP(DASHBOARD!$F$3-$D170,0)))</f>
        <v/>
      </c>
      <c r="N170" s="9">
        <f>IF($A170="","",$K170+(5002-ROW())/10000)</f>
        <v/>
      </c>
    </row>
    <row r="171" ht="14.25" customHeight="1">
      <c r="D171" s="90" t="n"/>
      <c r="E171" s="92" t="n"/>
      <c r="F171" s="92" t="n"/>
      <c r="G171" s="92" t="n"/>
      <c r="H171" s="92" t="n"/>
      <c r="I171" s="92" t="n"/>
      <c r="J171" s="92" t="n"/>
      <c r="K171" s="91">
        <f>IF($A171="","",SUM($E171:$J171))</f>
        <v/>
      </c>
      <c r="L171" s="92" t="n"/>
      <c r="M171" s="8">
        <f>IF($A171="","",MAX(0,ROUNDUP(DASHBOARD!$F$3-$D171,0)))</f>
        <v/>
      </c>
      <c r="N171" s="9">
        <f>IF($A171="","",$K171+(5002-ROW())/10000)</f>
        <v/>
      </c>
    </row>
    <row r="172" ht="14.25" customHeight="1">
      <c r="D172" s="90" t="n"/>
      <c r="E172" s="92" t="n"/>
      <c r="F172" s="92" t="n"/>
      <c r="G172" s="92" t="n"/>
      <c r="H172" s="92" t="n"/>
      <c r="I172" s="92" t="n"/>
      <c r="J172" s="92" t="n"/>
      <c r="K172" s="91">
        <f>IF($A172="","",SUM($E172:$J172))</f>
        <v/>
      </c>
      <c r="L172" s="92" t="n"/>
      <c r="M172" s="8">
        <f>IF($A172="","",MAX(0,ROUNDUP(DASHBOARD!$F$3-$D172,0)))</f>
        <v/>
      </c>
      <c r="N172" s="9">
        <f>IF($A172="","",$K172+(5002-ROW())/10000)</f>
        <v/>
      </c>
    </row>
    <row r="173" ht="14.25" customHeight="1">
      <c r="D173" s="90" t="n"/>
      <c r="E173" s="92" t="n"/>
      <c r="F173" s="92" t="n"/>
      <c r="G173" s="92" t="n"/>
      <c r="H173" s="92" t="n"/>
      <c r="I173" s="92" t="n"/>
      <c r="J173" s="92" t="n"/>
      <c r="K173" s="91">
        <f>IF($A173="","",SUM($E173:$J173))</f>
        <v/>
      </c>
      <c r="L173" s="92" t="n"/>
      <c r="M173" s="8">
        <f>IF($A173="","",MAX(0,ROUNDUP(DASHBOARD!$F$3-$D173,0)))</f>
        <v/>
      </c>
      <c r="N173" s="9">
        <f>IF($A173="","",$K173+(5002-ROW())/10000)</f>
        <v/>
      </c>
    </row>
    <row r="174" ht="14.25" customHeight="1">
      <c r="D174" s="90" t="n"/>
      <c r="E174" s="92" t="n"/>
      <c r="F174" s="92" t="n"/>
      <c r="G174" s="92" t="n"/>
      <c r="H174" s="92" t="n"/>
      <c r="I174" s="92" t="n"/>
      <c r="J174" s="92" t="n"/>
      <c r="K174" s="91">
        <f>IF($A174="","",SUM($E174:$J174))</f>
        <v/>
      </c>
      <c r="L174" s="92" t="n"/>
      <c r="M174" s="8">
        <f>IF($A174="","",MAX(0,ROUNDUP(DASHBOARD!$F$3-$D174,0)))</f>
        <v/>
      </c>
      <c r="N174" s="9">
        <f>IF($A174="","",$K174+(5002-ROW())/10000)</f>
        <v/>
      </c>
    </row>
    <row r="175" ht="14.25" customHeight="1">
      <c r="D175" s="90" t="n"/>
      <c r="E175" s="92" t="n"/>
      <c r="F175" s="92" t="n"/>
      <c r="G175" s="92" t="n"/>
      <c r="H175" s="92" t="n"/>
      <c r="I175" s="92" t="n"/>
      <c r="J175" s="92" t="n"/>
      <c r="K175" s="91">
        <f>IF($A175="","",SUM($E175:$J175))</f>
        <v/>
      </c>
      <c r="L175" s="92" t="n"/>
      <c r="M175" s="8">
        <f>IF($A175="","",MAX(0,ROUNDUP(DASHBOARD!$F$3-$D175,0)))</f>
        <v/>
      </c>
      <c r="N175" s="9">
        <f>IF($A175="","",$K175+(5002-ROW())/10000)</f>
        <v/>
      </c>
    </row>
    <row r="176" ht="14.25" customHeight="1">
      <c r="D176" s="90" t="n"/>
      <c r="E176" s="92" t="n"/>
      <c r="F176" s="92" t="n"/>
      <c r="G176" s="92" t="n"/>
      <c r="H176" s="92" t="n"/>
      <c r="I176" s="92" t="n"/>
      <c r="J176" s="92" t="n"/>
      <c r="K176" s="91">
        <f>IF($A176="","",SUM($E176:$J176))</f>
        <v/>
      </c>
      <c r="L176" s="92" t="n"/>
      <c r="M176" s="8">
        <f>IF($A176="","",MAX(0,ROUNDUP(DASHBOARD!$F$3-$D176,0)))</f>
        <v/>
      </c>
      <c r="N176" s="9">
        <f>IF($A176="","",$K176+(5002-ROW())/10000)</f>
        <v/>
      </c>
    </row>
    <row r="177" ht="14.25" customHeight="1">
      <c r="D177" s="90" t="n"/>
      <c r="E177" s="92" t="n"/>
      <c r="F177" s="92" t="n"/>
      <c r="G177" s="92" t="n"/>
      <c r="H177" s="92" t="n"/>
      <c r="I177" s="92" t="n"/>
      <c r="J177" s="92" t="n"/>
      <c r="K177" s="91">
        <f>IF($A177="","",SUM($E177:$J177))</f>
        <v/>
      </c>
      <c r="L177" s="92" t="n"/>
      <c r="M177" s="8">
        <f>IF($A177="","",MAX(0,ROUNDUP(DASHBOARD!$F$3-$D177,0)))</f>
        <v/>
      </c>
      <c r="N177" s="9">
        <f>IF($A177="","",$K177+(5002-ROW())/10000)</f>
        <v/>
      </c>
    </row>
    <row r="178" ht="14.25" customHeight="1">
      <c r="D178" s="90" t="n"/>
      <c r="E178" s="92" t="n"/>
      <c r="F178" s="92" t="n"/>
      <c r="G178" s="92" t="n"/>
      <c r="H178" s="92" t="n"/>
      <c r="I178" s="92" t="n"/>
      <c r="J178" s="92" t="n"/>
      <c r="K178" s="91">
        <f>IF($A178="","",SUM($E178:$J178))</f>
        <v/>
      </c>
      <c r="L178" s="92" t="n"/>
      <c r="M178" s="8">
        <f>IF($A178="","",MAX(0,ROUNDUP(DASHBOARD!$F$3-$D178,0)))</f>
        <v/>
      </c>
      <c r="N178" s="9">
        <f>IF($A178="","",$K178+(5002-ROW())/10000)</f>
        <v/>
      </c>
    </row>
    <row r="179" ht="14.25" customHeight="1">
      <c r="D179" s="90" t="n"/>
      <c r="E179" s="92" t="n"/>
      <c r="F179" s="92" t="n"/>
      <c r="G179" s="92" t="n"/>
      <c r="H179" s="92" t="n"/>
      <c r="I179" s="92" t="n"/>
      <c r="J179" s="92" t="n"/>
      <c r="K179" s="91">
        <f>IF($A179="","",SUM($E179:$J179))</f>
        <v/>
      </c>
      <c r="L179" s="92" t="n"/>
      <c r="M179" s="8">
        <f>IF($A179="","",MAX(0,ROUNDUP(DASHBOARD!$F$3-$D179,0)))</f>
        <v/>
      </c>
      <c r="N179" s="9">
        <f>IF($A179="","",$K179+(5002-ROW())/10000)</f>
        <v/>
      </c>
    </row>
    <row r="180" ht="14.25" customHeight="1">
      <c r="D180" s="90" t="n"/>
      <c r="E180" s="92" t="n"/>
      <c r="F180" s="92" t="n"/>
      <c r="G180" s="92" t="n"/>
      <c r="H180" s="92" t="n"/>
      <c r="I180" s="92" t="n"/>
      <c r="J180" s="92" t="n"/>
      <c r="K180" s="91">
        <f>IF($A180="","",SUM($E180:$J180))</f>
        <v/>
      </c>
      <c r="L180" s="92" t="n"/>
      <c r="M180" s="8">
        <f>IF($A180="","",MAX(0,ROUNDUP(DASHBOARD!$F$3-$D180,0)))</f>
        <v/>
      </c>
      <c r="N180" s="9">
        <f>IF($A180="","",$K180+(5002-ROW())/10000)</f>
        <v/>
      </c>
    </row>
    <row r="181" ht="14.25" customHeight="1">
      <c r="D181" s="90" t="n"/>
      <c r="E181" s="92" t="n"/>
      <c r="F181" s="92" t="n"/>
      <c r="G181" s="92" t="n"/>
      <c r="H181" s="92" t="n"/>
      <c r="I181" s="92" t="n"/>
      <c r="J181" s="92" t="n"/>
      <c r="K181" s="91">
        <f>IF($A181="","",SUM($E181:$J181))</f>
        <v/>
      </c>
      <c r="L181" s="92" t="n"/>
      <c r="M181" s="8">
        <f>IF($A181="","",MAX(0,ROUNDUP(DASHBOARD!$F$3-$D181,0)))</f>
        <v/>
      </c>
      <c r="N181" s="9">
        <f>IF($A181="","",$K181+(5002-ROW())/10000)</f>
        <v/>
      </c>
    </row>
    <row r="182" ht="14.25" customHeight="1">
      <c r="D182" s="90" t="n"/>
      <c r="E182" s="92" t="n"/>
      <c r="F182" s="92" t="n"/>
      <c r="G182" s="92" t="n"/>
      <c r="H182" s="92" t="n"/>
      <c r="I182" s="92" t="n"/>
      <c r="J182" s="92" t="n"/>
      <c r="K182" s="91">
        <f>IF($A182="","",SUM($E182:$J182))</f>
        <v/>
      </c>
      <c r="L182" s="92" t="n"/>
      <c r="M182" s="8">
        <f>IF($A182="","",MAX(0,ROUNDUP(DASHBOARD!$F$3-$D182,0)))</f>
        <v/>
      </c>
      <c r="N182" s="9">
        <f>IF($A182="","",$K182+(5002-ROW())/10000)</f>
        <v/>
      </c>
    </row>
    <row r="183" ht="14.25" customHeight="1">
      <c r="D183" s="90" t="n"/>
      <c r="E183" s="92" t="n"/>
      <c r="F183" s="92" t="n"/>
      <c r="G183" s="92" t="n"/>
      <c r="H183" s="92" t="n"/>
      <c r="I183" s="92" t="n"/>
      <c r="J183" s="92" t="n"/>
      <c r="K183" s="91">
        <f>IF($A183="","",SUM($E183:$J183))</f>
        <v/>
      </c>
      <c r="L183" s="92" t="n"/>
      <c r="M183" s="8">
        <f>IF($A183="","",MAX(0,ROUNDUP(DASHBOARD!$F$3-$D183,0)))</f>
        <v/>
      </c>
      <c r="N183" s="9">
        <f>IF($A183="","",$K183+(5002-ROW())/10000)</f>
        <v/>
      </c>
    </row>
    <row r="184" ht="14.25" customHeight="1">
      <c r="D184" s="90" t="n"/>
      <c r="E184" s="92" t="n"/>
      <c r="F184" s="92" t="n"/>
      <c r="G184" s="92" t="n"/>
      <c r="H184" s="92" t="n"/>
      <c r="I184" s="92" t="n"/>
      <c r="J184" s="92" t="n"/>
      <c r="K184" s="91">
        <f>IF($A184="","",SUM($E184:$J184))</f>
        <v/>
      </c>
      <c r="L184" s="92" t="n"/>
      <c r="M184" s="8">
        <f>IF($A184="","",MAX(0,ROUNDUP(DASHBOARD!$F$3-$D184,0)))</f>
        <v/>
      </c>
      <c r="N184" s="9">
        <f>IF($A184="","",$K184+(5002-ROW())/10000)</f>
        <v/>
      </c>
    </row>
    <row r="185" ht="14.25" customHeight="1">
      <c r="D185" s="90" t="n"/>
      <c r="E185" s="92" t="n"/>
      <c r="F185" s="92" t="n"/>
      <c r="G185" s="92" t="n"/>
      <c r="H185" s="92" t="n"/>
      <c r="I185" s="92" t="n"/>
      <c r="J185" s="92" t="n"/>
      <c r="K185" s="91">
        <f>IF($A185="","",SUM($E185:$J185))</f>
        <v/>
      </c>
      <c r="L185" s="92" t="n"/>
      <c r="M185" s="8">
        <f>IF($A185="","",MAX(0,ROUNDUP(DASHBOARD!$F$3-$D185,0)))</f>
        <v/>
      </c>
      <c r="N185" s="9">
        <f>IF($A185="","",$K185+(5002-ROW())/10000)</f>
        <v/>
      </c>
    </row>
    <row r="186" ht="14.25" customHeight="1">
      <c r="D186" s="90" t="n"/>
      <c r="E186" s="92" t="n"/>
      <c r="F186" s="92" t="n"/>
      <c r="G186" s="92" t="n"/>
      <c r="H186" s="92" t="n"/>
      <c r="I186" s="92" t="n"/>
      <c r="J186" s="92" t="n"/>
      <c r="K186" s="91">
        <f>IF($A186="","",SUM($E186:$J186))</f>
        <v/>
      </c>
      <c r="L186" s="92" t="n"/>
      <c r="M186" s="8">
        <f>IF($A186="","",MAX(0,ROUNDUP(DASHBOARD!$F$3-$D186,0)))</f>
        <v/>
      </c>
      <c r="N186" s="9">
        <f>IF($A186="","",$K186+(5002-ROW())/10000)</f>
        <v/>
      </c>
    </row>
    <row r="187" ht="14.25" customHeight="1">
      <c r="D187" s="90" t="n"/>
      <c r="E187" s="92" t="n"/>
      <c r="F187" s="92" t="n"/>
      <c r="G187" s="92" t="n"/>
      <c r="H187" s="92" t="n"/>
      <c r="I187" s="92" t="n"/>
      <c r="J187" s="92" t="n"/>
      <c r="K187" s="91">
        <f>IF($A187="","",SUM($E187:$J187))</f>
        <v/>
      </c>
      <c r="L187" s="92" t="n"/>
      <c r="M187" s="8">
        <f>IF($A187="","",MAX(0,ROUNDUP(DASHBOARD!$F$3-$D187,0)))</f>
        <v/>
      </c>
      <c r="N187" s="9">
        <f>IF($A187="","",$K187+(5002-ROW())/10000)</f>
        <v/>
      </c>
    </row>
    <row r="188" ht="14.25" customHeight="1">
      <c r="D188" s="90" t="n"/>
      <c r="E188" s="92" t="n"/>
      <c r="F188" s="92" t="n"/>
      <c r="G188" s="92" t="n"/>
      <c r="H188" s="92" t="n"/>
      <c r="I188" s="92" t="n"/>
      <c r="J188" s="92" t="n"/>
      <c r="K188" s="91">
        <f>IF($A188="","",SUM($E188:$J188))</f>
        <v/>
      </c>
      <c r="L188" s="92" t="n"/>
      <c r="M188" s="8">
        <f>IF($A188="","",MAX(0,ROUNDUP(DASHBOARD!$F$3-$D188,0)))</f>
        <v/>
      </c>
      <c r="N188" s="9">
        <f>IF($A188="","",$K188+(5002-ROW())/10000)</f>
        <v/>
      </c>
    </row>
    <row r="189" ht="14.25" customHeight="1">
      <c r="D189" s="90" t="n"/>
      <c r="E189" s="92" t="n"/>
      <c r="F189" s="92" t="n"/>
      <c r="G189" s="92" t="n"/>
      <c r="H189" s="92" t="n"/>
      <c r="I189" s="92" t="n"/>
      <c r="J189" s="92" t="n"/>
      <c r="K189" s="91">
        <f>IF($A189="","",SUM($E189:$J189))</f>
        <v/>
      </c>
      <c r="L189" s="92" t="n"/>
      <c r="M189" s="8">
        <f>IF($A189="","",MAX(0,ROUNDUP(DASHBOARD!$F$3-$D189,0)))</f>
        <v/>
      </c>
      <c r="N189" s="9">
        <f>IF($A189="","",$K189+(5002-ROW())/10000)</f>
        <v/>
      </c>
    </row>
    <row r="190" ht="14.25" customHeight="1">
      <c r="D190" s="90" t="n"/>
      <c r="E190" s="92" t="n"/>
      <c r="F190" s="92" t="n"/>
      <c r="G190" s="92" t="n"/>
      <c r="H190" s="92" t="n"/>
      <c r="I190" s="92" t="n"/>
      <c r="J190" s="92" t="n"/>
      <c r="K190" s="91">
        <f>IF($A190="","",SUM($E190:$J190))</f>
        <v/>
      </c>
      <c r="L190" s="92" t="n"/>
      <c r="M190" s="8">
        <f>IF($A190="","",MAX(0,ROUNDUP(DASHBOARD!$F$3-$D190,0)))</f>
        <v/>
      </c>
      <c r="N190" s="9">
        <f>IF($A190="","",$K190+(5002-ROW())/10000)</f>
        <v/>
      </c>
    </row>
    <row r="191" ht="14.25" customHeight="1">
      <c r="D191" s="90" t="n"/>
      <c r="E191" s="92" t="n"/>
      <c r="F191" s="92" t="n"/>
      <c r="G191" s="92" t="n"/>
      <c r="H191" s="92" t="n"/>
      <c r="I191" s="92" t="n"/>
      <c r="J191" s="92" t="n"/>
      <c r="K191" s="91">
        <f>IF($A191="","",SUM($E191:$J191))</f>
        <v/>
      </c>
      <c r="L191" s="92" t="n"/>
      <c r="M191" s="8">
        <f>IF($A191="","",MAX(0,ROUNDUP(DASHBOARD!$F$3-$D191,0)))</f>
        <v/>
      </c>
      <c r="N191" s="9">
        <f>IF($A191="","",$K191+(5002-ROW())/10000)</f>
        <v/>
      </c>
    </row>
    <row r="192" ht="14.25" customHeight="1">
      <c r="D192" s="90" t="n"/>
      <c r="E192" s="92" t="n"/>
      <c r="F192" s="92" t="n"/>
      <c r="G192" s="92" t="n"/>
      <c r="H192" s="92" t="n"/>
      <c r="I192" s="92" t="n"/>
      <c r="J192" s="92" t="n"/>
      <c r="K192" s="91">
        <f>IF($A192="","",SUM($E192:$J192))</f>
        <v/>
      </c>
      <c r="L192" s="92" t="n"/>
      <c r="M192" s="8">
        <f>IF($A192="","",MAX(0,ROUNDUP(DASHBOARD!$F$3-$D192,0)))</f>
        <v/>
      </c>
      <c r="N192" s="9">
        <f>IF($A192="","",$K192+(5002-ROW())/10000)</f>
        <v/>
      </c>
    </row>
    <row r="193" ht="14.25" customHeight="1">
      <c r="D193" s="90" t="n"/>
      <c r="E193" s="92" t="n"/>
      <c r="F193" s="92" t="n"/>
      <c r="G193" s="92" t="n"/>
      <c r="H193" s="92" t="n"/>
      <c r="I193" s="92" t="n"/>
      <c r="J193" s="92" t="n"/>
      <c r="K193" s="91">
        <f>IF($A193="","",SUM($E193:$J193))</f>
        <v/>
      </c>
      <c r="L193" s="92" t="n"/>
      <c r="M193" s="8">
        <f>IF($A193="","",MAX(0,ROUNDUP(DASHBOARD!$F$3-$D193,0)))</f>
        <v/>
      </c>
      <c r="N193" s="9">
        <f>IF($A193="","",$K193+(5002-ROW())/10000)</f>
        <v/>
      </c>
    </row>
    <row r="194" ht="14.25" customHeight="1">
      <c r="D194" s="90" t="n"/>
      <c r="E194" s="92" t="n"/>
      <c r="F194" s="92" t="n"/>
      <c r="G194" s="92" t="n"/>
      <c r="H194" s="92" t="n"/>
      <c r="I194" s="92" t="n"/>
      <c r="J194" s="92" t="n"/>
      <c r="K194" s="91">
        <f>IF($A194="","",SUM($E194:$J194))</f>
        <v/>
      </c>
      <c r="L194" s="92" t="n"/>
      <c r="M194" s="8">
        <f>IF($A194="","",MAX(0,ROUNDUP(DASHBOARD!$F$3-$D194,0)))</f>
        <v/>
      </c>
      <c r="N194" s="9">
        <f>IF($A194="","",$K194+(5002-ROW())/10000)</f>
        <v/>
      </c>
    </row>
    <row r="195" ht="14.25" customHeight="1">
      <c r="D195" s="90" t="n"/>
      <c r="E195" s="92" t="n"/>
      <c r="F195" s="92" t="n"/>
      <c r="G195" s="92" t="n"/>
      <c r="H195" s="92" t="n"/>
      <c r="I195" s="92" t="n"/>
      <c r="J195" s="92" t="n"/>
      <c r="K195" s="91">
        <f>IF($A195="","",SUM($E195:$J195))</f>
        <v/>
      </c>
      <c r="L195" s="92" t="n"/>
      <c r="M195" s="8">
        <f>IF($A195="","",MAX(0,ROUNDUP(DASHBOARD!$F$3-$D195,0)))</f>
        <v/>
      </c>
      <c r="N195" s="9">
        <f>IF($A195="","",$K195+(5002-ROW())/10000)</f>
        <v/>
      </c>
    </row>
    <row r="196" ht="14.25" customHeight="1">
      <c r="D196" s="90" t="n"/>
      <c r="E196" s="92" t="n"/>
      <c r="F196" s="92" t="n"/>
      <c r="G196" s="92" t="n"/>
      <c r="H196" s="92" t="n"/>
      <c r="I196" s="92" t="n"/>
      <c r="J196" s="92" t="n"/>
      <c r="K196" s="91">
        <f>IF($A196="","",SUM($E196:$J196))</f>
        <v/>
      </c>
      <c r="L196" s="92" t="n"/>
      <c r="M196" s="8">
        <f>IF($A196="","",MAX(0,ROUNDUP(DASHBOARD!$F$3-$D196,0)))</f>
        <v/>
      </c>
      <c r="N196" s="9">
        <f>IF($A196="","",$K196+(5002-ROW())/10000)</f>
        <v/>
      </c>
    </row>
    <row r="197" ht="14.25" customHeight="1">
      <c r="D197" s="90" t="n"/>
      <c r="E197" s="92" t="n"/>
      <c r="F197" s="92" t="n"/>
      <c r="G197" s="92" t="n"/>
      <c r="H197" s="92" t="n"/>
      <c r="I197" s="92" t="n"/>
      <c r="J197" s="92" t="n"/>
      <c r="K197" s="91">
        <f>IF($A197="","",SUM($E197:$J197))</f>
        <v/>
      </c>
      <c r="L197" s="92" t="n"/>
      <c r="M197" s="8">
        <f>IF($A197="","",MAX(0,ROUNDUP(DASHBOARD!$F$3-$D197,0)))</f>
        <v/>
      </c>
      <c r="N197" s="9">
        <f>IF($A197="","",$K197+(5002-ROW())/10000)</f>
        <v/>
      </c>
    </row>
    <row r="198" ht="14.25" customHeight="1">
      <c r="D198" s="90" t="n"/>
      <c r="E198" s="92" t="n"/>
      <c r="F198" s="92" t="n"/>
      <c r="G198" s="92" t="n"/>
      <c r="H198" s="92" t="n"/>
      <c r="I198" s="92" t="n"/>
      <c r="J198" s="92" t="n"/>
      <c r="K198" s="91">
        <f>IF($A198="","",SUM($E198:$J198))</f>
        <v/>
      </c>
      <c r="L198" s="92" t="n"/>
      <c r="M198" s="8">
        <f>IF($A198="","",MAX(0,ROUNDUP(DASHBOARD!$F$3-$D198,0)))</f>
        <v/>
      </c>
      <c r="N198" s="9">
        <f>IF($A198="","",$K198+(5002-ROW())/10000)</f>
        <v/>
      </c>
    </row>
    <row r="199" ht="14.25" customHeight="1">
      <c r="D199" s="90" t="n"/>
      <c r="E199" s="92" t="n"/>
      <c r="F199" s="92" t="n"/>
      <c r="G199" s="92" t="n"/>
      <c r="H199" s="92" t="n"/>
      <c r="I199" s="92" t="n"/>
      <c r="J199" s="92" t="n"/>
      <c r="K199" s="91">
        <f>IF($A199="","",SUM($E199:$J199))</f>
        <v/>
      </c>
      <c r="L199" s="92" t="n"/>
      <c r="M199" s="8">
        <f>IF($A199="","",MAX(0,ROUNDUP(DASHBOARD!$F$3-$D199,0)))</f>
        <v/>
      </c>
      <c r="N199" s="9">
        <f>IF($A199="","",$K199+(5002-ROW())/10000)</f>
        <v/>
      </c>
    </row>
    <row r="200" ht="14.25" customHeight="1">
      <c r="D200" s="90" t="n"/>
      <c r="E200" s="92" t="n"/>
      <c r="F200" s="92" t="n"/>
      <c r="G200" s="92" t="n"/>
      <c r="H200" s="92" t="n"/>
      <c r="I200" s="92" t="n"/>
      <c r="J200" s="92" t="n"/>
      <c r="K200" s="91">
        <f>IF($A200="","",SUM($E200:$J200))</f>
        <v/>
      </c>
      <c r="L200" s="92" t="n"/>
      <c r="M200" s="8">
        <f>IF($A200="","",MAX(0,ROUNDUP(DASHBOARD!$F$3-$D200,0)))</f>
        <v/>
      </c>
      <c r="N200" s="9">
        <f>IF($A200="","",$K200+(5002-ROW())/10000)</f>
        <v/>
      </c>
    </row>
    <row r="201" ht="14.25" customHeight="1">
      <c r="D201" s="90" t="n"/>
      <c r="E201" s="92" t="n"/>
      <c r="F201" s="92" t="n"/>
      <c r="G201" s="92" t="n"/>
      <c r="H201" s="92" t="n"/>
      <c r="I201" s="92" t="n"/>
      <c r="J201" s="92" t="n"/>
      <c r="K201" s="91">
        <f>IF($A201="","",SUM($E201:$J201))</f>
        <v/>
      </c>
      <c r="L201" s="92" t="n"/>
      <c r="M201" s="8">
        <f>IF($A201="","",MAX(0,ROUNDUP(DASHBOARD!$F$3-$D201,0)))</f>
        <v/>
      </c>
      <c r="N201" s="9">
        <f>IF($A201="","",$K201+(5002-ROW())/10000)</f>
        <v/>
      </c>
    </row>
    <row r="202" ht="14.25" customHeight="1">
      <c r="K202">
        <f>IF($A202="","",SUM($E202:$J202))</f>
        <v/>
      </c>
      <c r="M202">
        <f>IF($A202="","",MAX(0,ROUNDUP(DASHBOARD!$F$3-$D202,0)))</f>
        <v/>
      </c>
      <c r="N202">
        <f>IF($A202="","",$K202+(5002-ROW())/10000)</f>
        <v/>
      </c>
    </row>
    <row r="203" ht="14.25" customHeight="1">
      <c r="K203">
        <f>IF($A203="","",SUM($E203:$J203))</f>
        <v/>
      </c>
      <c r="M203">
        <f>IF($A203="","",MAX(0,ROUNDUP(DASHBOARD!$F$3-$D203,0)))</f>
        <v/>
      </c>
      <c r="N203">
        <f>IF($A203="","",$K203+(5002-ROW())/10000)</f>
        <v/>
      </c>
    </row>
    <row r="204" ht="14.25" customHeight="1">
      <c r="K204">
        <f>IF($A204="","",SUM($E204:$J204))</f>
        <v/>
      </c>
      <c r="M204">
        <f>IF($A204="","",MAX(0,ROUNDUP(DASHBOARD!$F$3-$D204,0)))</f>
        <v/>
      </c>
      <c r="N204">
        <f>IF($A204="","",$K204+(5002-ROW())/10000)</f>
        <v/>
      </c>
    </row>
    <row r="205" ht="14.25" customHeight="1">
      <c r="K205">
        <f>IF($A205="","",SUM($E205:$J205))</f>
        <v/>
      </c>
      <c r="M205">
        <f>IF($A205="","",MAX(0,ROUNDUP(DASHBOARD!$F$3-$D205,0)))</f>
        <v/>
      </c>
      <c r="N205">
        <f>IF($A205="","",$K205+(5002-ROW())/10000)</f>
        <v/>
      </c>
    </row>
    <row r="206" ht="14.25" customHeight="1">
      <c r="K206">
        <f>IF($A206="","",SUM($E206:$J206))</f>
        <v/>
      </c>
      <c r="M206">
        <f>IF($A206="","",MAX(0,ROUNDUP(DASHBOARD!$F$3-$D206,0)))</f>
        <v/>
      </c>
      <c r="N206">
        <f>IF($A206="","",$K206+(5002-ROW())/10000)</f>
        <v/>
      </c>
    </row>
    <row r="207" ht="14.25" customHeight="1">
      <c r="K207">
        <f>IF($A207="","",SUM($E207:$J207))</f>
        <v/>
      </c>
      <c r="M207">
        <f>IF($A207="","",MAX(0,ROUNDUP(DASHBOARD!$F$3-$D207,0)))</f>
        <v/>
      </c>
      <c r="N207">
        <f>IF($A207="","",$K207+(5002-ROW())/10000)</f>
        <v/>
      </c>
    </row>
    <row r="208" ht="14.25" customHeight="1">
      <c r="K208">
        <f>IF($A208="","",SUM($E208:$J208))</f>
        <v/>
      </c>
      <c r="M208">
        <f>IF($A208="","",MAX(0,ROUNDUP(DASHBOARD!$F$3-$D208,0)))</f>
        <v/>
      </c>
      <c r="N208">
        <f>IF($A208="","",$K208+(5002-ROW())/10000)</f>
        <v/>
      </c>
    </row>
    <row r="209" ht="14.25" customHeight="1">
      <c r="K209">
        <f>IF($A209="","",SUM($E209:$J209))</f>
        <v/>
      </c>
      <c r="M209">
        <f>IF($A209="","",MAX(0,ROUNDUP(DASHBOARD!$F$3-$D209,0)))</f>
        <v/>
      </c>
      <c r="N209">
        <f>IF($A209="","",$K209+(5002-ROW())/10000)</f>
        <v/>
      </c>
    </row>
    <row r="210" ht="14.25" customHeight="1">
      <c r="K210">
        <f>IF($A210="","",SUM($E210:$J210))</f>
        <v/>
      </c>
      <c r="M210">
        <f>IF($A210="","",MAX(0,ROUNDUP(DASHBOARD!$F$3-$D210,0)))</f>
        <v/>
      </c>
      <c r="N210">
        <f>IF($A210="","",$K210+(5002-ROW())/10000)</f>
        <v/>
      </c>
    </row>
    <row r="211" ht="14.25" customHeight="1">
      <c r="K211">
        <f>IF($A211="","",SUM($E211:$J211))</f>
        <v/>
      </c>
      <c r="M211">
        <f>IF($A211="","",MAX(0,ROUNDUP(DASHBOARD!$F$3-$D211,0)))</f>
        <v/>
      </c>
      <c r="N211">
        <f>IF($A211="","",$K211+(5002-ROW())/10000)</f>
        <v/>
      </c>
    </row>
    <row r="212" ht="14.25" customHeight="1">
      <c r="K212">
        <f>IF($A212="","",SUM($E212:$J212))</f>
        <v/>
      </c>
      <c r="M212">
        <f>IF($A212="","",MAX(0,ROUNDUP(DASHBOARD!$F$3-$D212,0)))</f>
        <v/>
      </c>
      <c r="N212">
        <f>IF($A212="","",$K212+(5002-ROW())/10000)</f>
        <v/>
      </c>
    </row>
    <row r="213" ht="14.25" customHeight="1">
      <c r="K213">
        <f>IF($A213="","",SUM($E213:$J213))</f>
        <v/>
      </c>
      <c r="M213">
        <f>IF($A213="","",MAX(0,ROUNDUP(DASHBOARD!$F$3-$D213,0)))</f>
        <v/>
      </c>
      <c r="N213">
        <f>IF($A213="","",$K213+(5002-ROW())/10000)</f>
        <v/>
      </c>
    </row>
    <row r="214" ht="14.25" customHeight="1">
      <c r="K214">
        <f>IF($A214="","",SUM($E214:$J214))</f>
        <v/>
      </c>
      <c r="M214">
        <f>IF($A214="","",MAX(0,ROUNDUP(DASHBOARD!$F$3-$D214,0)))</f>
        <v/>
      </c>
      <c r="N214">
        <f>IF($A214="","",$K214+(5002-ROW())/10000)</f>
        <v/>
      </c>
    </row>
    <row r="215" ht="14.25" customHeight="1">
      <c r="K215">
        <f>IF($A215="","",SUM($E215:$J215))</f>
        <v/>
      </c>
      <c r="M215">
        <f>IF($A215="","",MAX(0,ROUNDUP(DASHBOARD!$F$3-$D215,0)))</f>
        <v/>
      </c>
      <c r="N215">
        <f>IF($A215="","",$K215+(5002-ROW())/10000)</f>
        <v/>
      </c>
    </row>
    <row r="216" ht="14.25" customHeight="1">
      <c r="K216">
        <f>IF($A216="","",SUM($E216:$J216))</f>
        <v/>
      </c>
      <c r="M216">
        <f>IF($A216="","",MAX(0,ROUNDUP(DASHBOARD!$F$3-$D216,0)))</f>
        <v/>
      </c>
      <c r="N216">
        <f>IF($A216="","",$K216+(5002-ROW())/10000)</f>
        <v/>
      </c>
    </row>
    <row r="217" ht="14.25" customHeight="1">
      <c r="K217">
        <f>IF($A217="","",SUM($E217:$J217))</f>
        <v/>
      </c>
      <c r="M217">
        <f>IF($A217="","",MAX(0,ROUNDUP(DASHBOARD!$F$3-$D217,0)))</f>
        <v/>
      </c>
      <c r="N217">
        <f>IF($A217="","",$K217+(5002-ROW())/10000)</f>
        <v/>
      </c>
    </row>
    <row r="218" ht="14.25" customHeight="1">
      <c r="K218">
        <f>IF($A218="","",SUM($E218:$J218))</f>
        <v/>
      </c>
      <c r="M218">
        <f>IF($A218="","",MAX(0,ROUNDUP(DASHBOARD!$F$3-$D218,0)))</f>
        <v/>
      </c>
      <c r="N218">
        <f>IF($A218="","",$K218+(5002-ROW())/10000)</f>
        <v/>
      </c>
    </row>
    <row r="219" ht="14.25" customHeight="1">
      <c r="K219">
        <f>IF($A219="","",SUM($E219:$J219))</f>
        <v/>
      </c>
      <c r="M219">
        <f>IF($A219="","",MAX(0,ROUNDUP(DASHBOARD!$F$3-$D219,0)))</f>
        <v/>
      </c>
      <c r="N219">
        <f>IF($A219="","",$K219+(5002-ROW())/10000)</f>
        <v/>
      </c>
    </row>
    <row r="220" ht="14.25" customHeight="1">
      <c r="K220">
        <f>IF($A220="","",SUM($E220:$J220))</f>
        <v/>
      </c>
      <c r="M220">
        <f>IF($A220="","",MAX(0,ROUNDUP(DASHBOARD!$F$3-$D220,0)))</f>
        <v/>
      </c>
      <c r="N220">
        <f>IF($A220="","",$K220+(5002-ROW())/10000)</f>
        <v/>
      </c>
    </row>
    <row r="221" ht="14.25" customHeight="1">
      <c r="K221">
        <f>IF($A221="","",SUM($E221:$J221))</f>
        <v/>
      </c>
      <c r="M221">
        <f>IF($A221="","",MAX(0,ROUNDUP(DASHBOARD!$F$3-$D221,0)))</f>
        <v/>
      </c>
      <c r="N221">
        <f>IF($A221="","",$K221+(5002-ROW())/10000)</f>
        <v/>
      </c>
    </row>
    <row r="222" ht="14.25" customHeight="1">
      <c r="K222">
        <f>IF($A222="","",SUM($E222:$J222))</f>
        <v/>
      </c>
      <c r="M222">
        <f>IF($A222="","",MAX(0,ROUNDUP(DASHBOARD!$F$3-$D222,0)))</f>
        <v/>
      </c>
      <c r="N222">
        <f>IF($A222="","",$K222+(5002-ROW())/10000)</f>
        <v/>
      </c>
    </row>
    <row r="223" ht="14.25" customHeight="1">
      <c r="K223">
        <f>IF($A223="","",SUM($E223:$J223))</f>
        <v/>
      </c>
      <c r="M223">
        <f>IF($A223="","",MAX(0,ROUNDUP(DASHBOARD!$F$3-$D223,0)))</f>
        <v/>
      </c>
      <c r="N223">
        <f>IF($A223="","",$K223+(5002-ROW())/10000)</f>
        <v/>
      </c>
    </row>
    <row r="224" ht="14.25" customHeight="1">
      <c r="K224">
        <f>IF($A224="","",SUM($E224:$J224))</f>
        <v/>
      </c>
      <c r="M224">
        <f>IF($A224="","",MAX(0,ROUNDUP(DASHBOARD!$F$3-$D224,0)))</f>
        <v/>
      </c>
      <c r="N224">
        <f>IF($A224="","",$K224+(5002-ROW())/10000)</f>
        <v/>
      </c>
    </row>
    <row r="225" ht="14.25" customHeight="1">
      <c r="K225">
        <f>IF($A225="","",SUM($E225:$J225))</f>
        <v/>
      </c>
      <c r="M225">
        <f>IF($A225="","",MAX(0,ROUNDUP(DASHBOARD!$F$3-$D225,0)))</f>
        <v/>
      </c>
      <c r="N225">
        <f>IF($A225="","",$K225+(5002-ROW())/10000)</f>
        <v/>
      </c>
    </row>
    <row r="226" ht="14.25" customHeight="1">
      <c r="K226">
        <f>IF($A226="","",SUM($E226:$J226))</f>
        <v/>
      </c>
      <c r="M226">
        <f>IF($A226="","",MAX(0,ROUNDUP(DASHBOARD!$F$3-$D226,0)))</f>
        <v/>
      </c>
      <c r="N226">
        <f>IF($A226="","",$K226+(5002-ROW())/10000)</f>
        <v/>
      </c>
    </row>
    <row r="227" ht="14.25" customHeight="1">
      <c r="K227">
        <f>IF($A227="","",SUM($E227:$J227))</f>
        <v/>
      </c>
      <c r="M227">
        <f>IF($A227="","",MAX(0,ROUNDUP(DASHBOARD!$F$3-$D227,0)))</f>
        <v/>
      </c>
      <c r="N227">
        <f>IF($A227="","",$K227+(5002-ROW())/10000)</f>
        <v/>
      </c>
    </row>
    <row r="228" ht="14.25" customHeight="1">
      <c r="K228">
        <f>IF($A228="","",SUM($E228:$J228))</f>
        <v/>
      </c>
      <c r="M228">
        <f>IF($A228="","",MAX(0,ROUNDUP(DASHBOARD!$F$3-$D228,0)))</f>
        <v/>
      </c>
      <c r="N228">
        <f>IF($A228="","",$K228+(5002-ROW())/10000)</f>
        <v/>
      </c>
    </row>
    <row r="229" ht="14.25" customHeight="1">
      <c r="K229">
        <f>IF($A229="","",SUM($E229:$J229))</f>
        <v/>
      </c>
      <c r="M229">
        <f>IF($A229="","",MAX(0,ROUNDUP(DASHBOARD!$F$3-$D229,0)))</f>
        <v/>
      </c>
      <c r="N229">
        <f>IF($A229="","",$K229+(5002-ROW())/10000)</f>
        <v/>
      </c>
    </row>
    <row r="230" ht="14.25" customHeight="1">
      <c r="K230">
        <f>IF($A230="","",SUM($E230:$J230))</f>
        <v/>
      </c>
      <c r="M230">
        <f>IF($A230="","",MAX(0,ROUNDUP(DASHBOARD!$F$3-$D230,0)))</f>
        <v/>
      </c>
      <c r="N230">
        <f>IF($A230="","",$K230+(5002-ROW())/10000)</f>
        <v/>
      </c>
    </row>
    <row r="231" ht="14.25" customHeight="1">
      <c r="K231">
        <f>IF($A231="","",SUM($E231:$J231))</f>
        <v/>
      </c>
      <c r="M231">
        <f>IF($A231="","",MAX(0,ROUNDUP(DASHBOARD!$F$3-$D231,0)))</f>
        <v/>
      </c>
      <c r="N231">
        <f>IF($A231="","",$K231+(5002-ROW())/10000)</f>
        <v/>
      </c>
    </row>
    <row r="232" ht="14.25" customHeight="1">
      <c r="K232">
        <f>IF($A232="","",SUM($E232:$J232))</f>
        <v/>
      </c>
      <c r="M232">
        <f>IF($A232="","",MAX(0,ROUNDUP(DASHBOARD!$F$3-$D232,0)))</f>
        <v/>
      </c>
      <c r="N232">
        <f>IF($A232="","",$K232+(5002-ROW())/10000)</f>
        <v/>
      </c>
    </row>
    <row r="233" ht="14.25" customHeight="1">
      <c r="K233">
        <f>IF($A233="","",SUM($E233:$J233))</f>
        <v/>
      </c>
      <c r="M233">
        <f>IF($A233="","",MAX(0,ROUNDUP(DASHBOARD!$F$3-$D233,0)))</f>
        <v/>
      </c>
      <c r="N233">
        <f>IF($A233="","",$K233+(5002-ROW())/10000)</f>
        <v/>
      </c>
    </row>
    <row r="234" ht="14.25" customHeight="1">
      <c r="K234">
        <f>IF($A234="","",SUM($E234:$J234))</f>
        <v/>
      </c>
      <c r="M234">
        <f>IF($A234="","",MAX(0,ROUNDUP(DASHBOARD!$F$3-$D234,0)))</f>
        <v/>
      </c>
      <c r="N234">
        <f>IF($A234="","",$K234+(5002-ROW())/10000)</f>
        <v/>
      </c>
    </row>
    <row r="235" ht="14.25" customHeight="1">
      <c r="K235">
        <f>IF($A235="","",SUM($E235:$J235))</f>
        <v/>
      </c>
      <c r="M235">
        <f>IF($A235="","",MAX(0,ROUNDUP(DASHBOARD!$F$3-$D235,0)))</f>
        <v/>
      </c>
      <c r="N235">
        <f>IF($A235="","",$K235+(5002-ROW())/10000)</f>
        <v/>
      </c>
    </row>
    <row r="236" ht="14.25" customHeight="1">
      <c r="K236">
        <f>IF($A236="","",SUM($E236:$J236))</f>
        <v/>
      </c>
      <c r="M236">
        <f>IF($A236="","",MAX(0,ROUNDUP(DASHBOARD!$F$3-$D236,0)))</f>
        <v/>
      </c>
      <c r="N236">
        <f>IF($A236="","",$K236+(5002-ROW())/10000)</f>
        <v/>
      </c>
    </row>
    <row r="237" ht="14.25" customHeight="1">
      <c r="K237">
        <f>IF($A237="","",SUM($E237:$J237))</f>
        <v/>
      </c>
      <c r="M237">
        <f>IF($A237="","",MAX(0,ROUNDUP(DASHBOARD!$F$3-$D237,0)))</f>
        <v/>
      </c>
      <c r="N237">
        <f>IF($A237="","",$K237+(5002-ROW())/10000)</f>
        <v/>
      </c>
    </row>
    <row r="238" ht="14.25" customHeight="1">
      <c r="K238">
        <f>IF($A238="","",SUM($E238:$J238))</f>
        <v/>
      </c>
      <c r="M238">
        <f>IF($A238="","",MAX(0,ROUNDUP(DASHBOARD!$F$3-$D238,0)))</f>
        <v/>
      </c>
      <c r="N238">
        <f>IF($A238="","",$K238+(5002-ROW())/10000)</f>
        <v/>
      </c>
    </row>
    <row r="239" ht="14.25" customHeight="1">
      <c r="K239">
        <f>IF($A239="","",SUM($E239:$J239))</f>
        <v/>
      </c>
      <c r="M239">
        <f>IF($A239="","",MAX(0,ROUNDUP(DASHBOARD!$F$3-$D239,0)))</f>
        <v/>
      </c>
      <c r="N239">
        <f>IF($A239="","",$K239+(5002-ROW())/10000)</f>
        <v/>
      </c>
    </row>
    <row r="240" ht="14.25" customHeight="1">
      <c r="K240">
        <f>IF($A240="","",SUM($E240:$J240))</f>
        <v/>
      </c>
      <c r="M240">
        <f>IF($A240="","",MAX(0,ROUNDUP(DASHBOARD!$F$3-$D240,0)))</f>
        <v/>
      </c>
      <c r="N240">
        <f>IF($A240="","",$K240+(5002-ROW())/10000)</f>
        <v/>
      </c>
    </row>
    <row r="241" ht="14.25" customHeight="1">
      <c r="K241">
        <f>IF($A241="","",SUM($E241:$J241))</f>
        <v/>
      </c>
      <c r="M241">
        <f>IF($A241="","",MAX(0,ROUNDUP(DASHBOARD!$F$3-$D241,0)))</f>
        <v/>
      </c>
      <c r="N241">
        <f>IF($A241="","",$K241+(5002-ROW())/10000)</f>
        <v/>
      </c>
    </row>
    <row r="242" ht="14.25" customHeight="1">
      <c r="K242">
        <f>IF($A242="","",SUM($E242:$J242))</f>
        <v/>
      </c>
      <c r="M242">
        <f>IF($A242="","",MAX(0,ROUNDUP(DASHBOARD!$F$3-$D242,0)))</f>
        <v/>
      </c>
      <c r="N242">
        <f>IF($A242="","",$K242+(5002-ROW())/10000)</f>
        <v/>
      </c>
    </row>
    <row r="243" ht="14.25" customHeight="1">
      <c r="K243">
        <f>IF($A243="","",SUM($E243:$J243))</f>
        <v/>
      </c>
      <c r="M243">
        <f>IF($A243="","",MAX(0,ROUNDUP(DASHBOARD!$F$3-$D243,0)))</f>
        <v/>
      </c>
      <c r="N243">
        <f>IF($A243="","",$K243+(5002-ROW())/10000)</f>
        <v/>
      </c>
    </row>
    <row r="244" ht="14.25" customHeight="1">
      <c r="K244">
        <f>IF($A244="","",SUM($E244:$J244))</f>
        <v/>
      </c>
      <c r="M244">
        <f>IF($A244="","",MAX(0,ROUNDUP(DASHBOARD!$F$3-$D244,0)))</f>
        <v/>
      </c>
      <c r="N244">
        <f>IF($A244="","",$K244+(5002-ROW())/10000)</f>
        <v/>
      </c>
    </row>
    <row r="245" ht="14.25" customHeight="1">
      <c r="K245">
        <f>IF($A245="","",SUM($E245:$J245))</f>
        <v/>
      </c>
      <c r="M245">
        <f>IF($A245="","",MAX(0,ROUNDUP(DASHBOARD!$F$3-$D245,0)))</f>
        <v/>
      </c>
      <c r="N245">
        <f>IF($A245="","",$K245+(5002-ROW())/10000)</f>
        <v/>
      </c>
    </row>
    <row r="246" ht="14.25" customHeight="1">
      <c r="K246">
        <f>IF($A246="","",SUM($E246:$J246))</f>
        <v/>
      </c>
      <c r="M246">
        <f>IF($A246="","",MAX(0,ROUNDUP(DASHBOARD!$F$3-$D246,0)))</f>
        <v/>
      </c>
      <c r="N246">
        <f>IF($A246="","",$K246+(5002-ROW())/10000)</f>
        <v/>
      </c>
    </row>
    <row r="247" ht="14.25" customHeight="1">
      <c r="K247">
        <f>IF($A247="","",SUM($E247:$J247))</f>
        <v/>
      </c>
      <c r="M247">
        <f>IF($A247="","",MAX(0,ROUNDUP(DASHBOARD!$F$3-$D247,0)))</f>
        <v/>
      </c>
      <c r="N247">
        <f>IF($A247="","",$K247+(5002-ROW())/10000)</f>
        <v/>
      </c>
    </row>
    <row r="248" ht="14.25" customHeight="1">
      <c r="K248">
        <f>IF($A248="","",SUM($E248:$J248))</f>
        <v/>
      </c>
      <c r="M248">
        <f>IF($A248="","",MAX(0,ROUNDUP(DASHBOARD!$F$3-$D248,0)))</f>
        <v/>
      </c>
      <c r="N248">
        <f>IF($A248="","",$K248+(5002-ROW())/10000)</f>
        <v/>
      </c>
    </row>
    <row r="249" ht="14.25" customHeight="1">
      <c r="K249">
        <f>IF($A249="","",SUM($E249:$J249))</f>
        <v/>
      </c>
      <c r="M249">
        <f>IF($A249="","",MAX(0,ROUNDUP(DASHBOARD!$F$3-$D249,0)))</f>
        <v/>
      </c>
      <c r="N249">
        <f>IF($A249="","",$K249+(5002-ROW())/10000)</f>
        <v/>
      </c>
    </row>
    <row r="250" ht="14.25" customHeight="1">
      <c r="K250">
        <f>IF($A250="","",SUM($E250:$J250))</f>
        <v/>
      </c>
      <c r="M250">
        <f>IF($A250="","",MAX(0,ROUNDUP(DASHBOARD!$F$3-$D250,0)))</f>
        <v/>
      </c>
      <c r="N250">
        <f>IF($A250="","",$K250+(5002-ROW())/10000)</f>
        <v/>
      </c>
    </row>
    <row r="251" ht="14.25" customHeight="1">
      <c r="K251">
        <f>IF($A251="","",SUM($E251:$J251))</f>
        <v/>
      </c>
      <c r="M251">
        <f>IF($A251="","",MAX(0,ROUNDUP(DASHBOARD!$F$3-$D251,0)))</f>
        <v/>
      </c>
      <c r="N251">
        <f>IF($A251="","",$K251+(5002-ROW())/10000)</f>
        <v/>
      </c>
    </row>
    <row r="252" ht="14.25" customHeight="1">
      <c r="K252">
        <f>IF($A252="","",SUM($E252:$J252))</f>
        <v/>
      </c>
      <c r="M252">
        <f>IF($A252="","",MAX(0,ROUNDUP(DASHBOARD!$F$3-$D252,0)))</f>
        <v/>
      </c>
      <c r="N252">
        <f>IF($A252="","",$K252+(5002-ROW())/10000)</f>
        <v/>
      </c>
    </row>
    <row r="253" ht="14.25" customHeight="1">
      <c r="K253">
        <f>IF($A253="","",SUM($E253:$J253))</f>
        <v/>
      </c>
      <c r="M253">
        <f>IF($A253="","",MAX(0,ROUNDUP(DASHBOARD!$F$3-$D253,0)))</f>
        <v/>
      </c>
      <c r="N253">
        <f>IF($A253="","",$K253+(5002-ROW())/10000)</f>
        <v/>
      </c>
    </row>
    <row r="254" ht="14.25" customHeight="1">
      <c r="K254">
        <f>IF($A254="","",SUM($E254:$J254))</f>
        <v/>
      </c>
      <c r="M254">
        <f>IF($A254="","",MAX(0,ROUNDUP(DASHBOARD!$F$3-$D254,0)))</f>
        <v/>
      </c>
      <c r="N254">
        <f>IF($A254="","",$K254+(5002-ROW())/10000)</f>
        <v/>
      </c>
    </row>
    <row r="255" ht="14.25" customHeight="1">
      <c r="K255">
        <f>IF($A255="","",SUM($E255:$J255))</f>
        <v/>
      </c>
      <c r="M255">
        <f>IF($A255="","",MAX(0,ROUNDUP(DASHBOARD!$F$3-$D255,0)))</f>
        <v/>
      </c>
      <c r="N255">
        <f>IF($A255="","",$K255+(5002-ROW())/10000)</f>
        <v/>
      </c>
    </row>
    <row r="256" ht="14.25" customHeight="1">
      <c r="K256">
        <f>IF($A256="","",SUM($E256:$J256))</f>
        <v/>
      </c>
      <c r="M256">
        <f>IF($A256="","",MAX(0,ROUNDUP(DASHBOARD!$F$3-$D256,0)))</f>
        <v/>
      </c>
      <c r="N256">
        <f>IF($A256="","",$K256+(5002-ROW())/10000)</f>
        <v/>
      </c>
    </row>
    <row r="257" ht="14.25" customHeight="1">
      <c r="K257">
        <f>IF($A257="","",SUM($E257:$J257))</f>
        <v/>
      </c>
      <c r="M257">
        <f>IF($A257="","",MAX(0,ROUNDUP(DASHBOARD!$F$3-$D257,0)))</f>
        <v/>
      </c>
      <c r="N257">
        <f>IF($A257="","",$K257+(5002-ROW())/10000)</f>
        <v/>
      </c>
    </row>
    <row r="258" ht="14.25" customHeight="1">
      <c r="K258">
        <f>IF($A258="","",SUM($E258:$J258))</f>
        <v/>
      </c>
      <c r="M258">
        <f>IF($A258="","",MAX(0,ROUNDUP(DASHBOARD!$F$3-$D258,0)))</f>
        <v/>
      </c>
      <c r="N258">
        <f>IF($A258="","",$K258+(5002-ROW())/10000)</f>
        <v/>
      </c>
    </row>
    <row r="259" ht="14.25" customHeight="1">
      <c r="K259">
        <f>IF($A259="","",SUM($E259:$J259))</f>
        <v/>
      </c>
      <c r="M259">
        <f>IF($A259="","",MAX(0,ROUNDUP(DASHBOARD!$F$3-$D259,0)))</f>
        <v/>
      </c>
      <c r="N259">
        <f>IF($A259="","",$K259+(5002-ROW())/10000)</f>
        <v/>
      </c>
    </row>
    <row r="260" ht="14.25" customHeight="1">
      <c r="K260">
        <f>IF($A260="","",SUM($E260:$J260))</f>
        <v/>
      </c>
      <c r="M260">
        <f>IF($A260="","",MAX(0,ROUNDUP(DASHBOARD!$F$3-$D260,0)))</f>
        <v/>
      </c>
      <c r="N260">
        <f>IF($A260="","",$K260+(5002-ROW())/10000)</f>
        <v/>
      </c>
    </row>
    <row r="261" ht="14.25" customHeight="1">
      <c r="K261">
        <f>IF($A261="","",SUM($E261:$J261))</f>
        <v/>
      </c>
      <c r="M261">
        <f>IF($A261="","",MAX(0,ROUNDUP(DASHBOARD!$F$3-$D261,0)))</f>
        <v/>
      </c>
      <c r="N261">
        <f>IF($A261="","",$K261+(5002-ROW())/10000)</f>
        <v/>
      </c>
    </row>
    <row r="262" ht="14.25" customHeight="1">
      <c r="K262">
        <f>IF($A262="","",SUM($E262:$J262))</f>
        <v/>
      </c>
      <c r="M262">
        <f>IF($A262="","",MAX(0,ROUNDUP(DASHBOARD!$F$3-$D262,0)))</f>
        <v/>
      </c>
      <c r="N262">
        <f>IF($A262="","",$K262+(5002-ROW())/10000)</f>
        <v/>
      </c>
    </row>
    <row r="263" ht="14.25" customHeight="1">
      <c r="K263">
        <f>IF($A263="","",SUM($E263:$J263))</f>
        <v/>
      </c>
      <c r="M263">
        <f>IF($A263="","",MAX(0,ROUNDUP(DASHBOARD!$F$3-$D263,0)))</f>
        <v/>
      </c>
      <c r="N263">
        <f>IF($A263="","",$K263+(5002-ROW())/10000)</f>
        <v/>
      </c>
    </row>
    <row r="264" ht="14.25" customHeight="1">
      <c r="K264">
        <f>IF($A264="","",SUM($E264:$J264))</f>
        <v/>
      </c>
      <c r="M264">
        <f>IF($A264="","",MAX(0,ROUNDUP(DASHBOARD!$F$3-$D264,0)))</f>
        <v/>
      </c>
      <c r="N264">
        <f>IF($A264="","",$K264+(5002-ROW())/10000)</f>
        <v/>
      </c>
    </row>
    <row r="265" ht="14.25" customHeight="1">
      <c r="K265">
        <f>IF($A265="","",SUM($E265:$J265))</f>
        <v/>
      </c>
      <c r="M265">
        <f>IF($A265="","",MAX(0,ROUNDUP(DASHBOARD!$F$3-$D265,0)))</f>
        <v/>
      </c>
      <c r="N265">
        <f>IF($A265="","",$K265+(5002-ROW())/10000)</f>
        <v/>
      </c>
    </row>
    <row r="266" ht="14.25" customHeight="1">
      <c r="K266">
        <f>IF($A266="","",SUM($E266:$J266))</f>
        <v/>
      </c>
      <c r="M266">
        <f>IF($A266="","",MAX(0,ROUNDUP(DASHBOARD!$F$3-$D266,0)))</f>
        <v/>
      </c>
      <c r="N266">
        <f>IF($A266="","",$K266+(5002-ROW())/10000)</f>
        <v/>
      </c>
    </row>
    <row r="267" ht="14.25" customHeight="1">
      <c r="K267">
        <f>IF($A267="","",SUM($E267:$J267))</f>
        <v/>
      </c>
      <c r="M267">
        <f>IF($A267="","",MAX(0,ROUNDUP(DASHBOARD!$F$3-$D267,0)))</f>
        <v/>
      </c>
      <c r="N267">
        <f>IF($A267="","",$K267+(5002-ROW())/10000)</f>
        <v/>
      </c>
    </row>
    <row r="268" ht="14.25" customHeight="1">
      <c r="K268">
        <f>IF($A268="","",SUM($E268:$J268))</f>
        <v/>
      </c>
      <c r="M268">
        <f>IF($A268="","",MAX(0,ROUNDUP(DASHBOARD!$F$3-$D268,0)))</f>
        <v/>
      </c>
      <c r="N268">
        <f>IF($A268="","",$K268+(5002-ROW())/10000)</f>
        <v/>
      </c>
    </row>
    <row r="269" ht="14.25" customHeight="1">
      <c r="K269">
        <f>IF($A269="","",SUM($E269:$J269))</f>
        <v/>
      </c>
      <c r="M269">
        <f>IF($A269="","",MAX(0,ROUNDUP(DASHBOARD!$F$3-$D269,0)))</f>
        <v/>
      </c>
      <c r="N269">
        <f>IF($A269="","",$K269+(5002-ROW())/10000)</f>
        <v/>
      </c>
    </row>
    <row r="270" ht="14.25" customHeight="1">
      <c r="K270">
        <f>IF($A270="","",SUM($E270:$J270))</f>
        <v/>
      </c>
      <c r="M270">
        <f>IF($A270="","",MAX(0,ROUNDUP(DASHBOARD!$F$3-$D270,0)))</f>
        <v/>
      </c>
      <c r="N270">
        <f>IF($A270="","",$K270+(5002-ROW())/10000)</f>
        <v/>
      </c>
    </row>
    <row r="271" ht="14.25" customHeight="1">
      <c r="K271">
        <f>IF($A271="","",SUM($E271:$J271))</f>
        <v/>
      </c>
      <c r="M271">
        <f>IF($A271="","",MAX(0,ROUNDUP(DASHBOARD!$F$3-$D271,0)))</f>
        <v/>
      </c>
      <c r="N271">
        <f>IF($A271="","",$K271+(5002-ROW())/10000)</f>
        <v/>
      </c>
    </row>
    <row r="272" ht="14.25" customHeight="1">
      <c r="K272">
        <f>IF($A272="","",SUM($E272:$J272))</f>
        <v/>
      </c>
      <c r="M272">
        <f>IF($A272="","",MAX(0,ROUNDUP(DASHBOARD!$F$3-$D272,0)))</f>
        <v/>
      </c>
      <c r="N272">
        <f>IF($A272="","",$K272+(5002-ROW())/10000)</f>
        <v/>
      </c>
    </row>
    <row r="273" ht="14.25" customHeight="1">
      <c r="K273">
        <f>IF($A273="","",SUM($E273:$J273))</f>
        <v/>
      </c>
      <c r="M273">
        <f>IF($A273="","",MAX(0,ROUNDUP(DASHBOARD!$F$3-$D273,0)))</f>
        <v/>
      </c>
      <c r="N273">
        <f>IF($A273="","",$K273+(5002-ROW())/10000)</f>
        <v/>
      </c>
    </row>
    <row r="274" ht="14.25" customHeight="1">
      <c r="K274">
        <f>IF($A274="","",SUM($E274:$J274))</f>
        <v/>
      </c>
      <c r="M274">
        <f>IF($A274="","",MAX(0,ROUNDUP(DASHBOARD!$F$3-$D274,0)))</f>
        <v/>
      </c>
      <c r="N274">
        <f>IF($A274="","",$K274+(5002-ROW())/10000)</f>
        <v/>
      </c>
    </row>
    <row r="275" ht="14.25" customHeight="1">
      <c r="K275">
        <f>IF($A275="","",SUM($E275:$J275))</f>
        <v/>
      </c>
      <c r="M275">
        <f>IF($A275="","",MAX(0,ROUNDUP(DASHBOARD!$F$3-$D275,0)))</f>
        <v/>
      </c>
      <c r="N275">
        <f>IF($A275="","",$K275+(5002-ROW())/10000)</f>
        <v/>
      </c>
    </row>
    <row r="276" ht="14.25" customHeight="1">
      <c r="K276">
        <f>IF($A276="","",SUM($E276:$J276))</f>
        <v/>
      </c>
      <c r="M276">
        <f>IF($A276="","",MAX(0,ROUNDUP(DASHBOARD!$F$3-$D276,0)))</f>
        <v/>
      </c>
      <c r="N276">
        <f>IF($A276="","",$K276+(5002-ROW())/10000)</f>
        <v/>
      </c>
    </row>
    <row r="277" ht="14.25" customHeight="1">
      <c r="K277">
        <f>IF($A277="","",SUM($E277:$J277))</f>
        <v/>
      </c>
      <c r="M277">
        <f>IF($A277="","",MAX(0,ROUNDUP(DASHBOARD!$F$3-$D277,0)))</f>
        <v/>
      </c>
      <c r="N277">
        <f>IF($A277="","",$K277+(5002-ROW())/10000)</f>
        <v/>
      </c>
    </row>
    <row r="278" ht="14.25" customHeight="1">
      <c r="K278">
        <f>IF($A278="","",SUM($E278:$J278))</f>
        <v/>
      </c>
      <c r="M278">
        <f>IF($A278="","",MAX(0,ROUNDUP(DASHBOARD!$F$3-$D278,0)))</f>
        <v/>
      </c>
      <c r="N278">
        <f>IF($A278="","",$K278+(5002-ROW())/10000)</f>
        <v/>
      </c>
    </row>
    <row r="279" ht="14.25" customHeight="1">
      <c r="K279">
        <f>IF($A279="","",SUM($E279:$J279))</f>
        <v/>
      </c>
      <c r="M279">
        <f>IF($A279="","",MAX(0,ROUNDUP(DASHBOARD!$F$3-$D279,0)))</f>
        <v/>
      </c>
      <c r="N279">
        <f>IF($A279="","",$K279+(5002-ROW())/10000)</f>
        <v/>
      </c>
    </row>
    <row r="280" ht="14.25" customHeight="1">
      <c r="K280">
        <f>IF($A280="","",SUM($E280:$J280))</f>
        <v/>
      </c>
      <c r="M280">
        <f>IF($A280="","",MAX(0,ROUNDUP(DASHBOARD!$F$3-$D280,0)))</f>
        <v/>
      </c>
      <c r="N280">
        <f>IF($A280="","",$K280+(5002-ROW())/10000)</f>
        <v/>
      </c>
    </row>
    <row r="281" ht="14.25" customHeight="1">
      <c r="K281">
        <f>IF($A281="","",SUM($E281:$J281))</f>
        <v/>
      </c>
      <c r="M281">
        <f>IF($A281="","",MAX(0,ROUNDUP(DASHBOARD!$F$3-$D281,0)))</f>
        <v/>
      </c>
      <c r="N281">
        <f>IF($A281="","",$K281+(5002-ROW())/10000)</f>
        <v/>
      </c>
    </row>
    <row r="282" ht="14.25" customHeight="1">
      <c r="K282">
        <f>IF($A282="","",SUM($E282:$J282))</f>
        <v/>
      </c>
      <c r="M282">
        <f>IF($A282="","",MAX(0,ROUNDUP(DASHBOARD!$F$3-$D282,0)))</f>
        <v/>
      </c>
      <c r="N282">
        <f>IF($A282="","",$K282+(5002-ROW())/10000)</f>
        <v/>
      </c>
    </row>
    <row r="283" ht="14.25" customHeight="1">
      <c r="K283">
        <f>IF($A283="","",SUM($E283:$J283))</f>
        <v/>
      </c>
      <c r="M283">
        <f>IF($A283="","",MAX(0,ROUNDUP(DASHBOARD!$F$3-$D283,0)))</f>
        <v/>
      </c>
      <c r="N283">
        <f>IF($A283="","",$K283+(5002-ROW())/10000)</f>
        <v/>
      </c>
    </row>
    <row r="284" ht="14.25" customHeight="1">
      <c r="K284">
        <f>IF($A284="","",SUM($E284:$J284))</f>
        <v/>
      </c>
      <c r="M284">
        <f>IF($A284="","",MAX(0,ROUNDUP(DASHBOARD!$F$3-$D284,0)))</f>
        <v/>
      </c>
      <c r="N284">
        <f>IF($A284="","",$K284+(5002-ROW())/10000)</f>
        <v/>
      </c>
    </row>
    <row r="285" ht="14.25" customHeight="1">
      <c r="K285">
        <f>IF($A285="","",SUM($E285:$J285))</f>
        <v/>
      </c>
      <c r="M285">
        <f>IF($A285="","",MAX(0,ROUNDUP(DASHBOARD!$F$3-$D285,0)))</f>
        <v/>
      </c>
      <c r="N285">
        <f>IF($A285="","",$K285+(5002-ROW())/10000)</f>
        <v/>
      </c>
    </row>
    <row r="286" ht="14.25" customHeight="1">
      <c r="K286">
        <f>IF($A286="","",SUM($E286:$J286))</f>
        <v/>
      </c>
      <c r="M286">
        <f>IF($A286="","",MAX(0,ROUNDUP(DASHBOARD!$F$3-$D286,0)))</f>
        <v/>
      </c>
      <c r="N286">
        <f>IF($A286="","",$K286+(5002-ROW())/10000)</f>
        <v/>
      </c>
    </row>
    <row r="287" ht="14.25" customHeight="1">
      <c r="K287">
        <f>IF($A287="","",SUM($E287:$J287))</f>
        <v/>
      </c>
      <c r="M287">
        <f>IF($A287="","",MAX(0,ROUNDUP(DASHBOARD!$F$3-$D287,0)))</f>
        <v/>
      </c>
      <c r="N287">
        <f>IF($A287="","",$K287+(5002-ROW())/10000)</f>
        <v/>
      </c>
    </row>
    <row r="288" ht="14.25" customHeight="1">
      <c r="K288">
        <f>IF($A288="","",SUM($E288:$J288))</f>
        <v/>
      </c>
      <c r="M288">
        <f>IF($A288="","",MAX(0,ROUNDUP(DASHBOARD!$F$3-$D288,0)))</f>
        <v/>
      </c>
      <c r="N288">
        <f>IF($A288="","",$K288+(5002-ROW())/10000)</f>
        <v/>
      </c>
    </row>
    <row r="289" ht="14.25" customHeight="1">
      <c r="K289">
        <f>IF($A289="","",SUM($E289:$J289))</f>
        <v/>
      </c>
      <c r="M289">
        <f>IF($A289="","",MAX(0,ROUNDUP(DASHBOARD!$F$3-$D289,0)))</f>
        <v/>
      </c>
      <c r="N289">
        <f>IF($A289="","",$K289+(5002-ROW())/10000)</f>
        <v/>
      </c>
    </row>
    <row r="290" ht="14.25" customHeight="1">
      <c r="K290">
        <f>IF($A290="","",SUM($E290:$J290))</f>
        <v/>
      </c>
      <c r="M290">
        <f>IF($A290="","",MAX(0,ROUNDUP(DASHBOARD!$F$3-$D290,0)))</f>
        <v/>
      </c>
      <c r="N290">
        <f>IF($A290="","",$K290+(5002-ROW())/10000)</f>
        <v/>
      </c>
    </row>
    <row r="291" ht="14.25" customHeight="1">
      <c r="K291">
        <f>IF($A291="","",SUM($E291:$J291))</f>
        <v/>
      </c>
      <c r="M291">
        <f>IF($A291="","",MAX(0,ROUNDUP(DASHBOARD!$F$3-$D291,0)))</f>
        <v/>
      </c>
      <c r="N291">
        <f>IF($A291="","",$K291+(5002-ROW())/10000)</f>
        <v/>
      </c>
    </row>
    <row r="292" ht="14.25" customHeight="1">
      <c r="K292">
        <f>IF($A292="","",SUM($E292:$J292))</f>
        <v/>
      </c>
      <c r="M292">
        <f>IF($A292="","",MAX(0,ROUNDUP(DASHBOARD!$F$3-$D292,0)))</f>
        <v/>
      </c>
      <c r="N292">
        <f>IF($A292="","",$K292+(5002-ROW())/10000)</f>
        <v/>
      </c>
    </row>
    <row r="293" ht="14.25" customHeight="1">
      <c r="K293">
        <f>IF($A293="","",SUM($E293:$J293))</f>
        <v/>
      </c>
      <c r="M293">
        <f>IF($A293="","",MAX(0,ROUNDUP(DASHBOARD!$F$3-$D293,0)))</f>
        <v/>
      </c>
      <c r="N293">
        <f>IF($A293="","",$K293+(5002-ROW())/10000)</f>
        <v/>
      </c>
    </row>
    <row r="294" ht="14.25" customHeight="1">
      <c r="K294">
        <f>IF($A294="","",SUM($E294:$J294))</f>
        <v/>
      </c>
      <c r="M294">
        <f>IF($A294="","",MAX(0,ROUNDUP(DASHBOARD!$F$3-$D294,0)))</f>
        <v/>
      </c>
      <c r="N294">
        <f>IF($A294="","",$K294+(5002-ROW())/10000)</f>
        <v/>
      </c>
    </row>
    <row r="295" ht="14.25" customHeight="1">
      <c r="K295">
        <f>IF($A295="","",SUM($E295:$J295))</f>
        <v/>
      </c>
      <c r="M295">
        <f>IF($A295="","",MAX(0,ROUNDUP(DASHBOARD!$F$3-$D295,0)))</f>
        <v/>
      </c>
      <c r="N295">
        <f>IF($A295="","",$K295+(5002-ROW())/10000)</f>
        <v/>
      </c>
    </row>
    <row r="296" ht="14.25" customHeight="1">
      <c r="K296">
        <f>IF($A296="","",SUM($E296:$J296))</f>
        <v/>
      </c>
      <c r="M296">
        <f>IF($A296="","",MAX(0,ROUNDUP(DASHBOARD!$F$3-$D296,0)))</f>
        <v/>
      </c>
      <c r="N296">
        <f>IF($A296="","",$K296+(5002-ROW())/10000)</f>
        <v/>
      </c>
    </row>
    <row r="297" ht="14.25" customHeight="1">
      <c r="K297">
        <f>IF($A297="","",SUM($E297:$J297))</f>
        <v/>
      </c>
      <c r="M297">
        <f>IF($A297="","",MAX(0,ROUNDUP(DASHBOARD!$F$3-$D297,0)))</f>
        <v/>
      </c>
      <c r="N297">
        <f>IF($A297="","",$K297+(5002-ROW())/10000)</f>
        <v/>
      </c>
    </row>
    <row r="298" ht="14.25" customHeight="1">
      <c r="K298">
        <f>IF($A298="","",SUM($E298:$J298))</f>
        <v/>
      </c>
      <c r="M298">
        <f>IF($A298="","",MAX(0,ROUNDUP(DASHBOARD!$F$3-$D298,0)))</f>
        <v/>
      </c>
      <c r="N298">
        <f>IF($A298="","",$K298+(5002-ROW())/10000)</f>
        <v/>
      </c>
    </row>
    <row r="299" ht="14.25" customHeight="1">
      <c r="K299">
        <f>IF($A299="","",SUM($E299:$J299))</f>
        <v/>
      </c>
      <c r="M299">
        <f>IF($A299="","",MAX(0,ROUNDUP(DASHBOARD!$F$3-$D299,0)))</f>
        <v/>
      </c>
      <c r="N299">
        <f>IF($A299="","",$K299+(5002-ROW())/10000)</f>
        <v/>
      </c>
    </row>
    <row r="300" ht="14.25" customHeight="1">
      <c r="K300">
        <f>IF($A300="","",SUM($E300:$J300))</f>
        <v/>
      </c>
      <c r="M300">
        <f>IF($A300="","",MAX(0,ROUNDUP(DASHBOARD!$F$3-$D300,0)))</f>
        <v/>
      </c>
      <c r="N300">
        <f>IF($A300="","",$K300+(5002-ROW())/10000)</f>
        <v/>
      </c>
    </row>
    <row r="301" ht="14.25" customHeight="1">
      <c r="K301">
        <f>IF($A301="","",SUM($E301:$J301))</f>
        <v/>
      </c>
      <c r="M301">
        <f>IF($A301="","",MAX(0,ROUNDUP(DASHBOARD!$F$3-$D301,0)))</f>
        <v/>
      </c>
      <c r="N301">
        <f>IF($A301="","",$K301+(5002-ROW())/10000)</f>
        <v/>
      </c>
    </row>
    <row r="302" ht="14.25" customHeight="1">
      <c r="K302">
        <f>IF($A302="","",SUM($E302:$J302))</f>
        <v/>
      </c>
      <c r="M302">
        <f>IF($A302="","",MAX(0,ROUNDUP(DASHBOARD!$F$3-$D302,0)))</f>
        <v/>
      </c>
      <c r="N302">
        <f>IF($A302="","",$K302+(5002-ROW())/10000)</f>
        <v/>
      </c>
    </row>
    <row r="303" ht="14.25" customHeight="1">
      <c r="K303">
        <f>IF($A303="","",SUM($E303:$J303))</f>
        <v/>
      </c>
      <c r="M303">
        <f>IF($A303="","",MAX(0,ROUNDUP(DASHBOARD!$F$3-$D303,0)))</f>
        <v/>
      </c>
      <c r="N303">
        <f>IF($A303="","",$K303+(5002-ROW())/10000)</f>
        <v/>
      </c>
    </row>
    <row r="304" ht="14.25" customHeight="1">
      <c r="K304">
        <f>IF($A304="","",SUM($E304:$J304))</f>
        <v/>
      </c>
      <c r="M304">
        <f>IF($A304="","",MAX(0,ROUNDUP(DASHBOARD!$F$3-$D304,0)))</f>
        <v/>
      </c>
      <c r="N304">
        <f>IF($A304="","",$K304+(5002-ROW())/10000)</f>
        <v/>
      </c>
    </row>
    <row r="305" ht="14.25" customHeight="1">
      <c r="K305">
        <f>IF($A305="","",SUM($E305:$J305))</f>
        <v/>
      </c>
      <c r="M305">
        <f>IF($A305="","",MAX(0,ROUNDUP(DASHBOARD!$F$3-$D305,0)))</f>
        <v/>
      </c>
      <c r="N305">
        <f>IF($A305="","",$K305+(5002-ROW())/10000)</f>
        <v/>
      </c>
    </row>
    <row r="306" ht="14.25" customHeight="1">
      <c r="K306">
        <f>IF($A306="","",SUM($E306:$J306))</f>
        <v/>
      </c>
      <c r="M306">
        <f>IF($A306="","",MAX(0,ROUNDUP(DASHBOARD!$F$3-$D306,0)))</f>
        <v/>
      </c>
      <c r="N306">
        <f>IF($A306="","",$K306+(5002-ROW())/10000)</f>
        <v/>
      </c>
    </row>
    <row r="307" ht="14.25" customHeight="1">
      <c r="K307">
        <f>IF($A307="","",SUM($E307:$J307))</f>
        <v/>
      </c>
      <c r="M307">
        <f>IF($A307="","",MAX(0,ROUNDUP(DASHBOARD!$F$3-$D307,0)))</f>
        <v/>
      </c>
      <c r="N307">
        <f>IF($A307="","",$K307+(5002-ROW())/10000)</f>
        <v/>
      </c>
    </row>
    <row r="308" ht="14.25" customHeight="1">
      <c r="K308">
        <f>IF($A308="","",SUM($E308:$J308))</f>
        <v/>
      </c>
      <c r="M308">
        <f>IF($A308="","",MAX(0,ROUNDUP(DASHBOARD!$F$3-$D308,0)))</f>
        <v/>
      </c>
      <c r="N308">
        <f>IF($A308="","",$K308+(5002-ROW())/10000)</f>
        <v/>
      </c>
    </row>
    <row r="309" ht="14.25" customHeight="1">
      <c r="K309">
        <f>IF($A309="","",SUM($E309:$J309))</f>
        <v/>
      </c>
      <c r="M309">
        <f>IF($A309="","",MAX(0,ROUNDUP(DASHBOARD!$F$3-$D309,0)))</f>
        <v/>
      </c>
      <c r="N309">
        <f>IF($A309="","",$K309+(5002-ROW())/10000)</f>
        <v/>
      </c>
    </row>
    <row r="310" ht="14.25" customHeight="1">
      <c r="K310">
        <f>IF($A310="","",SUM($E310:$J310))</f>
        <v/>
      </c>
      <c r="M310">
        <f>IF($A310="","",MAX(0,ROUNDUP(DASHBOARD!$F$3-$D310,0)))</f>
        <v/>
      </c>
      <c r="N310">
        <f>IF($A310="","",$K310+(5002-ROW())/10000)</f>
        <v/>
      </c>
    </row>
    <row r="311" ht="14.25" customHeight="1">
      <c r="K311">
        <f>IF($A311="","",SUM($E311:$J311))</f>
        <v/>
      </c>
      <c r="M311">
        <f>IF($A311="","",MAX(0,ROUNDUP(DASHBOARD!$F$3-$D311,0)))</f>
        <v/>
      </c>
      <c r="N311">
        <f>IF($A311="","",$K311+(5002-ROW())/10000)</f>
        <v/>
      </c>
    </row>
    <row r="312" ht="14.25" customHeight="1">
      <c r="K312">
        <f>IF($A312="","",SUM($E312:$J312))</f>
        <v/>
      </c>
      <c r="M312">
        <f>IF($A312="","",MAX(0,ROUNDUP(DASHBOARD!$F$3-$D312,0)))</f>
        <v/>
      </c>
      <c r="N312">
        <f>IF($A312="","",$K312+(5002-ROW())/10000)</f>
        <v/>
      </c>
    </row>
    <row r="313" ht="14.25" customHeight="1">
      <c r="K313">
        <f>IF($A313="","",SUM($E313:$J313))</f>
        <v/>
      </c>
      <c r="M313">
        <f>IF($A313="","",MAX(0,ROUNDUP(DASHBOARD!$F$3-$D313,0)))</f>
        <v/>
      </c>
      <c r="N313">
        <f>IF($A313="","",$K313+(5002-ROW())/10000)</f>
        <v/>
      </c>
    </row>
    <row r="314" ht="14.25" customHeight="1">
      <c r="K314">
        <f>IF($A314="","",SUM($E314:$J314))</f>
        <v/>
      </c>
      <c r="M314">
        <f>IF($A314="","",MAX(0,ROUNDUP(DASHBOARD!$F$3-$D314,0)))</f>
        <v/>
      </c>
      <c r="N314">
        <f>IF($A314="","",$K314+(5002-ROW())/10000)</f>
        <v/>
      </c>
    </row>
    <row r="315" ht="14.25" customHeight="1">
      <c r="K315">
        <f>IF($A315="","",SUM($E315:$J315))</f>
        <v/>
      </c>
      <c r="M315">
        <f>IF($A315="","",MAX(0,ROUNDUP(DASHBOARD!$F$3-$D315,0)))</f>
        <v/>
      </c>
      <c r="N315">
        <f>IF($A315="","",$K315+(5002-ROW())/10000)</f>
        <v/>
      </c>
    </row>
    <row r="316" ht="14.25" customHeight="1">
      <c r="K316">
        <f>IF($A316="","",SUM($E316:$J316))</f>
        <v/>
      </c>
      <c r="M316">
        <f>IF($A316="","",MAX(0,ROUNDUP(DASHBOARD!$F$3-$D316,0)))</f>
        <v/>
      </c>
      <c r="N316">
        <f>IF($A316="","",$K316+(5002-ROW())/10000)</f>
        <v/>
      </c>
    </row>
    <row r="317" ht="14.25" customHeight="1">
      <c r="K317">
        <f>IF($A317="","",SUM($E317:$J317))</f>
        <v/>
      </c>
      <c r="M317">
        <f>IF($A317="","",MAX(0,ROUNDUP(DASHBOARD!$F$3-$D317,0)))</f>
        <v/>
      </c>
      <c r="N317">
        <f>IF($A317="","",$K317+(5002-ROW())/10000)</f>
        <v/>
      </c>
    </row>
    <row r="318" ht="14.25" customHeight="1">
      <c r="K318">
        <f>IF($A318="","",SUM($E318:$J318))</f>
        <v/>
      </c>
      <c r="M318">
        <f>IF($A318="","",MAX(0,ROUNDUP(DASHBOARD!$F$3-$D318,0)))</f>
        <v/>
      </c>
      <c r="N318">
        <f>IF($A318="","",$K318+(5002-ROW())/10000)</f>
        <v/>
      </c>
    </row>
    <row r="319" ht="14.25" customHeight="1">
      <c r="K319">
        <f>IF($A319="","",SUM($E319:$J319))</f>
        <v/>
      </c>
      <c r="M319">
        <f>IF($A319="","",MAX(0,ROUNDUP(DASHBOARD!$F$3-$D319,0)))</f>
        <v/>
      </c>
      <c r="N319">
        <f>IF($A319="","",$K319+(5002-ROW())/10000)</f>
        <v/>
      </c>
    </row>
    <row r="320" ht="14.25" customHeight="1">
      <c r="K320">
        <f>IF($A320="","",SUM($E320:$J320))</f>
        <v/>
      </c>
      <c r="M320">
        <f>IF($A320="","",MAX(0,ROUNDUP(DASHBOARD!$F$3-$D320,0)))</f>
        <v/>
      </c>
      <c r="N320">
        <f>IF($A320="","",$K320+(5002-ROW())/10000)</f>
        <v/>
      </c>
    </row>
    <row r="321" ht="14.25" customHeight="1">
      <c r="K321">
        <f>IF($A321="","",SUM($E321:$J321))</f>
        <v/>
      </c>
      <c r="M321">
        <f>IF($A321="","",MAX(0,ROUNDUP(DASHBOARD!$F$3-$D321,0)))</f>
        <v/>
      </c>
      <c r="N321">
        <f>IF($A321="","",$K321+(5002-ROW())/10000)</f>
        <v/>
      </c>
    </row>
    <row r="322" ht="14.25" customHeight="1">
      <c r="K322">
        <f>IF($A322="","",SUM($E322:$J322))</f>
        <v/>
      </c>
      <c r="M322">
        <f>IF($A322="","",MAX(0,ROUNDUP(DASHBOARD!$F$3-$D322,0)))</f>
        <v/>
      </c>
      <c r="N322">
        <f>IF($A322="","",$K322+(5002-ROW())/10000)</f>
        <v/>
      </c>
    </row>
    <row r="323" ht="14.25" customHeight="1">
      <c r="K323">
        <f>IF($A323="","",SUM($E323:$J323))</f>
        <v/>
      </c>
      <c r="M323">
        <f>IF($A323="","",MAX(0,ROUNDUP(DASHBOARD!$F$3-$D323,0)))</f>
        <v/>
      </c>
      <c r="N323">
        <f>IF($A323="","",$K323+(5002-ROW())/10000)</f>
        <v/>
      </c>
    </row>
    <row r="324" ht="14.25" customHeight="1">
      <c r="K324">
        <f>IF($A324="","",SUM($E324:$J324))</f>
        <v/>
      </c>
      <c r="M324">
        <f>IF($A324="","",MAX(0,ROUNDUP(DASHBOARD!$F$3-$D324,0)))</f>
        <v/>
      </c>
      <c r="N324">
        <f>IF($A324="","",$K324+(5002-ROW())/10000)</f>
        <v/>
      </c>
    </row>
    <row r="325" ht="14.25" customHeight="1">
      <c r="K325">
        <f>IF($A325="","",SUM($E325:$J325))</f>
        <v/>
      </c>
      <c r="M325">
        <f>IF($A325="","",MAX(0,ROUNDUP(DASHBOARD!$F$3-$D325,0)))</f>
        <v/>
      </c>
      <c r="N325">
        <f>IF($A325="","",$K325+(5002-ROW())/10000)</f>
        <v/>
      </c>
    </row>
    <row r="326" ht="14.25" customHeight="1">
      <c r="K326">
        <f>IF($A326="","",SUM($E326:$J326))</f>
        <v/>
      </c>
      <c r="M326">
        <f>IF($A326="","",MAX(0,ROUNDUP(DASHBOARD!$F$3-$D326,0)))</f>
        <v/>
      </c>
      <c r="N326">
        <f>IF($A326="","",$K326+(5002-ROW())/10000)</f>
        <v/>
      </c>
    </row>
    <row r="327" ht="14.25" customHeight="1">
      <c r="K327">
        <f>IF($A327="","",SUM($E327:$J327))</f>
        <v/>
      </c>
      <c r="M327">
        <f>IF($A327="","",MAX(0,ROUNDUP(DASHBOARD!$F$3-$D327,0)))</f>
        <v/>
      </c>
      <c r="N327">
        <f>IF($A327="","",$K327+(5002-ROW())/10000)</f>
        <v/>
      </c>
    </row>
    <row r="328" ht="14.25" customHeight="1">
      <c r="K328">
        <f>IF($A328="","",SUM($E328:$J328))</f>
        <v/>
      </c>
      <c r="M328">
        <f>IF($A328="","",MAX(0,ROUNDUP(DASHBOARD!$F$3-$D328,0)))</f>
        <v/>
      </c>
      <c r="N328">
        <f>IF($A328="","",$K328+(5002-ROW())/10000)</f>
        <v/>
      </c>
    </row>
    <row r="329" ht="14.25" customHeight="1">
      <c r="K329">
        <f>IF($A329="","",SUM($E329:$J329))</f>
        <v/>
      </c>
      <c r="M329">
        <f>IF($A329="","",MAX(0,ROUNDUP(DASHBOARD!$F$3-$D329,0)))</f>
        <v/>
      </c>
      <c r="N329">
        <f>IF($A329="","",$K329+(5002-ROW())/10000)</f>
        <v/>
      </c>
    </row>
    <row r="330" ht="14.25" customHeight="1">
      <c r="K330">
        <f>IF($A330="","",SUM($E330:$J330))</f>
        <v/>
      </c>
      <c r="M330">
        <f>IF($A330="","",MAX(0,ROUNDUP(DASHBOARD!$F$3-$D330,0)))</f>
        <v/>
      </c>
      <c r="N330">
        <f>IF($A330="","",$K330+(5002-ROW())/10000)</f>
        <v/>
      </c>
    </row>
    <row r="331" ht="14.25" customHeight="1">
      <c r="K331">
        <f>IF($A331="","",SUM($E331:$J331))</f>
        <v/>
      </c>
      <c r="M331">
        <f>IF($A331="","",MAX(0,ROUNDUP(DASHBOARD!$F$3-$D331,0)))</f>
        <v/>
      </c>
      <c r="N331">
        <f>IF($A331="","",$K331+(5002-ROW())/10000)</f>
        <v/>
      </c>
    </row>
    <row r="332" ht="14.25" customHeight="1">
      <c r="K332">
        <f>IF($A332="","",SUM($E332:$J332))</f>
        <v/>
      </c>
      <c r="M332">
        <f>IF($A332="","",MAX(0,ROUNDUP(DASHBOARD!$F$3-$D332,0)))</f>
        <v/>
      </c>
      <c r="N332">
        <f>IF($A332="","",$K332+(5002-ROW())/10000)</f>
        <v/>
      </c>
    </row>
    <row r="333" ht="14.25" customHeight="1">
      <c r="K333">
        <f>IF($A333="","",SUM($E333:$J333))</f>
        <v/>
      </c>
      <c r="M333">
        <f>IF($A333="","",MAX(0,ROUNDUP(DASHBOARD!$F$3-$D333,0)))</f>
        <v/>
      </c>
      <c r="N333">
        <f>IF($A333="","",$K333+(5002-ROW())/10000)</f>
        <v/>
      </c>
    </row>
    <row r="334" ht="14.25" customHeight="1">
      <c r="K334">
        <f>IF($A334="","",SUM($E334:$J334))</f>
        <v/>
      </c>
      <c r="M334">
        <f>IF($A334="","",MAX(0,ROUNDUP(DASHBOARD!$F$3-$D334,0)))</f>
        <v/>
      </c>
      <c r="N334">
        <f>IF($A334="","",$K334+(5002-ROW())/10000)</f>
        <v/>
      </c>
    </row>
    <row r="335" ht="14.25" customHeight="1">
      <c r="K335">
        <f>IF($A335="","",SUM($E335:$J335))</f>
        <v/>
      </c>
      <c r="M335">
        <f>IF($A335="","",MAX(0,ROUNDUP(DASHBOARD!$F$3-$D335,0)))</f>
        <v/>
      </c>
      <c r="N335">
        <f>IF($A335="","",$K335+(5002-ROW())/10000)</f>
        <v/>
      </c>
    </row>
    <row r="336" ht="14.25" customHeight="1">
      <c r="K336">
        <f>IF($A336="","",SUM($E336:$J336))</f>
        <v/>
      </c>
      <c r="M336">
        <f>IF($A336="","",MAX(0,ROUNDUP(DASHBOARD!$F$3-$D336,0)))</f>
        <v/>
      </c>
      <c r="N336">
        <f>IF($A336="","",$K336+(5002-ROW())/10000)</f>
        <v/>
      </c>
    </row>
    <row r="337" ht="14.25" customHeight="1">
      <c r="K337">
        <f>IF($A337="","",SUM($E337:$J337))</f>
        <v/>
      </c>
      <c r="M337">
        <f>IF($A337="","",MAX(0,ROUNDUP(DASHBOARD!$F$3-$D337,0)))</f>
        <v/>
      </c>
      <c r="N337">
        <f>IF($A337="","",$K337+(5002-ROW())/10000)</f>
        <v/>
      </c>
    </row>
    <row r="338" ht="14.25" customHeight="1">
      <c r="K338">
        <f>IF($A338="","",SUM($E338:$J338))</f>
        <v/>
      </c>
      <c r="M338">
        <f>IF($A338="","",MAX(0,ROUNDUP(DASHBOARD!$F$3-$D338,0)))</f>
        <v/>
      </c>
      <c r="N338">
        <f>IF($A338="","",$K338+(5002-ROW())/10000)</f>
        <v/>
      </c>
    </row>
    <row r="339" ht="14.25" customHeight="1">
      <c r="K339">
        <f>IF($A339="","",SUM($E339:$J339))</f>
        <v/>
      </c>
      <c r="M339">
        <f>IF($A339="","",MAX(0,ROUNDUP(DASHBOARD!$F$3-$D339,0)))</f>
        <v/>
      </c>
      <c r="N339">
        <f>IF($A339="","",$K339+(5002-ROW())/10000)</f>
        <v/>
      </c>
    </row>
    <row r="340" ht="14.25" customHeight="1">
      <c r="K340">
        <f>IF($A340="","",SUM($E340:$J340))</f>
        <v/>
      </c>
      <c r="M340">
        <f>IF($A340="","",MAX(0,ROUNDUP(DASHBOARD!$F$3-$D340,0)))</f>
        <v/>
      </c>
      <c r="N340">
        <f>IF($A340="","",$K340+(5002-ROW())/10000)</f>
        <v/>
      </c>
    </row>
    <row r="341" ht="14.25" customHeight="1">
      <c r="K341">
        <f>IF($A341="","",SUM($E341:$J341))</f>
        <v/>
      </c>
      <c r="M341">
        <f>IF($A341="","",MAX(0,ROUNDUP(DASHBOARD!$F$3-$D341,0)))</f>
        <v/>
      </c>
      <c r="N341">
        <f>IF($A341="","",$K341+(5002-ROW())/10000)</f>
        <v/>
      </c>
    </row>
    <row r="342" ht="14.25" customHeight="1">
      <c r="K342">
        <f>IF($A342="","",SUM($E342:$J342))</f>
        <v/>
      </c>
      <c r="M342">
        <f>IF($A342="","",MAX(0,ROUNDUP(DASHBOARD!$F$3-$D342,0)))</f>
        <v/>
      </c>
      <c r="N342">
        <f>IF($A342="","",$K342+(5002-ROW())/10000)</f>
        <v/>
      </c>
    </row>
    <row r="343" ht="14.25" customHeight="1">
      <c r="K343">
        <f>IF($A343="","",SUM($E343:$J343))</f>
        <v/>
      </c>
      <c r="M343">
        <f>IF($A343="","",MAX(0,ROUNDUP(DASHBOARD!$F$3-$D343,0)))</f>
        <v/>
      </c>
      <c r="N343">
        <f>IF($A343="","",$K343+(5002-ROW())/10000)</f>
        <v/>
      </c>
    </row>
    <row r="344" ht="14.25" customHeight="1">
      <c r="K344">
        <f>IF($A344="","",SUM($E344:$J344))</f>
        <v/>
      </c>
      <c r="M344">
        <f>IF($A344="","",MAX(0,ROUNDUP(DASHBOARD!$F$3-$D344,0)))</f>
        <v/>
      </c>
      <c r="N344">
        <f>IF($A344="","",$K344+(5002-ROW())/10000)</f>
        <v/>
      </c>
    </row>
    <row r="345" ht="14.25" customHeight="1">
      <c r="K345">
        <f>IF($A345="","",SUM($E345:$J345))</f>
        <v/>
      </c>
      <c r="M345">
        <f>IF($A345="","",MAX(0,ROUNDUP(DASHBOARD!$F$3-$D345,0)))</f>
        <v/>
      </c>
      <c r="N345">
        <f>IF($A345="","",$K345+(5002-ROW())/10000)</f>
        <v/>
      </c>
    </row>
    <row r="346" ht="14.25" customHeight="1">
      <c r="K346">
        <f>IF($A346="","",SUM($E346:$J346))</f>
        <v/>
      </c>
      <c r="M346">
        <f>IF($A346="","",MAX(0,ROUNDUP(DASHBOARD!$F$3-$D346,0)))</f>
        <v/>
      </c>
      <c r="N346">
        <f>IF($A346="","",$K346+(5002-ROW())/10000)</f>
        <v/>
      </c>
    </row>
    <row r="347" ht="14.25" customHeight="1">
      <c r="K347">
        <f>IF($A347="","",SUM($E347:$J347))</f>
        <v/>
      </c>
      <c r="M347">
        <f>IF($A347="","",MAX(0,ROUNDUP(DASHBOARD!$F$3-$D347,0)))</f>
        <v/>
      </c>
      <c r="N347">
        <f>IF($A347="","",$K347+(5002-ROW())/10000)</f>
        <v/>
      </c>
    </row>
    <row r="348" ht="14.25" customHeight="1">
      <c r="K348">
        <f>IF($A348="","",SUM($E348:$J348))</f>
        <v/>
      </c>
      <c r="M348">
        <f>IF($A348="","",MAX(0,ROUNDUP(DASHBOARD!$F$3-$D348,0)))</f>
        <v/>
      </c>
      <c r="N348">
        <f>IF($A348="","",$K348+(5002-ROW())/10000)</f>
        <v/>
      </c>
    </row>
    <row r="349" ht="14.25" customHeight="1">
      <c r="K349">
        <f>IF($A349="","",SUM($E349:$J349))</f>
        <v/>
      </c>
      <c r="M349">
        <f>IF($A349="","",MAX(0,ROUNDUP(DASHBOARD!$F$3-$D349,0)))</f>
        <v/>
      </c>
      <c r="N349">
        <f>IF($A349="","",$K349+(5002-ROW())/10000)</f>
        <v/>
      </c>
    </row>
    <row r="350" ht="14.25" customHeight="1">
      <c r="K350">
        <f>IF($A350="","",SUM($E350:$J350))</f>
        <v/>
      </c>
      <c r="M350">
        <f>IF($A350="","",MAX(0,ROUNDUP(DASHBOARD!$F$3-$D350,0)))</f>
        <v/>
      </c>
      <c r="N350">
        <f>IF($A350="","",$K350+(5002-ROW())/10000)</f>
        <v/>
      </c>
    </row>
    <row r="351" ht="14.25" customHeight="1">
      <c r="K351">
        <f>IF($A351="","",SUM($E351:$J351))</f>
        <v/>
      </c>
      <c r="M351">
        <f>IF($A351="","",MAX(0,ROUNDUP(DASHBOARD!$F$3-$D351,0)))</f>
        <v/>
      </c>
      <c r="N351">
        <f>IF($A351="","",$K351+(5002-ROW())/10000)</f>
        <v/>
      </c>
    </row>
    <row r="352" ht="14.25" customHeight="1">
      <c r="K352">
        <f>IF($A352="","",SUM($E352:$J352))</f>
        <v/>
      </c>
      <c r="M352">
        <f>IF($A352="","",MAX(0,ROUNDUP(DASHBOARD!$F$3-$D352,0)))</f>
        <v/>
      </c>
      <c r="N352">
        <f>IF($A352="","",$K352+(5002-ROW())/10000)</f>
        <v/>
      </c>
    </row>
    <row r="353" ht="14.25" customHeight="1">
      <c r="K353">
        <f>IF($A353="","",SUM($E353:$J353))</f>
        <v/>
      </c>
      <c r="M353">
        <f>IF($A353="","",MAX(0,ROUNDUP(DASHBOARD!$F$3-$D353,0)))</f>
        <v/>
      </c>
      <c r="N353">
        <f>IF($A353="","",$K353+(5002-ROW())/10000)</f>
        <v/>
      </c>
    </row>
    <row r="354" ht="14.25" customHeight="1">
      <c r="K354">
        <f>IF($A354="","",SUM($E354:$J354))</f>
        <v/>
      </c>
      <c r="M354">
        <f>IF($A354="","",MAX(0,ROUNDUP(DASHBOARD!$F$3-$D354,0)))</f>
        <v/>
      </c>
      <c r="N354">
        <f>IF($A354="","",$K354+(5002-ROW())/10000)</f>
        <v/>
      </c>
    </row>
    <row r="355" ht="14.25" customHeight="1">
      <c r="K355">
        <f>IF($A355="","",SUM($E355:$J355))</f>
        <v/>
      </c>
      <c r="M355">
        <f>IF($A355="","",MAX(0,ROUNDUP(DASHBOARD!$F$3-$D355,0)))</f>
        <v/>
      </c>
      <c r="N355">
        <f>IF($A355="","",$K355+(5002-ROW())/10000)</f>
        <v/>
      </c>
    </row>
    <row r="356" ht="14.25" customHeight="1">
      <c r="K356">
        <f>IF($A356="","",SUM($E356:$J356))</f>
        <v/>
      </c>
      <c r="M356">
        <f>IF($A356="","",MAX(0,ROUNDUP(DASHBOARD!$F$3-$D356,0)))</f>
        <v/>
      </c>
      <c r="N356">
        <f>IF($A356="","",$K356+(5002-ROW())/10000)</f>
        <v/>
      </c>
    </row>
    <row r="357" ht="14.25" customHeight="1">
      <c r="K357">
        <f>IF($A357="","",SUM($E357:$J357))</f>
        <v/>
      </c>
      <c r="M357">
        <f>IF($A357="","",MAX(0,ROUNDUP(DASHBOARD!$F$3-$D357,0)))</f>
        <v/>
      </c>
      <c r="N357">
        <f>IF($A357="","",$K357+(5002-ROW())/10000)</f>
        <v/>
      </c>
    </row>
    <row r="358" ht="14.25" customHeight="1">
      <c r="K358">
        <f>IF($A358="","",SUM($E358:$J358))</f>
        <v/>
      </c>
      <c r="M358">
        <f>IF($A358="","",MAX(0,ROUNDUP(DASHBOARD!$F$3-$D358,0)))</f>
        <v/>
      </c>
      <c r="N358">
        <f>IF($A358="","",$K358+(5002-ROW())/10000)</f>
        <v/>
      </c>
    </row>
    <row r="359" ht="14.25" customHeight="1">
      <c r="K359">
        <f>IF($A359="","",SUM($E359:$J359))</f>
        <v/>
      </c>
      <c r="M359">
        <f>IF($A359="","",MAX(0,ROUNDUP(DASHBOARD!$F$3-$D359,0)))</f>
        <v/>
      </c>
      <c r="N359">
        <f>IF($A359="","",$K359+(5002-ROW())/10000)</f>
        <v/>
      </c>
    </row>
    <row r="360" ht="14.25" customHeight="1">
      <c r="K360">
        <f>IF($A360="","",SUM($E360:$J360))</f>
        <v/>
      </c>
      <c r="M360">
        <f>IF($A360="","",MAX(0,ROUNDUP(DASHBOARD!$F$3-$D360,0)))</f>
        <v/>
      </c>
      <c r="N360">
        <f>IF($A360="","",$K360+(5002-ROW())/10000)</f>
        <v/>
      </c>
    </row>
    <row r="361" ht="14.25" customHeight="1">
      <c r="K361">
        <f>IF($A361="","",SUM($E361:$J361))</f>
        <v/>
      </c>
      <c r="M361">
        <f>IF($A361="","",MAX(0,ROUNDUP(DASHBOARD!$F$3-$D361,0)))</f>
        <v/>
      </c>
      <c r="N361">
        <f>IF($A361="","",$K361+(5002-ROW())/10000)</f>
        <v/>
      </c>
    </row>
    <row r="362" ht="14.25" customHeight="1">
      <c r="K362">
        <f>IF($A362="","",SUM($E362:$J362))</f>
        <v/>
      </c>
      <c r="M362">
        <f>IF($A362="","",MAX(0,ROUNDUP(DASHBOARD!$F$3-$D362,0)))</f>
        <v/>
      </c>
      <c r="N362">
        <f>IF($A362="","",$K362+(5002-ROW())/10000)</f>
        <v/>
      </c>
    </row>
    <row r="363" ht="14.25" customHeight="1">
      <c r="K363">
        <f>IF($A363="","",SUM($E363:$J363))</f>
        <v/>
      </c>
      <c r="M363">
        <f>IF($A363="","",MAX(0,ROUNDUP(DASHBOARD!$F$3-$D363,0)))</f>
        <v/>
      </c>
      <c r="N363">
        <f>IF($A363="","",$K363+(5002-ROW())/10000)</f>
        <v/>
      </c>
    </row>
    <row r="364" ht="14.25" customHeight="1">
      <c r="K364">
        <f>IF($A364="","",SUM($E364:$J364))</f>
        <v/>
      </c>
      <c r="M364">
        <f>IF($A364="","",MAX(0,ROUNDUP(DASHBOARD!$F$3-$D364,0)))</f>
        <v/>
      </c>
      <c r="N364">
        <f>IF($A364="","",$K364+(5002-ROW())/10000)</f>
        <v/>
      </c>
    </row>
    <row r="365" ht="14.25" customHeight="1">
      <c r="K365">
        <f>IF($A365="","",SUM($E365:$J365))</f>
        <v/>
      </c>
      <c r="M365">
        <f>IF($A365="","",MAX(0,ROUNDUP(DASHBOARD!$F$3-$D365,0)))</f>
        <v/>
      </c>
      <c r="N365">
        <f>IF($A365="","",$K365+(5002-ROW())/10000)</f>
        <v/>
      </c>
    </row>
    <row r="366" ht="14.25" customHeight="1">
      <c r="K366">
        <f>IF($A366="","",SUM($E366:$J366))</f>
        <v/>
      </c>
      <c r="M366">
        <f>IF($A366="","",MAX(0,ROUNDUP(DASHBOARD!$F$3-$D366,0)))</f>
        <v/>
      </c>
      <c r="N366">
        <f>IF($A366="","",$K366+(5002-ROW())/10000)</f>
        <v/>
      </c>
    </row>
    <row r="367" ht="14.25" customHeight="1">
      <c r="K367">
        <f>IF($A367="","",SUM($E367:$J367))</f>
        <v/>
      </c>
      <c r="M367">
        <f>IF($A367="","",MAX(0,ROUNDUP(DASHBOARD!$F$3-$D367,0)))</f>
        <v/>
      </c>
      <c r="N367">
        <f>IF($A367="","",$K367+(5002-ROW())/10000)</f>
        <v/>
      </c>
    </row>
    <row r="368" ht="14.25" customHeight="1">
      <c r="K368">
        <f>IF($A368="","",SUM($E368:$J368))</f>
        <v/>
      </c>
      <c r="M368">
        <f>IF($A368="","",MAX(0,ROUNDUP(DASHBOARD!$F$3-$D368,0)))</f>
        <v/>
      </c>
      <c r="N368">
        <f>IF($A368="","",$K368+(5002-ROW())/10000)</f>
        <v/>
      </c>
    </row>
    <row r="369" ht="14.25" customHeight="1">
      <c r="K369">
        <f>IF($A369="","",SUM($E369:$J369))</f>
        <v/>
      </c>
      <c r="M369">
        <f>IF($A369="","",MAX(0,ROUNDUP(DASHBOARD!$F$3-$D369,0)))</f>
        <v/>
      </c>
      <c r="N369">
        <f>IF($A369="","",$K369+(5002-ROW())/10000)</f>
        <v/>
      </c>
    </row>
    <row r="370" ht="14.25" customHeight="1">
      <c r="K370">
        <f>IF($A370="","",SUM($E370:$J370))</f>
        <v/>
      </c>
      <c r="M370">
        <f>IF($A370="","",MAX(0,ROUNDUP(DASHBOARD!$F$3-$D370,0)))</f>
        <v/>
      </c>
      <c r="N370">
        <f>IF($A370="","",$K370+(5002-ROW())/10000)</f>
        <v/>
      </c>
    </row>
    <row r="371" ht="14.25" customHeight="1">
      <c r="K371">
        <f>IF($A371="","",SUM($E371:$J371))</f>
        <v/>
      </c>
      <c r="M371">
        <f>IF($A371="","",MAX(0,ROUNDUP(DASHBOARD!$F$3-$D371,0)))</f>
        <v/>
      </c>
      <c r="N371">
        <f>IF($A371="","",$K371+(5002-ROW())/10000)</f>
        <v/>
      </c>
    </row>
    <row r="372" ht="14.25" customHeight="1">
      <c r="K372">
        <f>IF($A372="","",SUM($E372:$J372))</f>
        <v/>
      </c>
      <c r="M372">
        <f>IF($A372="","",MAX(0,ROUNDUP(DASHBOARD!$F$3-$D372,0)))</f>
        <v/>
      </c>
      <c r="N372">
        <f>IF($A372="","",$K372+(5002-ROW())/10000)</f>
        <v/>
      </c>
    </row>
    <row r="373" ht="14.25" customHeight="1">
      <c r="K373">
        <f>IF($A373="","",SUM($E373:$J373))</f>
        <v/>
      </c>
      <c r="M373">
        <f>IF($A373="","",MAX(0,ROUNDUP(DASHBOARD!$F$3-$D373,0)))</f>
        <v/>
      </c>
      <c r="N373">
        <f>IF($A373="","",$K373+(5002-ROW())/10000)</f>
        <v/>
      </c>
    </row>
    <row r="374" ht="14.25" customHeight="1">
      <c r="K374">
        <f>IF($A374="","",SUM($E374:$J374))</f>
        <v/>
      </c>
      <c r="M374">
        <f>IF($A374="","",MAX(0,ROUNDUP(DASHBOARD!$F$3-$D374,0)))</f>
        <v/>
      </c>
      <c r="N374">
        <f>IF($A374="","",$K374+(5002-ROW())/10000)</f>
        <v/>
      </c>
    </row>
    <row r="375" ht="14.25" customHeight="1">
      <c r="K375">
        <f>IF($A375="","",SUM($E375:$J375))</f>
        <v/>
      </c>
      <c r="M375">
        <f>IF($A375="","",MAX(0,ROUNDUP(DASHBOARD!$F$3-$D375,0)))</f>
        <v/>
      </c>
      <c r="N375">
        <f>IF($A375="","",$K375+(5002-ROW())/10000)</f>
        <v/>
      </c>
    </row>
    <row r="376" ht="14.25" customHeight="1">
      <c r="K376">
        <f>IF($A376="","",SUM($E376:$J376))</f>
        <v/>
      </c>
      <c r="M376">
        <f>IF($A376="","",MAX(0,ROUNDUP(DASHBOARD!$F$3-$D376,0)))</f>
        <v/>
      </c>
      <c r="N376">
        <f>IF($A376="","",$K376+(5002-ROW())/10000)</f>
        <v/>
      </c>
    </row>
    <row r="377" ht="14.25" customHeight="1">
      <c r="K377">
        <f>IF($A377="","",SUM($E377:$J377))</f>
        <v/>
      </c>
      <c r="M377">
        <f>IF($A377="","",MAX(0,ROUNDUP(DASHBOARD!$F$3-$D377,0)))</f>
        <v/>
      </c>
      <c r="N377">
        <f>IF($A377="","",$K377+(5002-ROW())/10000)</f>
        <v/>
      </c>
    </row>
    <row r="378" ht="14.25" customHeight="1">
      <c r="K378">
        <f>IF($A378="","",SUM($E378:$J378))</f>
        <v/>
      </c>
      <c r="M378">
        <f>IF($A378="","",MAX(0,ROUNDUP(DASHBOARD!$F$3-$D378,0)))</f>
        <v/>
      </c>
      <c r="N378">
        <f>IF($A378="","",$K378+(5002-ROW())/10000)</f>
        <v/>
      </c>
    </row>
    <row r="379" ht="14.25" customHeight="1">
      <c r="K379">
        <f>IF($A379="","",SUM($E379:$J379))</f>
        <v/>
      </c>
      <c r="M379">
        <f>IF($A379="","",MAX(0,ROUNDUP(DASHBOARD!$F$3-$D379,0)))</f>
        <v/>
      </c>
      <c r="N379">
        <f>IF($A379="","",$K379+(5002-ROW())/10000)</f>
        <v/>
      </c>
    </row>
    <row r="380" ht="14.25" customHeight="1">
      <c r="K380">
        <f>IF($A380="","",SUM($E380:$J380))</f>
        <v/>
      </c>
      <c r="M380">
        <f>IF($A380="","",MAX(0,ROUNDUP(DASHBOARD!$F$3-$D380,0)))</f>
        <v/>
      </c>
      <c r="N380">
        <f>IF($A380="","",$K380+(5002-ROW())/10000)</f>
        <v/>
      </c>
    </row>
    <row r="381" ht="14.25" customHeight="1">
      <c r="K381">
        <f>IF($A381="","",SUM($E381:$J381))</f>
        <v/>
      </c>
      <c r="M381">
        <f>IF($A381="","",MAX(0,ROUNDUP(DASHBOARD!$F$3-$D381,0)))</f>
        <v/>
      </c>
      <c r="N381">
        <f>IF($A381="","",$K381+(5002-ROW())/10000)</f>
        <v/>
      </c>
    </row>
    <row r="382" ht="14.25" customHeight="1">
      <c r="K382">
        <f>IF($A382="","",SUM($E382:$J382))</f>
        <v/>
      </c>
      <c r="M382">
        <f>IF($A382="","",MAX(0,ROUNDUP(DASHBOARD!$F$3-$D382,0)))</f>
        <v/>
      </c>
      <c r="N382">
        <f>IF($A382="","",$K382+(5002-ROW())/10000)</f>
        <v/>
      </c>
    </row>
    <row r="383" ht="14.25" customHeight="1">
      <c r="K383">
        <f>IF($A383="","",SUM($E383:$J383))</f>
        <v/>
      </c>
      <c r="M383">
        <f>IF($A383="","",MAX(0,ROUNDUP(DASHBOARD!$F$3-$D383,0)))</f>
        <v/>
      </c>
      <c r="N383">
        <f>IF($A383="","",$K383+(5002-ROW())/10000)</f>
        <v/>
      </c>
    </row>
    <row r="384" ht="14.25" customHeight="1">
      <c r="K384">
        <f>IF($A384="","",SUM($E384:$J384))</f>
        <v/>
      </c>
      <c r="M384">
        <f>IF($A384="","",MAX(0,ROUNDUP(DASHBOARD!$F$3-$D384,0)))</f>
        <v/>
      </c>
      <c r="N384">
        <f>IF($A384="","",$K384+(5002-ROW())/10000)</f>
        <v/>
      </c>
    </row>
    <row r="385" ht="14.25" customHeight="1">
      <c r="K385">
        <f>IF($A385="","",SUM($E385:$J385))</f>
        <v/>
      </c>
      <c r="M385">
        <f>IF($A385="","",MAX(0,ROUNDUP(DASHBOARD!$F$3-$D385,0)))</f>
        <v/>
      </c>
      <c r="N385">
        <f>IF($A385="","",$K385+(5002-ROW())/10000)</f>
        <v/>
      </c>
    </row>
    <row r="386" ht="14.25" customHeight="1">
      <c r="K386">
        <f>IF($A386="","",SUM($E386:$J386))</f>
        <v/>
      </c>
      <c r="M386">
        <f>IF($A386="","",MAX(0,ROUNDUP(DASHBOARD!$F$3-$D386,0)))</f>
        <v/>
      </c>
      <c r="N386">
        <f>IF($A386="","",$K386+(5002-ROW())/10000)</f>
        <v/>
      </c>
    </row>
    <row r="387" ht="14.25" customHeight="1">
      <c r="K387">
        <f>IF($A387="","",SUM($E387:$J387))</f>
        <v/>
      </c>
      <c r="M387">
        <f>IF($A387="","",MAX(0,ROUNDUP(DASHBOARD!$F$3-$D387,0)))</f>
        <v/>
      </c>
      <c r="N387">
        <f>IF($A387="","",$K387+(5002-ROW())/10000)</f>
        <v/>
      </c>
    </row>
    <row r="388" ht="14.25" customHeight="1">
      <c r="K388">
        <f>IF($A388="","",SUM($E388:$J388))</f>
        <v/>
      </c>
      <c r="M388">
        <f>IF($A388="","",MAX(0,ROUNDUP(DASHBOARD!$F$3-$D388,0)))</f>
        <v/>
      </c>
      <c r="N388">
        <f>IF($A388="","",$K388+(5002-ROW())/10000)</f>
        <v/>
      </c>
    </row>
    <row r="389" ht="14.25" customHeight="1">
      <c r="K389">
        <f>IF($A389="","",SUM($E389:$J389))</f>
        <v/>
      </c>
      <c r="M389">
        <f>IF($A389="","",MAX(0,ROUNDUP(DASHBOARD!$F$3-$D389,0)))</f>
        <v/>
      </c>
      <c r="N389">
        <f>IF($A389="","",$K389+(5002-ROW())/10000)</f>
        <v/>
      </c>
    </row>
    <row r="390" ht="14.25" customHeight="1">
      <c r="K390">
        <f>IF($A390="","",SUM($E390:$J390))</f>
        <v/>
      </c>
      <c r="M390">
        <f>IF($A390="","",MAX(0,ROUNDUP(DASHBOARD!$F$3-$D390,0)))</f>
        <v/>
      </c>
      <c r="N390">
        <f>IF($A390="","",$K390+(5002-ROW())/10000)</f>
        <v/>
      </c>
    </row>
    <row r="391" ht="14.25" customHeight="1">
      <c r="K391">
        <f>IF($A391="","",SUM($E391:$J391))</f>
        <v/>
      </c>
      <c r="M391">
        <f>IF($A391="","",MAX(0,ROUNDUP(DASHBOARD!$F$3-$D391,0)))</f>
        <v/>
      </c>
      <c r="N391">
        <f>IF($A391="","",$K391+(5002-ROW())/10000)</f>
        <v/>
      </c>
    </row>
    <row r="392" ht="14.25" customHeight="1">
      <c r="K392">
        <f>IF($A392="","",SUM($E392:$J392))</f>
        <v/>
      </c>
      <c r="M392">
        <f>IF($A392="","",MAX(0,ROUNDUP(DASHBOARD!$F$3-$D392,0)))</f>
        <v/>
      </c>
      <c r="N392">
        <f>IF($A392="","",$K392+(5002-ROW())/10000)</f>
        <v/>
      </c>
    </row>
    <row r="393" ht="14.25" customHeight="1">
      <c r="K393">
        <f>IF($A393="","",SUM($E393:$J393))</f>
        <v/>
      </c>
      <c r="M393">
        <f>IF($A393="","",MAX(0,ROUNDUP(DASHBOARD!$F$3-$D393,0)))</f>
        <v/>
      </c>
      <c r="N393">
        <f>IF($A393="","",$K393+(5002-ROW())/10000)</f>
        <v/>
      </c>
    </row>
    <row r="394" ht="14.25" customHeight="1">
      <c r="K394">
        <f>IF($A394="","",SUM($E394:$J394))</f>
        <v/>
      </c>
      <c r="M394">
        <f>IF($A394="","",MAX(0,ROUNDUP(DASHBOARD!$F$3-$D394,0)))</f>
        <v/>
      </c>
      <c r="N394">
        <f>IF($A394="","",$K394+(5002-ROW())/10000)</f>
        <v/>
      </c>
    </row>
    <row r="395" ht="14.25" customHeight="1">
      <c r="K395">
        <f>IF($A395="","",SUM($E395:$J395))</f>
        <v/>
      </c>
      <c r="M395">
        <f>IF($A395="","",MAX(0,ROUNDUP(DASHBOARD!$F$3-$D395,0)))</f>
        <v/>
      </c>
      <c r="N395">
        <f>IF($A395="","",$K395+(5002-ROW())/10000)</f>
        <v/>
      </c>
    </row>
    <row r="396" ht="14.25" customHeight="1">
      <c r="K396">
        <f>IF($A396="","",SUM($E396:$J396))</f>
        <v/>
      </c>
      <c r="M396">
        <f>IF($A396="","",MAX(0,ROUNDUP(DASHBOARD!$F$3-$D396,0)))</f>
        <v/>
      </c>
      <c r="N396">
        <f>IF($A396="","",$K396+(5002-ROW())/10000)</f>
        <v/>
      </c>
    </row>
    <row r="397" ht="14.25" customHeight="1">
      <c r="K397">
        <f>IF($A397="","",SUM($E397:$J397))</f>
        <v/>
      </c>
      <c r="M397">
        <f>IF($A397="","",MAX(0,ROUNDUP(DASHBOARD!$F$3-$D397,0)))</f>
        <v/>
      </c>
      <c r="N397">
        <f>IF($A397="","",$K397+(5002-ROW())/10000)</f>
        <v/>
      </c>
    </row>
    <row r="398" ht="14.25" customHeight="1">
      <c r="K398">
        <f>IF($A398="","",SUM($E398:$J398))</f>
        <v/>
      </c>
      <c r="M398">
        <f>IF($A398="","",MAX(0,ROUNDUP(DASHBOARD!$F$3-$D398,0)))</f>
        <v/>
      </c>
      <c r="N398">
        <f>IF($A398="","",$K398+(5002-ROW())/10000)</f>
        <v/>
      </c>
    </row>
    <row r="399" ht="14.25" customHeight="1">
      <c r="K399">
        <f>IF($A399="","",SUM($E399:$J399))</f>
        <v/>
      </c>
      <c r="M399">
        <f>IF($A399="","",MAX(0,ROUNDUP(DASHBOARD!$F$3-$D399,0)))</f>
        <v/>
      </c>
      <c r="N399">
        <f>IF($A399="","",$K399+(5002-ROW())/10000)</f>
        <v/>
      </c>
    </row>
    <row r="400" ht="14.25" customHeight="1">
      <c r="K400">
        <f>IF($A400="","",SUM($E400:$J400))</f>
        <v/>
      </c>
      <c r="M400">
        <f>IF($A400="","",MAX(0,ROUNDUP(DASHBOARD!$F$3-$D400,0)))</f>
        <v/>
      </c>
      <c r="N400">
        <f>IF($A400="","",$K400+(5002-ROW())/10000)</f>
        <v/>
      </c>
    </row>
    <row r="401" ht="14.25" customHeight="1">
      <c r="K401">
        <f>IF($A401="","",SUM($E401:$J401))</f>
        <v/>
      </c>
      <c r="M401">
        <f>IF($A401="","",MAX(0,ROUNDUP(DASHBOARD!$F$3-$D401,0)))</f>
        <v/>
      </c>
      <c r="N401">
        <f>IF($A401="","",$K401+(5002-ROW())/10000)</f>
        <v/>
      </c>
    </row>
    <row r="402" ht="14.25" customHeight="1">
      <c r="K402">
        <f>IF($A402="","",SUM($E402:$J402))</f>
        <v/>
      </c>
      <c r="M402">
        <f>IF($A402="","",MAX(0,ROUNDUP(DASHBOARD!$F$3-$D402,0)))</f>
        <v/>
      </c>
      <c r="N402">
        <f>IF($A402="","",$K402+(5002-ROW())/10000)</f>
        <v/>
      </c>
    </row>
    <row r="403" ht="14.25" customHeight="1">
      <c r="K403">
        <f>IF($A403="","",SUM($E403:$J403))</f>
        <v/>
      </c>
      <c r="M403">
        <f>IF($A403="","",MAX(0,ROUNDUP(DASHBOARD!$F$3-$D403,0)))</f>
        <v/>
      </c>
      <c r="N403">
        <f>IF($A403="","",$K403+(5002-ROW())/10000)</f>
        <v/>
      </c>
    </row>
    <row r="404" ht="14.25" customHeight="1">
      <c r="K404">
        <f>IF($A404="","",SUM($E404:$J404))</f>
        <v/>
      </c>
      <c r="M404">
        <f>IF($A404="","",MAX(0,ROUNDUP(DASHBOARD!$F$3-$D404,0)))</f>
        <v/>
      </c>
      <c r="N404">
        <f>IF($A404="","",$K404+(5002-ROW())/10000)</f>
        <v/>
      </c>
    </row>
    <row r="405" ht="14.25" customHeight="1">
      <c r="K405">
        <f>IF($A405="","",SUM($E405:$J405))</f>
        <v/>
      </c>
      <c r="M405">
        <f>IF($A405="","",MAX(0,ROUNDUP(DASHBOARD!$F$3-$D405,0)))</f>
        <v/>
      </c>
      <c r="N405">
        <f>IF($A405="","",$K405+(5002-ROW())/10000)</f>
        <v/>
      </c>
    </row>
    <row r="406" ht="14.25" customHeight="1">
      <c r="K406">
        <f>IF($A406="","",SUM($E406:$J406))</f>
        <v/>
      </c>
      <c r="M406">
        <f>IF($A406="","",MAX(0,ROUNDUP(DASHBOARD!$F$3-$D406,0)))</f>
        <v/>
      </c>
      <c r="N406">
        <f>IF($A406="","",$K406+(5002-ROW())/10000)</f>
        <v/>
      </c>
    </row>
    <row r="407" ht="14.25" customHeight="1">
      <c r="K407">
        <f>IF($A407="","",SUM($E407:$J407))</f>
        <v/>
      </c>
      <c r="M407">
        <f>IF($A407="","",MAX(0,ROUNDUP(DASHBOARD!$F$3-$D407,0)))</f>
        <v/>
      </c>
      <c r="N407">
        <f>IF($A407="","",$K407+(5002-ROW())/10000)</f>
        <v/>
      </c>
    </row>
    <row r="408" ht="14.25" customHeight="1">
      <c r="K408">
        <f>IF($A408="","",SUM($E408:$J408))</f>
        <v/>
      </c>
      <c r="M408">
        <f>IF($A408="","",MAX(0,ROUNDUP(DASHBOARD!$F$3-$D408,0)))</f>
        <v/>
      </c>
      <c r="N408">
        <f>IF($A408="","",$K408+(5002-ROW())/10000)</f>
        <v/>
      </c>
    </row>
    <row r="409" ht="14.25" customHeight="1">
      <c r="K409">
        <f>IF($A409="","",SUM($E409:$J409))</f>
        <v/>
      </c>
      <c r="M409">
        <f>IF($A409="","",MAX(0,ROUNDUP(DASHBOARD!$F$3-$D409,0)))</f>
        <v/>
      </c>
      <c r="N409">
        <f>IF($A409="","",$K409+(5002-ROW())/10000)</f>
        <v/>
      </c>
    </row>
    <row r="410" ht="14.25" customHeight="1">
      <c r="K410">
        <f>IF($A410="","",SUM($E410:$J410))</f>
        <v/>
      </c>
      <c r="M410">
        <f>IF($A410="","",MAX(0,ROUNDUP(DASHBOARD!$F$3-$D410,0)))</f>
        <v/>
      </c>
      <c r="N410">
        <f>IF($A410="","",$K410+(5002-ROW())/10000)</f>
        <v/>
      </c>
    </row>
    <row r="411" ht="14.25" customHeight="1">
      <c r="K411">
        <f>IF($A411="","",SUM($E411:$J411))</f>
        <v/>
      </c>
      <c r="M411">
        <f>IF($A411="","",MAX(0,ROUNDUP(DASHBOARD!$F$3-$D411,0)))</f>
        <v/>
      </c>
      <c r="N411">
        <f>IF($A411="","",$K411+(5002-ROW())/10000)</f>
        <v/>
      </c>
    </row>
    <row r="412" ht="14.25" customHeight="1">
      <c r="K412">
        <f>IF($A412="","",SUM($E412:$J412))</f>
        <v/>
      </c>
      <c r="M412">
        <f>IF($A412="","",MAX(0,ROUNDUP(DASHBOARD!$F$3-$D412,0)))</f>
        <v/>
      </c>
      <c r="N412">
        <f>IF($A412="","",$K412+(5002-ROW())/10000)</f>
        <v/>
      </c>
    </row>
    <row r="413" ht="14.25" customHeight="1">
      <c r="K413">
        <f>IF($A413="","",SUM($E413:$J413))</f>
        <v/>
      </c>
      <c r="M413">
        <f>IF($A413="","",MAX(0,ROUNDUP(DASHBOARD!$F$3-$D413,0)))</f>
        <v/>
      </c>
      <c r="N413">
        <f>IF($A413="","",$K413+(5002-ROW())/10000)</f>
        <v/>
      </c>
    </row>
    <row r="414" ht="14.25" customHeight="1">
      <c r="K414">
        <f>IF($A414="","",SUM($E414:$J414))</f>
        <v/>
      </c>
      <c r="M414">
        <f>IF($A414="","",MAX(0,ROUNDUP(DASHBOARD!$F$3-$D414,0)))</f>
        <v/>
      </c>
      <c r="N414">
        <f>IF($A414="","",$K414+(5002-ROW())/10000)</f>
        <v/>
      </c>
    </row>
    <row r="415" ht="14.25" customHeight="1">
      <c r="K415">
        <f>IF($A415="","",SUM($E415:$J415))</f>
        <v/>
      </c>
      <c r="M415">
        <f>IF($A415="","",MAX(0,ROUNDUP(DASHBOARD!$F$3-$D415,0)))</f>
        <v/>
      </c>
      <c r="N415">
        <f>IF($A415="","",$K415+(5002-ROW())/10000)</f>
        <v/>
      </c>
    </row>
    <row r="416" ht="14.25" customHeight="1">
      <c r="K416">
        <f>IF($A416="","",SUM($E416:$J416))</f>
        <v/>
      </c>
      <c r="M416">
        <f>IF($A416="","",MAX(0,ROUNDUP(DASHBOARD!$F$3-$D416,0)))</f>
        <v/>
      </c>
      <c r="N416">
        <f>IF($A416="","",$K416+(5002-ROW())/10000)</f>
        <v/>
      </c>
    </row>
    <row r="417" ht="14.25" customHeight="1">
      <c r="K417">
        <f>IF($A417="","",SUM($E417:$J417))</f>
        <v/>
      </c>
      <c r="M417">
        <f>IF($A417="","",MAX(0,ROUNDUP(DASHBOARD!$F$3-$D417,0)))</f>
        <v/>
      </c>
      <c r="N417">
        <f>IF($A417="","",$K417+(5002-ROW())/10000)</f>
        <v/>
      </c>
    </row>
    <row r="418" ht="14.25" customHeight="1">
      <c r="K418">
        <f>IF($A418="","",SUM($E418:$J418))</f>
        <v/>
      </c>
      <c r="M418">
        <f>IF($A418="","",MAX(0,ROUNDUP(DASHBOARD!$F$3-$D418,0)))</f>
        <v/>
      </c>
      <c r="N418">
        <f>IF($A418="","",$K418+(5002-ROW())/10000)</f>
        <v/>
      </c>
    </row>
    <row r="419" ht="14.25" customHeight="1">
      <c r="K419">
        <f>IF($A419="","",SUM($E419:$J419))</f>
        <v/>
      </c>
      <c r="M419">
        <f>IF($A419="","",MAX(0,ROUNDUP(DASHBOARD!$F$3-$D419,0)))</f>
        <v/>
      </c>
      <c r="N419">
        <f>IF($A419="","",$K419+(5002-ROW())/10000)</f>
        <v/>
      </c>
    </row>
    <row r="420" ht="14.25" customHeight="1">
      <c r="K420">
        <f>IF($A420="","",SUM($E420:$J420))</f>
        <v/>
      </c>
      <c r="M420">
        <f>IF($A420="","",MAX(0,ROUNDUP(DASHBOARD!$F$3-$D420,0)))</f>
        <v/>
      </c>
      <c r="N420">
        <f>IF($A420="","",$K420+(5002-ROW())/10000)</f>
        <v/>
      </c>
    </row>
    <row r="421" ht="14.25" customHeight="1">
      <c r="K421">
        <f>IF($A421="","",SUM($E421:$J421))</f>
        <v/>
      </c>
      <c r="M421">
        <f>IF($A421="","",MAX(0,ROUNDUP(DASHBOARD!$F$3-$D421,0)))</f>
        <v/>
      </c>
      <c r="N421">
        <f>IF($A421="","",$K421+(5002-ROW())/10000)</f>
        <v/>
      </c>
    </row>
    <row r="422" ht="14.25" customHeight="1">
      <c r="K422">
        <f>IF($A422="","",SUM($E422:$J422))</f>
        <v/>
      </c>
      <c r="M422">
        <f>IF($A422="","",MAX(0,ROUNDUP(DASHBOARD!$F$3-$D422,0)))</f>
        <v/>
      </c>
      <c r="N422">
        <f>IF($A422="","",$K422+(5002-ROW())/10000)</f>
        <v/>
      </c>
    </row>
    <row r="423" ht="14.25" customHeight="1">
      <c r="K423">
        <f>IF($A423="","",SUM($E423:$J423))</f>
        <v/>
      </c>
      <c r="M423">
        <f>IF($A423="","",MAX(0,ROUNDUP(DASHBOARD!$F$3-$D423,0)))</f>
        <v/>
      </c>
      <c r="N423">
        <f>IF($A423="","",$K423+(5002-ROW())/10000)</f>
        <v/>
      </c>
    </row>
    <row r="424" ht="14.25" customHeight="1">
      <c r="K424">
        <f>IF($A424="","",SUM($E424:$J424))</f>
        <v/>
      </c>
      <c r="M424">
        <f>IF($A424="","",MAX(0,ROUNDUP(DASHBOARD!$F$3-$D424,0)))</f>
        <v/>
      </c>
      <c r="N424">
        <f>IF($A424="","",$K424+(5002-ROW())/10000)</f>
        <v/>
      </c>
    </row>
    <row r="425" ht="14.25" customHeight="1">
      <c r="K425">
        <f>IF($A425="","",SUM($E425:$J425))</f>
        <v/>
      </c>
      <c r="M425">
        <f>IF($A425="","",MAX(0,ROUNDUP(DASHBOARD!$F$3-$D425,0)))</f>
        <v/>
      </c>
      <c r="N425">
        <f>IF($A425="","",$K425+(5002-ROW())/10000)</f>
        <v/>
      </c>
    </row>
    <row r="426" ht="14.25" customHeight="1">
      <c r="K426">
        <f>IF($A426="","",SUM($E426:$J426))</f>
        <v/>
      </c>
      <c r="M426">
        <f>IF($A426="","",MAX(0,ROUNDUP(DASHBOARD!$F$3-$D426,0)))</f>
        <v/>
      </c>
      <c r="N426">
        <f>IF($A426="","",$K426+(5002-ROW())/10000)</f>
        <v/>
      </c>
    </row>
    <row r="427" ht="14.25" customHeight="1">
      <c r="K427">
        <f>IF($A427="","",SUM($E427:$J427))</f>
        <v/>
      </c>
      <c r="M427">
        <f>IF($A427="","",MAX(0,ROUNDUP(DASHBOARD!$F$3-$D427,0)))</f>
        <v/>
      </c>
      <c r="N427">
        <f>IF($A427="","",$K427+(5002-ROW())/10000)</f>
        <v/>
      </c>
    </row>
    <row r="428" ht="14.25" customHeight="1">
      <c r="K428">
        <f>IF($A428="","",SUM($E428:$J428))</f>
        <v/>
      </c>
      <c r="M428">
        <f>IF($A428="","",MAX(0,ROUNDUP(DASHBOARD!$F$3-$D428,0)))</f>
        <v/>
      </c>
      <c r="N428">
        <f>IF($A428="","",$K428+(5002-ROW())/10000)</f>
        <v/>
      </c>
    </row>
    <row r="429" ht="14.25" customHeight="1">
      <c r="K429">
        <f>IF($A429="","",SUM($E429:$J429))</f>
        <v/>
      </c>
      <c r="M429">
        <f>IF($A429="","",MAX(0,ROUNDUP(DASHBOARD!$F$3-$D429,0)))</f>
        <v/>
      </c>
      <c r="N429">
        <f>IF($A429="","",$K429+(5002-ROW())/10000)</f>
        <v/>
      </c>
    </row>
    <row r="430" ht="14.25" customHeight="1">
      <c r="K430">
        <f>IF($A430="","",SUM($E430:$J430))</f>
        <v/>
      </c>
      <c r="M430">
        <f>IF($A430="","",MAX(0,ROUNDUP(DASHBOARD!$F$3-$D430,0)))</f>
        <v/>
      </c>
      <c r="N430">
        <f>IF($A430="","",$K430+(5002-ROW())/10000)</f>
        <v/>
      </c>
    </row>
    <row r="431" ht="14.25" customHeight="1">
      <c r="K431">
        <f>IF($A431="","",SUM($E431:$J431))</f>
        <v/>
      </c>
      <c r="M431">
        <f>IF($A431="","",MAX(0,ROUNDUP(DASHBOARD!$F$3-$D431,0)))</f>
        <v/>
      </c>
      <c r="N431">
        <f>IF($A431="","",$K431+(5002-ROW())/10000)</f>
        <v/>
      </c>
    </row>
    <row r="432" ht="14.25" customHeight="1">
      <c r="K432">
        <f>IF($A432="","",SUM($E432:$J432))</f>
        <v/>
      </c>
      <c r="M432">
        <f>IF($A432="","",MAX(0,ROUNDUP(DASHBOARD!$F$3-$D432,0)))</f>
        <v/>
      </c>
      <c r="N432">
        <f>IF($A432="","",$K432+(5002-ROW())/10000)</f>
        <v/>
      </c>
    </row>
    <row r="433" ht="14.25" customHeight="1">
      <c r="K433">
        <f>IF($A433="","",SUM($E433:$J433))</f>
        <v/>
      </c>
      <c r="M433">
        <f>IF($A433="","",MAX(0,ROUNDUP(DASHBOARD!$F$3-$D433,0)))</f>
        <v/>
      </c>
      <c r="N433">
        <f>IF($A433="","",$K433+(5002-ROW())/10000)</f>
        <v/>
      </c>
    </row>
    <row r="434" ht="14.25" customHeight="1">
      <c r="K434">
        <f>IF($A434="","",SUM($E434:$J434))</f>
        <v/>
      </c>
      <c r="M434">
        <f>IF($A434="","",MAX(0,ROUNDUP(DASHBOARD!$F$3-$D434,0)))</f>
        <v/>
      </c>
      <c r="N434">
        <f>IF($A434="","",$K434+(5002-ROW())/10000)</f>
        <v/>
      </c>
    </row>
    <row r="435" ht="14.25" customHeight="1">
      <c r="K435">
        <f>IF($A435="","",SUM($E435:$J435))</f>
        <v/>
      </c>
      <c r="M435">
        <f>IF($A435="","",MAX(0,ROUNDUP(DASHBOARD!$F$3-$D435,0)))</f>
        <v/>
      </c>
      <c r="N435">
        <f>IF($A435="","",$K435+(5002-ROW())/10000)</f>
        <v/>
      </c>
    </row>
    <row r="436" ht="14.25" customHeight="1">
      <c r="K436">
        <f>IF($A436="","",SUM($E436:$J436))</f>
        <v/>
      </c>
      <c r="M436">
        <f>IF($A436="","",MAX(0,ROUNDUP(DASHBOARD!$F$3-$D436,0)))</f>
        <v/>
      </c>
      <c r="N436">
        <f>IF($A436="","",$K436+(5002-ROW())/10000)</f>
        <v/>
      </c>
    </row>
    <row r="437" ht="14.25" customHeight="1">
      <c r="K437">
        <f>IF($A437="","",SUM($E437:$J437))</f>
        <v/>
      </c>
      <c r="M437">
        <f>IF($A437="","",MAX(0,ROUNDUP(DASHBOARD!$F$3-$D437,0)))</f>
        <v/>
      </c>
      <c r="N437">
        <f>IF($A437="","",$K437+(5002-ROW())/10000)</f>
        <v/>
      </c>
    </row>
    <row r="438" ht="14.25" customHeight="1">
      <c r="K438">
        <f>IF($A438="","",SUM($E438:$J438))</f>
        <v/>
      </c>
      <c r="M438">
        <f>IF($A438="","",MAX(0,ROUNDUP(DASHBOARD!$F$3-$D438,0)))</f>
        <v/>
      </c>
      <c r="N438">
        <f>IF($A438="","",$K438+(5002-ROW())/10000)</f>
        <v/>
      </c>
    </row>
    <row r="439" ht="14.25" customHeight="1">
      <c r="K439">
        <f>IF($A439="","",SUM($E439:$J439))</f>
        <v/>
      </c>
      <c r="M439">
        <f>IF($A439="","",MAX(0,ROUNDUP(DASHBOARD!$F$3-$D439,0)))</f>
        <v/>
      </c>
      <c r="N439">
        <f>IF($A439="","",$K439+(5002-ROW())/10000)</f>
        <v/>
      </c>
    </row>
    <row r="440" ht="14.25" customHeight="1">
      <c r="K440">
        <f>IF($A440="","",SUM($E440:$J440))</f>
        <v/>
      </c>
      <c r="M440">
        <f>IF($A440="","",MAX(0,ROUNDUP(DASHBOARD!$F$3-$D440,0)))</f>
        <v/>
      </c>
      <c r="N440">
        <f>IF($A440="","",$K440+(5002-ROW())/10000)</f>
        <v/>
      </c>
    </row>
    <row r="441" ht="14.25" customHeight="1">
      <c r="K441">
        <f>IF($A441="","",SUM($E441:$J441))</f>
        <v/>
      </c>
      <c r="M441">
        <f>IF($A441="","",MAX(0,ROUNDUP(DASHBOARD!$F$3-$D441,0)))</f>
        <v/>
      </c>
      <c r="N441">
        <f>IF($A441="","",$K441+(5002-ROW())/10000)</f>
        <v/>
      </c>
    </row>
    <row r="442" ht="14.25" customHeight="1">
      <c r="K442">
        <f>IF($A442="","",SUM($E442:$J442))</f>
        <v/>
      </c>
      <c r="M442">
        <f>IF($A442="","",MAX(0,ROUNDUP(DASHBOARD!$F$3-$D442,0)))</f>
        <v/>
      </c>
      <c r="N442">
        <f>IF($A442="","",$K442+(5002-ROW())/10000)</f>
        <v/>
      </c>
    </row>
    <row r="443" ht="14.25" customHeight="1">
      <c r="K443">
        <f>IF($A443="","",SUM($E443:$J443))</f>
        <v/>
      </c>
      <c r="M443">
        <f>IF($A443="","",MAX(0,ROUNDUP(DASHBOARD!$F$3-$D443,0)))</f>
        <v/>
      </c>
      <c r="N443">
        <f>IF($A443="","",$K443+(5002-ROW())/10000)</f>
        <v/>
      </c>
    </row>
    <row r="444" ht="14.25" customHeight="1">
      <c r="K444">
        <f>IF($A444="","",SUM($E444:$J444))</f>
        <v/>
      </c>
      <c r="M444">
        <f>IF($A444="","",MAX(0,ROUNDUP(DASHBOARD!$F$3-$D444,0)))</f>
        <v/>
      </c>
      <c r="N444">
        <f>IF($A444="","",$K444+(5002-ROW())/10000)</f>
        <v/>
      </c>
    </row>
    <row r="445" ht="14.25" customHeight="1">
      <c r="K445">
        <f>IF($A445="","",SUM($E445:$J445))</f>
        <v/>
      </c>
      <c r="M445">
        <f>IF($A445="","",MAX(0,ROUNDUP(DASHBOARD!$F$3-$D445,0)))</f>
        <v/>
      </c>
      <c r="N445">
        <f>IF($A445="","",$K445+(5002-ROW())/10000)</f>
        <v/>
      </c>
    </row>
    <row r="446" ht="14.25" customHeight="1">
      <c r="K446">
        <f>IF($A446="","",SUM($E446:$J446))</f>
        <v/>
      </c>
      <c r="M446">
        <f>IF($A446="","",MAX(0,ROUNDUP(DASHBOARD!$F$3-$D446,0)))</f>
        <v/>
      </c>
      <c r="N446">
        <f>IF($A446="","",$K446+(5002-ROW())/10000)</f>
        <v/>
      </c>
    </row>
    <row r="447" ht="14.25" customHeight="1">
      <c r="K447">
        <f>IF($A447="","",SUM($E447:$J447))</f>
        <v/>
      </c>
      <c r="M447">
        <f>IF($A447="","",MAX(0,ROUNDUP(DASHBOARD!$F$3-$D447,0)))</f>
        <v/>
      </c>
      <c r="N447">
        <f>IF($A447="","",$K447+(5002-ROW())/10000)</f>
        <v/>
      </c>
    </row>
    <row r="448" ht="14.25" customHeight="1">
      <c r="K448">
        <f>IF($A448="","",SUM($E448:$J448))</f>
        <v/>
      </c>
      <c r="M448">
        <f>IF($A448="","",MAX(0,ROUNDUP(DASHBOARD!$F$3-$D448,0)))</f>
        <v/>
      </c>
      <c r="N448">
        <f>IF($A448="","",$K448+(5002-ROW())/10000)</f>
        <v/>
      </c>
    </row>
    <row r="449" ht="14.25" customHeight="1">
      <c r="K449">
        <f>IF($A449="","",SUM($E449:$J449))</f>
        <v/>
      </c>
      <c r="M449">
        <f>IF($A449="","",MAX(0,ROUNDUP(DASHBOARD!$F$3-$D449,0)))</f>
        <v/>
      </c>
      <c r="N449">
        <f>IF($A449="","",$K449+(5002-ROW())/10000)</f>
        <v/>
      </c>
    </row>
    <row r="450" ht="14.25" customHeight="1">
      <c r="K450">
        <f>IF($A450="","",SUM($E450:$J450))</f>
        <v/>
      </c>
      <c r="M450">
        <f>IF($A450="","",MAX(0,ROUNDUP(DASHBOARD!$F$3-$D450,0)))</f>
        <v/>
      </c>
      <c r="N450">
        <f>IF($A450="","",$K450+(5002-ROW())/10000)</f>
        <v/>
      </c>
    </row>
    <row r="451" ht="14.25" customHeight="1">
      <c r="K451">
        <f>IF($A451="","",SUM($E451:$J451))</f>
        <v/>
      </c>
      <c r="M451">
        <f>IF($A451="","",MAX(0,ROUNDUP(DASHBOARD!$F$3-$D451,0)))</f>
        <v/>
      </c>
      <c r="N451">
        <f>IF($A451="","",$K451+(5002-ROW())/10000)</f>
        <v/>
      </c>
    </row>
    <row r="452" ht="14.25" customHeight="1">
      <c r="K452">
        <f>IF($A452="","",SUM($E452:$J452))</f>
        <v/>
      </c>
      <c r="M452">
        <f>IF($A452="","",MAX(0,ROUNDUP(DASHBOARD!$F$3-$D452,0)))</f>
        <v/>
      </c>
      <c r="N452">
        <f>IF($A452="","",$K452+(5002-ROW())/10000)</f>
        <v/>
      </c>
    </row>
    <row r="453" ht="14.25" customHeight="1">
      <c r="K453">
        <f>IF($A453="","",SUM($E453:$J453))</f>
        <v/>
      </c>
      <c r="M453">
        <f>IF($A453="","",MAX(0,ROUNDUP(DASHBOARD!$F$3-$D453,0)))</f>
        <v/>
      </c>
      <c r="N453">
        <f>IF($A453="","",$K453+(5002-ROW())/10000)</f>
        <v/>
      </c>
    </row>
    <row r="454" ht="14.25" customHeight="1">
      <c r="K454">
        <f>IF($A454="","",SUM($E454:$J454))</f>
        <v/>
      </c>
      <c r="M454">
        <f>IF($A454="","",MAX(0,ROUNDUP(DASHBOARD!$F$3-$D454,0)))</f>
        <v/>
      </c>
      <c r="N454">
        <f>IF($A454="","",$K454+(5002-ROW())/10000)</f>
        <v/>
      </c>
    </row>
    <row r="455" ht="14.25" customHeight="1">
      <c r="K455">
        <f>IF($A455="","",SUM($E455:$J455))</f>
        <v/>
      </c>
      <c r="M455">
        <f>IF($A455="","",MAX(0,ROUNDUP(DASHBOARD!$F$3-$D455,0)))</f>
        <v/>
      </c>
      <c r="N455">
        <f>IF($A455="","",$K455+(5002-ROW())/10000)</f>
        <v/>
      </c>
    </row>
    <row r="456" ht="14.25" customHeight="1">
      <c r="K456">
        <f>IF($A456="","",SUM($E456:$J456))</f>
        <v/>
      </c>
      <c r="M456">
        <f>IF($A456="","",MAX(0,ROUNDUP(DASHBOARD!$F$3-$D456,0)))</f>
        <v/>
      </c>
      <c r="N456">
        <f>IF($A456="","",$K456+(5002-ROW())/10000)</f>
        <v/>
      </c>
    </row>
    <row r="457" ht="14.25" customHeight="1">
      <c r="K457">
        <f>IF($A457="","",SUM($E457:$J457))</f>
        <v/>
      </c>
      <c r="M457">
        <f>IF($A457="","",MAX(0,ROUNDUP(DASHBOARD!$F$3-$D457,0)))</f>
        <v/>
      </c>
      <c r="N457">
        <f>IF($A457="","",$K457+(5002-ROW())/10000)</f>
        <v/>
      </c>
    </row>
    <row r="458" ht="14.25" customHeight="1">
      <c r="K458">
        <f>IF($A458="","",SUM($E458:$J458))</f>
        <v/>
      </c>
      <c r="M458">
        <f>IF($A458="","",MAX(0,ROUNDUP(DASHBOARD!$F$3-$D458,0)))</f>
        <v/>
      </c>
      <c r="N458">
        <f>IF($A458="","",$K458+(5002-ROW())/10000)</f>
        <v/>
      </c>
    </row>
    <row r="459" ht="14.25" customHeight="1">
      <c r="K459">
        <f>IF($A459="","",SUM($E459:$J459))</f>
        <v/>
      </c>
      <c r="M459">
        <f>IF($A459="","",MAX(0,ROUNDUP(DASHBOARD!$F$3-$D459,0)))</f>
        <v/>
      </c>
      <c r="N459">
        <f>IF($A459="","",$K459+(5002-ROW())/10000)</f>
        <v/>
      </c>
    </row>
    <row r="460" ht="14.25" customHeight="1">
      <c r="K460">
        <f>IF($A460="","",SUM($E460:$J460))</f>
        <v/>
      </c>
      <c r="M460">
        <f>IF($A460="","",MAX(0,ROUNDUP(DASHBOARD!$F$3-$D460,0)))</f>
        <v/>
      </c>
      <c r="N460">
        <f>IF($A460="","",$K460+(5002-ROW())/10000)</f>
        <v/>
      </c>
    </row>
    <row r="461" ht="14.25" customHeight="1">
      <c r="K461">
        <f>IF($A461="","",SUM($E461:$J461))</f>
        <v/>
      </c>
      <c r="M461">
        <f>IF($A461="","",MAX(0,ROUNDUP(DASHBOARD!$F$3-$D461,0)))</f>
        <v/>
      </c>
      <c r="N461">
        <f>IF($A461="","",$K461+(5002-ROW())/10000)</f>
        <v/>
      </c>
    </row>
    <row r="462" ht="14.25" customHeight="1">
      <c r="K462">
        <f>IF($A462="","",SUM($E462:$J462))</f>
        <v/>
      </c>
      <c r="M462">
        <f>IF($A462="","",MAX(0,ROUNDUP(DASHBOARD!$F$3-$D462,0)))</f>
        <v/>
      </c>
      <c r="N462">
        <f>IF($A462="","",$K462+(5002-ROW())/10000)</f>
        <v/>
      </c>
    </row>
    <row r="463" ht="14.25" customHeight="1">
      <c r="K463">
        <f>IF($A463="","",SUM($E463:$J463))</f>
        <v/>
      </c>
      <c r="M463">
        <f>IF($A463="","",MAX(0,ROUNDUP(DASHBOARD!$F$3-$D463,0)))</f>
        <v/>
      </c>
      <c r="N463">
        <f>IF($A463="","",$K463+(5002-ROW())/10000)</f>
        <v/>
      </c>
    </row>
    <row r="464" ht="14.25" customHeight="1">
      <c r="K464">
        <f>IF($A464="","",SUM($E464:$J464))</f>
        <v/>
      </c>
      <c r="M464">
        <f>IF($A464="","",MAX(0,ROUNDUP(DASHBOARD!$F$3-$D464,0)))</f>
        <v/>
      </c>
      <c r="N464">
        <f>IF($A464="","",$K464+(5002-ROW())/10000)</f>
        <v/>
      </c>
    </row>
    <row r="465" ht="14.25" customHeight="1">
      <c r="K465">
        <f>IF($A465="","",SUM($E465:$J465))</f>
        <v/>
      </c>
      <c r="M465">
        <f>IF($A465="","",MAX(0,ROUNDUP(DASHBOARD!$F$3-$D465,0)))</f>
        <v/>
      </c>
      <c r="N465">
        <f>IF($A465="","",$K465+(5002-ROW())/10000)</f>
        <v/>
      </c>
    </row>
    <row r="466" ht="14.25" customHeight="1">
      <c r="K466">
        <f>IF($A466="","",SUM($E466:$J466))</f>
        <v/>
      </c>
      <c r="M466">
        <f>IF($A466="","",MAX(0,ROUNDUP(DASHBOARD!$F$3-$D466,0)))</f>
        <v/>
      </c>
      <c r="N466">
        <f>IF($A466="","",$K466+(5002-ROW())/10000)</f>
        <v/>
      </c>
    </row>
    <row r="467" ht="14.25" customHeight="1">
      <c r="K467">
        <f>IF($A467="","",SUM($E467:$J467))</f>
        <v/>
      </c>
      <c r="M467">
        <f>IF($A467="","",MAX(0,ROUNDUP(DASHBOARD!$F$3-$D467,0)))</f>
        <v/>
      </c>
      <c r="N467">
        <f>IF($A467="","",$K467+(5002-ROW())/10000)</f>
        <v/>
      </c>
    </row>
    <row r="468" ht="14.25" customHeight="1">
      <c r="K468">
        <f>IF($A468="","",SUM($E468:$J468))</f>
        <v/>
      </c>
      <c r="M468">
        <f>IF($A468="","",MAX(0,ROUNDUP(DASHBOARD!$F$3-$D468,0)))</f>
        <v/>
      </c>
      <c r="N468">
        <f>IF($A468="","",$K468+(5002-ROW())/10000)</f>
        <v/>
      </c>
    </row>
    <row r="469" ht="14.25" customHeight="1">
      <c r="K469">
        <f>IF($A469="","",SUM($E469:$J469))</f>
        <v/>
      </c>
      <c r="M469">
        <f>IF($A469="","",MAX(0,ROUNDUP(DASHBOARD!$F$3-$D469,0)))</f>
        <v/>
      </c>
      <c r="N469">
        <f>IF($A469="","",$K469+(5002-ROW())/10000)</f>
        <v/>
      </c>
    </row>
    <row r="470" ht="14.25" customHeight="1">
      <c r="K470">
        <f>IF($A470="","",SUM($E470:$J470))</f>
        <v/>
      </c>
      <c r="M470">
        <f>IF($A470="","",MAX(0,ROUNDUP(DASHBOARD!$F$3-$D470,0)))</f>
        <v/>
      </c>
      <c r="N470">
        <f>IF($A470="","",$K470+(5002-ROW())/10000)</f>
        <v/>
      </c>
    </row>
    <row r="471" ht="14.25" customHeight="1">
      <c r="K471">
        <f>IF($A471="","",SUM($E471:$J471))</f>
        <v/>
      </c>
      <c r="M471">
        <f>IF($A471="","",MAX(0,ROUNDUP(DASHBOARD!$F$3-$D471,0)))</f>
        <v/>
      </c>
      <c r="N471">
        <f>IF($A471="","",$K471+(5002-ROW())/10000)</f>
        <v/>
      </c>
    </row>
    <row r="472" ht="14.25" customHeight="1">
      <c r="K472">
        <f>IF($A472="","",SUM($E472:$J472))</f>
        <v/>
      </c>
      <c r="M472">
        <f>IF($A472="","",MAX(0,ROUNDUP(DASHBOARD!$F$3-$D472,0)))</f>
        <v/>
      </c>
      <c r="N472">
        <f>IF($A472="","",$K472+(5002-ROW())/10000)</f>
        <v/>
      </c>
    </row>
    <row r="473" ht="14.25" customHeight="1">
      <c r="K473">
        <f>IF($A473="","",SUM($E473:$J473))</f>
        <v/>
      </c>
      <c r="M473">
        <f>IF($A473="","",MAX(0,ROUNDUP(DASHBOARD!$F$3-$D473,0)))</f>
        <v/>
      </c>
      <c r="N473">
        <f>IF($A473="","",$K473+(5002-ROW())/10000)</f>
        <v/>
      </c>
    </row>
    <row r="474" ht="14.25" customHeight="1">
      <c r="K474">
        <f>IF($A474="","",SUM($E474:$J474))</f>
        <v/>
      </c>
      <c r="M474">
        <f>IF($A474="","",MAX(0,ROUNDUP(DASHBOARD!$F$3-$D474,0)))</f>
        <v/>
      </c>
      <c r="N474">
        <f>IF($A474="","",$K474+(5002-ROW())/10000)</f>
        <v/>
      </c>
    </row>
    <row r="475" ht="14.25" customHeight="1">
      <c r="K475">
        <f>IF($A475="","",SUM($E475:$J475))</f>
        <v/>
      </c>
      <c r="M475">
        <f>IF($A475="","",MAX(0,ROUNDUP(DASHBOARD!$F$3-$D475,0)))</f>
        <v/>
      </c>
      <c r="N475">
        <f>IF($A475="","",$K475+(5002-ROW())/10000)</f>
        <v/>
      </c>
    </row>
    <row r="476" ht="14.25" customHeight="1">
      <c r="K476">
        <f>IF($A476="","",SUM($E476:$J476))</f>
        <v/>
      </c>
      <c r="M476">
        <f>IF($A476="","",MAX(0,ROUNDUP(DASHBOARD!$F$3-$D476,0)))</f>
        <v/>
      </c>
      <c r="N476">
        <f>IF($A476="","",$K476+(5002-ROW())/10000)</f>
        <v/>
      </c>
    </row>
    <row r="477" ht="14.25" customHeight="1">
      <c r="K477">
        <f>IF($A477="","",SUM($E477:$J477))</f>
        <v/>
      </c>
      <c r="M477">
        <f>IF($A477="","",MAX(0,ROUNDUP(DASHBOARD!$F$3-$D477,0)))</f>
        <v/>
      </c>
      <c r="N477">
        <f>IF($A477="","",$K477+(5002-ROW())/10000)</f>
        <v/>
      </c>
    </row>
    <row r="478" ht="14.25" customHeight="1">
      <c r="K478">
        <f>IF($A478="","",SUM($E478:$J478))</f>
        <v/>
      </c>
      <c r="M478">
        <f>IF($A478="","",MAX(0,ROUNDUP(DASHBOARD!$F$3-$D478,0)))</f>
        <v/>
      </c>
      <c r="N478">
        <f>IF($A478="","",$K478+(5002-ROW())/10000)</f>
        <v/>
      </c>
    </row>
    <row r="479" ht="14.25" customHeight="1">
      <c r="K479">
        <f>IF($A479="","",SUM($E479:$J479))</f>
        <v/>
      </c>
      <c r="M479">
        <f>IF($A479="","",MAX(0,ROUNDUP(DASHBOARD!$F$3-$D479,0)))</f>
        <v/>
      </c>
      <c r="N479">
        <f>IF($A479="","",$K479+(5002-ROW())/10000)</f>
        <v/>
      </c>
    </row>
    <row r="480" ht="14.25" customHeight="1">
      <c r="K480">
        <f>IF($A480="","",SUM($E480:$J480))</f>
        <v/>
      </c>
      <c r="M480">
        <f>IF($A480="","",MAX(0,ROUNDUP(DASHBOARD!$F$3-$D480,0)))</f>
        <v/>
      </c>
      <c r="N480">
        <f>IF($A480="","",$K480+(5002-ROW())/10000)</f>
        <v/>
      </c>
    </row>
    <row r="481" ht="14.25" customHeight="1">
      <c r="K481">
        <f>IF($A481="","",SUM($E481:$J481))</f>
        <v/>
      </c>
      <c r="M481">
        <f>IF($A481="","",MAX(0,ROUNDUP(DASHBOARD!$F$3-$D481,0)))</f>
        <v/>
      </c>
      <c r="N481">
        <f>IF($A481="","",$K481+(5002-ROW())/10000)</f>
        <v/>
      </c>
    </row>
    <row r="482" ht="14.25" customHeight="1">
      <c r="K482">
        <f>IF($A482="","",SUM($E482:$J482))</f>
        <v/>
      </c>
      <c r="M482">
        <f>IF($A482="","",MAX(0,ROUNDUP(DASHBOARD!$F$3-$D482,0)))</f>
        <v/>
      </c>
      <c r="N482">
        <f>IF($A482="","",$K482+(5002-ROW())/10000)</f>
        <v/>
      </c>
    </row>
    <row r="483" ht="14.25" customHeight="1">
      <c r="K483">
        <f>IF($A483="","",SUM($E483:$J483))</f>
        <v/>
      </c>
      <c r="M483">
        <f>IF($A483="","",MAX(0,ROUNDUP(DASHBOARD!$F$3-$D483,0)))</f>
        <v/>
      </c>
      <c r="N483">
        <f>IF($A483="","",$K483+(5002-ROW())/10000)</f>
        <v/>
      </c>
    </row>
    <row r="484" ht="14.25" customHeight="1">
      <c r="K484">
        <f>IF($A484="","",SUM($E484:$J484))</f>
        <v/>
      </c>
      <c r="M484">
        <f>IF($A484="","",MAX(0,ROUNDUP(DASHBOARD!$F$3-$D484,0)))</f>
        <v/>
      </c>
      <c r="N484">
        <f>IF($A484="","",$K484+(5002-ROW())/10000)</f>
        <v/>
      </c>
    </row>
    <row r="485" ht="14.25" customHeight="1">
      <c r="K485">
        <f>IF($A485="","",SUM($E485:$J485))</f>
        <v/>
      </c>
      <c r="M485">
        <f>IF($A485="","",MAX(0,ROUNDUP(DASHBOARD!$F$3-$D485,0)))</f>
        <v/>
      </c>
      <c r="N485">
        <f>IF($A485="","",$K485+(5002-ROW())/10000)</f>
        <v/>
      </c>
    </row>
    <row r="486" ht="14.25" customHeight="1">
      <c r="K486">
        <f>IF($A486="","",SUM($E486:$J486))</f>
        <v/>
      </c>
      <c r="M486">
        <f>IF($A486="","",MAX(0,ROUNDUP(DASHBOARD!$F$3-$D486,0)))</f>
        <v/>
      </c>
      <c r="N486">
        <f>IF($A486="","",$K486+(5002-ROW())/10000)</f>
        <v/>
      </c>
    </row>
    <row r="487" ht="14.25" customHeight="1">
      <c r="K487">
        <f>IF($A487="","",SUM($E487:$J487))</f>
        <v/>
      </c>
      <c r="M487">
        <f>IF($A487="","",MAX(0,ROUNDUP(DASHBOARD!$F$3-$D487,0)))</f>
        <v/>
      </c>
      <c r="N487">
        <f>IF($A487="","",$K487+(5002-ROW())/10000)</f>
        <v/>
      </c>
    </row>
    <row r="488" ht="14.25" customHeight="1">
      <c r="K488">
        <f>IF($A488="","",SUM($E488:$J488))</f>
        <v/>
      </c>
      <c r="M488">
        <f>IF($A488="","",MAX(0,ROUNDUP(DASHBOARD!$F$3-$D488,0)))</f>
        <v/>
      </c>
      <c r="N488">
        <f>IF($A488="","",$K488+(5002-ROW())/10000)</f>
        <v/>
      </c>
    </row>
    <row r="489" ht="14.25" customHeight="1">
      <c r="K489">
        <f>IF($A489="","",SUM($E489:$J489))</f>
        <v/>
      </c>
      <c r="M489">
        <f>IF($A489="","",MAX(0,ROUNDUP(DASHBOARD!$F$3-$D489,0)))</f>
        <v/>
      </c>
      <c r="N489">
        <f>IF($A489="","",$K489+(5002-ROW())/10000)</f>
        <v/>
      </c>
    </row>
    <row r="490" ht="14.25" customHeight="1">
      <c r="K490">
        <f>IF($A490="","",SUM($E490:$J490))</f>
        <v/>
      </c>
      <c r="M490">
        <f>IF($A490="","",MAX(0,ROUNDUP(DASHBOARD!$F$3-$D490,0)))</f>
        <v/>
      </c>
      <c r="N490">
        <f>IF($A490="","",$K490+(5002-ROW())/10000)</f>
        <v/>
      </c>
    </row>
    <row r="491" ht="14.25" customHeight="1">
      <c r="K491">
        <f>IF($A491="","",SUM($E491:$J491))</f>
        <v/>
      </c>
      <c r="M491">
        <f>IF($A491="","",MAX(0,ROUNDUP(DASHBOARD!$F$3-$D491,0)))</f>
        <v/>
      </c>
      <c r="N491">
        <f>IF($A491="","",$K491+(5002-ROW())/10000)</f>
        <v/>
      </c>
    </row>
    <row r="492" ht="14.25" customHeight="1">
      <c r="K492">
        <f>IF($A492="","",SUM($E492:$J492))</f>
        <v/>
      </c>
      <c r="M492">
        <f>IF($A492="","",MAX(0,ROUNDUP(DASHBOARD!$F$3-$D492,0)))</f>
        <v/>
      </c>
      <c r="N492">
        <f>IF($A492="","",$K492+(5002-ROW())/10000)</f>
        <v/>
      </c>
    </row>
    <row r="493" ht="14.25" customHeight="1">
      <c r="K493">
        <f>IF($A493="","",SUM($E493:$J493))</f>
        <v/>
      </c>
      <c r="M493">
        <f>IF($A493="","",MAX(0,ROUNDUP(DASHBOARD!$F$3-$D493,0)))</f>
        <v/>
      </c>
      <c r="N493">
        <f>IF($A493="","",$K493+(5002-ROW())/10000)</f>
        <v/>
      </c>
    </row>
    <row r="494" ht="14.25" customHeight="1">
      <c r="K494">
        <f>IF($A494="","",SUM($E494:$J494))</f>
        <v/>
      </c>
      <c r="M494">
        <f>IF($A494="","",MAX(0,ROUNDUP(DASHBOARD!$F$3-$D494,0)))</f>
        <v/>
      </c>
      <c r="N494">
        <f>IF($A494="","",$K494+(5002-ROW())/10000)</f>
        <v/>
      </c>
    </row>
    <row r="495" ht="14.25" customHeight="1">
      <c r="K495">
        <f>IF($A495="","",SUM($E495:$J495))</f>
        <v/>
      </c>
      <c r="M495">
        <f>IF($A495="","",MAX(0,ROUNDUP(DASHBOARD!$F$3-$D495,0)))</f>
        <v/>
      </c>
      <c r="N495">
        <f>IF($A495="","",$K495+(5002-ROW())/10000)</f>
        <v/>
      </c>
    </row>
    <row r="496" ht="14.25" customHeight="1">
      <c r="K496">
        <f>IF($A496="","",SUM($E496:$J496))</f>
        <v/>
      </c>
      <c r="M496">
        <f>IF($A496="","",MAX(0,ROUNDUP(DASHBOARD!$F$3-$D496,0)))</f>
        <v/>
      </c>
      <c r="N496">
        <f>IF($A496="","",$K496+(5002-ROW())/10000)</f>
        <v/>
      </c>
    </row>
    <row r="497" ht="14.25" customHeight="1">
      <c r="K497">
        <f>IF($A497="","",SUM($E497:$J497))</f>
        <v/>
      </c>
      <c r="M497">
        <f>IF($A497="","",MAX(0,ROUNDUP(DASHBOARD!$F$3-$D497,0)))</f>
        <v/>
      </c>
      <c r="N497">
        <f>IF($A497="","",$K497+(5002-ROW())/10000)</f>
        <v/>
      </c>
    </row>
    <row r="498" ht="14.25" customHeight="1">
      <c r="K498">
        <f>IF($A498="","",SUM($E498:$J498))</f>
        <v/>
      </c>
      <c r="M498">
        <f>IF($A498="","",MAX(0,ROUNDUP(DASHBOARD!$F$3-$D498,0)))</f>
        <v/>
      </c>
      <c r="N498">
        <f>IF($A498="","",$K498+(5002-ROW())/10000)</f>
        <v/>
      </c>
    </row>
    <row r="499" ht="14.25" customHeight="1">
      <c r="K499">
        <f>IF($A499="","",SUM($E499:$J499))</f>
        <v/>
      </c>
      <c r="M499">
        <f>IF($A499="","",MAX(0,ROUNDUP(DASHBOARD!$F$3-$D499,0)))</f>
        <v/>
      </c>
      <c r="N499">
        <f>IF($A499="","",$K499+(5002-ROW())/10000)</f>
        <v/>
      </c>
    </row>
    <row r="500" ht="14.25" customHeight="1">
      <c r="K500">
        <f>IF($A500="","",SUM($E500:$J500))</f>
        <v/>
      </c>
      <c r="M500">
        <f>IF($A500="","",MAX(0,ROUNDUP(DASHBOARD!$F$3-$D500,0)))</f>
        <v/>
      </c>
      <c r="N500">
        <f>IF($A500="","",$K500+(5002-ROW())/10000)</f>
        <v/>
      </c>
    </row>
    <row r="501" ht="14.25" customHeight="1">
      <c r="K501">
        <f>IF($A501="","",SUM($E501:$J501))</f>
        <v/>
      </c>
      <c r="M501">
        <f>IF($A501="","",MAX(0,ROUNDUP(DASHBOARD!$F$3-$D501,0)))</f>
        <v/>
      </c>
      <c r="N501">
        <f>IF($A501="","",$K501+(5002-ROW())/10000)</f>
        <v/>
      </c>
    </row>
    <row r="502" ht="14.25" customHeight="1">
      <c r="K502">
        <f>IF($A502="","",SUM($E502:$J502))</f>
        <v/>
      </c>
      <c r="M502">
        <f>IF($A502="","",MAX(0,ROUNDUP(DASHBOARD!$F$3-$D502,0)))</f>
        <v/>
      </c>
      <c r="N502">
        <f>IF($A502="","",$K502+(5002-ROW())/10000)</f>
        <v/>
      </c>
    </row>
    <row r="503" ht="14.25" customHeight="1">
      <c r="K503">
        <f>IF($A503="","",SUM($E503:$J503))</f>
        <v/>
      </c>
      <c r="M503">
        <f>IF($A503="","",MAX(0,ROUNDUP(DASHBOARD!$F$3-$D503,0)))</f>
        <v/>
      </c>
      <c r="N503">
        <f>IF($A503="","",$K503+(5002-ROW())/10000)</f>
        <v/>
      </c>
    </row>
    <row r="504" ht="14.25" customHeight="1">
      <c r="K504">
        <f>IF($A504="","",SUM($E504:$J504))</f>
        <v/>
      </c>
      <c r="M504">
        <f>IF($A504="","",MAX(0,ROUNDUP(DASHBOARD!$F$3-$D504,0)))</f>
        <v/>
      </c>
      <c r="N504">
        <f>IF($A504="","",$K504+(5002-ROW())/10000)</f>
        <v/>
      </c>
    </row>
    <row r="505" ht="14.25" customHeight="1">
      <c r="K505">
        <f>IF($A505="","",SUM($E505:$J505))</f>
        <v/>
      </c>
      <c r="M505">
        <f>IF($A505="","",MAX(0,ROUNDUP(DASHBOARD!$F$3-$D505,0)))</f>
        <v/>
      </c>
      <c r="N505">
        <f>IF($A505="","",$K505+(5002-ROW())/10000)</f>
        <v/>
      </c>
    </row>
    <row r="506" ht="14.25" customHeight="1">
      <c r="K506">
        <f>IF($A506="","",SUM($E506:$J506))</f>
        <v/>
      </c>
      <c r="M506">
        <f>IF($A506="","",MAX(0,ROUNDUP(DASHBOARD!$F$3-$D506,0)))</f>
        <v/>
      </c>
      <c r="N506">
        <f>IF($A506="","",$K506+(5002-ROW())/10000)</f>
        <v/>
      </c>
    </row>
    <row r="507" ht="14.25" customHeight="1">
      <c r="K507">
        <f>IF($A507="","",SUM($E507:$J507))</f>
        <v/>
      </c>
      <c r="M507">
        <f>IF($A507="","",MAX(0,ROUNDUP(DASHBOARD!$F$3-$D507,0)))</f>
        <v/>
      </c>
      <c r="N507">
        <f>IF($A507="","",$K507+(5002-ROW())/10000)</f>
        <v/>
      </c>
    </row>
    <row r="508" ht="14.25" customHeight="1">
      <c r="K508">
        <f>IF($A508="","",SUM($E508:$J508))</f>
        <v/>
      </c>
      <c r="M508">
        <f>IF($A508="","",MAX(0,ROUNDUP(DASHBOARD!$F$3-$D508,0)))</f>
        <v/>
      </c>
      <c r="N508">
        <f>IF($A508="","",$K508+(5002-ROW())/10000)</f>
        <v/>
      </c>
    </row>
    <row r="509" ht="14.25" customHeight="1">
      <c r="K509">
        <f>IF($A509="","",SUM($E509:$J509))</f>
        <v/>
      </c>
      <c r="M509">
        <f>IF($A509="","",MAX(0,ROUNDUP(DASHBOARD!$F$3-$D509,0)))</f>
        <v/>
      </c>
      <c r="N509">
        <f>IF($A509="","",$K509+(5002-ROW())/10000)</f>
        <v/>
      </c>
    </row>
    <row r="510" ht="14.25" customHeight="1">
      <c r="K510">
        <f>IF($A510="","",SUM($E510:$J510))</f>
        <v/>
      </c>
      <c r="M510">
        <f>IF($A510="","",MAX(0,ROUNDUP(DASHBOARD!$F$3-$D510,0)))</f>
        <v/>
      </c>
      <c r="N510">
        <f>IF($A510="","",$K510+(5002-ROW())/10000)</f>
        <v/>
      </c>
    </row>
    <row r="511" ht="14.25" customHeight="1">
      <c r="K511">
        <f>IF($A511="","",SUM($E511:$J511))</f>
        <v/>
      </c>
      <c r="M511">
        <f>IF($A511="","",MAX(0,ROUNDUP(DASHBOARD!$F$3-$D511,0)))</f>
        <v/>
      </c>
      <c r="N511">
        <f>IF($A511="","",$K511+(5002-ROW())/10000)</f>
        <v/>
      </c>
    </row>
    <row r="512" ht="14.25" customHeight="1">
      <c r="K512">
        <f>IF($A512="","",SUM($E512:$J512))</f>
        <v/>
      </c>
      <c r="M512">
        <f>IF($A512="","",MAX(0,ROUNDUP(DASHBOARD!$F$3-$D512,0)))</f>
        <v/>
      </c>
      <c r="N512">
        <f>IF($A512="","",$K512+(5002-ROW())/10000)</f>
        <v/>
      </c>
    </row>
    <row r="513" ht="14.25" customHeight="1">
      <c r="K513">
        <f>IF($A513="","",SUM($E513:$J513))</f>
        <v/>
      </c>
      <c r="M513">
        <f>IF($A513="","",MAX(0,ROUNDUP(DASHBOARD!$F$3-$D513,0)))</f>
        <v/>
      </c>
      <c r="N513">
        <f>IF($A513="","",$K513+(5002-ROW())/10000)</f>
        <v/>
      </c>
    </row>
    <row r="514" ht="14.25" customHeight="1">
      <c r="K514">
        <f>IF($A514="","",SUM($E514:$J514))</f>
        <v/>
      </c>
      <c r="M514">
        <f>IF($A514="","",MAX(0,ROUNDUP(DASHBOARD!$F$3-$D514,0)))</f>
        <v/>
      </c>
      <c r="N514">
        <f>IF($A514="","",$K514+(5002-ROW())/10000)</f>
        <v/>
      </c>
    </row>
    <row r="515" ht="14.25" customHeight="1">
      <c r="K515">
        <f>IF($A515="","",SUM($E515:$J515))</f>
        <v/>
      </c>
      <c r="M515">
        <f>IF($A515="","",MAX(0,ROUNDUP(DASHBOARD!$F$3-$D515,0)))</f>
        <v/>
      </c>
      <c r="N515">
        <f>IF($A515="","",$K515+(5002-ROW())/10000)</f>
        <v/>
      </c>
    </row>
    <row r="516" ht="14.25" customHeight="1">
      <c r="K516">
        <f>IF($A516="","",SUM($E516:$J516))</f>
        <v/>
      </c>
      <c r="M516">
        <f>IF($A516="","",MAX(0,ROUNDUP(DASHBOARD!$F$3-$D516,0)))</f>
        <v/>
      </c>
      <c r="N516">
        <f>IF($A516="","",$K516+(5002-ROW())/10000)</f>
        <v/>
      </c>
    </row>
    <row r="517" ht="14.25" customHeight="1">
      <c r="K517">
        <f>IF($A517="","",SUM($E517:$J517))</f>
        <v/>
      </c>
      <c r="M517">
        <f>IF($A517="","",MAX(0,ROUNDUP(DASHBOARD!$F$3-$D517,0)))</f>
        <v/>
      </c>
      <c r="N517">
        <f>IF($A517="","",$K517+(5002-ROW())/10000)</f>
        <v/>
      </c>
    </row>
    <row r="518" ht="14.25" customHeight="1">
      <c r="K518">
        <f>IF($A518="","",SUM($E518:$J518))</f>
        <v/>
      </c>
      <c r="M518">
        <f>IF($A518="","",MAX(0,ROUNDUP(DASHBOARD!$F$3-$D518,0)))</f>
        <v/>
      </c>
      <c r="N518">
        <f>IF($A518="","",$K518+(5002-ROW())/10000)</f>
        <v/>
      </c>
    </row>
    <row r="519" ht="14.25" customHeight="1">
      <c r="K519">
        <f>IF($A519="","",SUM($E519:$J519))</f>
        <v/>
      </c>
      <c r="M519">
        <f>IF($A519="","",MAX(0,ROUNDUP(DASHBOARD!$F$3-$D519,0)))</f>
        <v/>
      </c>
      <c r="N519">
        <f>IF($A519="","",$K519+(5002-ROW())/10000)</f>
        <v/>
      </c>
    </row>
    <row r="520" ht="14.25" customHeight="1">
      <c r="K520">
        <f>IF($A520="","",SUM($E520:$J520))</f>
        <v/>
      </c>
      <c r="M520">
        <f>IF($A520="","",MAX(0,ROUNDUP(DASHBOARD!$F$3-$D520,0)))</f>
        <v/>
      </c>
      <c r="N520">
        <f>IF($A520="","",$K520+(5002-ROW())/10000)</f>
        <v/>
      </c>
    </row>
    <row r="521" ht="14.25" customHeight="1">
      <c r="K521">
        <f>IF($A521="","",SUM($E521:$J521))</f>
        <v/>
      </c>
      <c r="M521">
        <f>IF($A521="","",MAX(0,ROUNDUP(DASHBOARD!$F$3-$D521,0)))</f>
        <v/>
      </c>
      <c r="N521">
        <f>IF($A521="","",$K521+(5002-ROW())/10000)</f>
        <v/>
      </c>
    </row>
    <row r="522" ht="14.25" customHeight="1">
      <c r="K522">
        <f>IF($A522="","",SUM($E522:$J522))</f>
        <v/>
      </c>
      <c r="M522">
        <f>IF($A522="","",MAX(0,ROUNDUP(DASHBOARD!$F$3-$D522,0)))</f>
        <v/>
      </c>
      <c r="N522">
        <f>IF($A522="","",$K522+(5002-ROW())/10000)</f>
        <v/>
      </c>
    </row>
    <row r="523" ht="14.25" customHeight="1">
      <c r="K523">
        <f>IF($A523="","",SUM($E523:$J523))</f>
        <v/>
      </c>
      <c r="M523">
        <f>IF($A523="","",MAX(0,ROUNDUP(DASHBOARD!$F$3-$D523,0)))</f>
        <v/>
      </c>
      <c r="N523">
        <f>IF($A523="","",$K523+(5002-ROW())/10000)</f>
        <v/>
      </c>
    </row>
    <row r="524" ht="14.25" customHeight="1">
      <c r="K524">
        <f>IF($A524="","",SUM($E524:$J524))</f>
        <v/>
      </c>
      <c r="M524">
        <f>IF($A524="","",MAX(0,ROUNDUP(DASHBOARD!$F$3-$D524,0)))</f>
        <v/>
      </c>
      <c r="N524">
        <f>IF($A524="","",$K524+(5002-ROW())/10000)</f>
        <v/>
      </c>
    </row>
    <row r="525" ht="14.25" customHeight="1">
      <c r="K525">
        <f>IF($A525="","",SUM($E525:$J525))</f>
        <v/>
      </c>
      <c r="M525">
        <f>IF($A525="","",MAX(0,ROUNDUP(DASHBOARD!$F$3-$D525,0)))</f>
        <v/>
      </c>
      <c r="N525">
        <f>IF($A525="","",$K525+(5002-ROW())/10000)</f>
        <v/>
      </c>
    </row>
    <row r="526" ht="14.25" customHeight="1">
      <c r="K526">
        <f>IF($A526="","",SUM($E526:$J526))</f>
        <v/>
      </c>
      <c r="M526">
        <f>IF($A526="","",MAX(0,ROUNDUP(DASHBOARD!$F$3-$D526,0)))</f>
        <v/>
      </c>
      <c r="N526">
        <f>IF($A526="","",$K526+(5002-ROW())/10000)</f>
        <v/>
      </c>
    </row>
    <row r="527" ht="14.25" customHeight="1">
      <c r="K527">
        <f>IF($A527="","",SUM($E527:$J527))</f>
        <v/>
      </c>
      <c r="M527">
        <f>IF($A527="","",MAX(0,ROUNDUP(DASHBOARD!$F$3-$D527,0)))</f>
        <v/>
      </c>
      <c r="N527">
        <f>IF($A527="","",$K527+(5002-ROW())/10000)</f>
        <v/>
      </c>
    </row>
    <row r="528" ht="14.25" customHeight="1">
      <c r="K528">
        <f>IF($A528="","",SUM($E528:$J528))</f>
        <v/>
      </c>
      <c r="M528">
        <f>IF($A528="","",MAX(0,ROUNDUP(DASHBOARD!$F$3-$D528,0)))</f>
        <v/>
      </c>
      <c r="N528">
        <f>IF($A528="","",$K528+(5002-ROW())/10000)</f>
        <v/>
      </c>
    </row>
    <row r="529" ht="14.25" customHeight="1">
      <c r="K529">
        <f>IF($A529="","",SUM($E529:$J529))</f>
        <v/>
      </c>
      <c r="M529">
        <f>IF($A529="","",MAX(0,ROUNDUP(DASHBOARD!$F$3-$D529,0)))</f>
        <v/>
      </c>
      <c r="N529">
        <f>IF($A529="","",$K529+(5002-ROW())/10000)</f>
        <v/>
      </c>
    </row>
    <row r="530" ht="14.25" customHeight="1">
      <c r="K530">
        <f>IF($A530="","",SUM($E530:$J530))</f>
        <v/>
      </c>
      <c r="M530">
        <f>IF($A530="","",MAX(0,ROUNDUP(DASHBOARD!$F$3-$D530,0)))</f>
        <v/>
      </c>
      <c r="N530">
        <f>IF($A530="","",$K530+(5002-ROW())/10000)</f>
        <v/>
      </c>
    </row>
    <row r="531" ht="14.25" customHeight="1">
      <c r="K531">
        <f>IF($A531="","",SUM($E531:$J531))</f>
        <v/>
      </c>
      <c r="M531">
        <f>IF($A531="","",MAX(0,ROUNDUP(DASHBOARD!$F$3-$D531,0)))</f>
        <v/>
      </c>
      <c r="N531">
        <f>IF($A531="","",$K531+(5002-ROW())/10000)</f>
        <v/>
      </c>
    </row>
    <row r="532" ht="14.25" customHeight="1">
      <c r="K532">
        <f>IF($A532="","",SUM($E532:$J532))</f>
        <v/>
      </c>
      <c r="M532">
        <f>IF($A532="","",MAX(0,ROUNDUP(DASHBOARD!$F$3-$D532,0)))</f>
        <v/>
      </c>
      <c r="N532">
        <f>IF($A532="","",$K532+(5002-ROW())/10000)</f>
        <v/>
      </c>
    </row>
    <row r="533" ht="14.25" customHeight="1">
      <c r="K533">
        <f>IF($A533="","",SUM($E533:$J533))</f>
        <v/>
      </c>
      <c r="M533">
        <f>IF($A533="","",MAX(0,ROUNDUP(DASHBOARD!$F$3-$D533,0)))</f>
        <v/>
      </c>
      <c r="N533">
        <f>IF($A533="","",$K533+(5002-ROW())/10000)</f>
        <v/>
      </c>
    </row>
    <row r="534" ht="14.25" customHeight="1">
      <c r="K534">
        <f>IF($A534="","",SUM($E534:$J534))</f>
        <v/>
      </c>
      <c r="M534">
        <f>IF($A534="","",MAX(0,ROUNDUP(DASHBOARD!$F$3-$D534,0)))</f>
        <v/>
      </c>
      <c r="N534">
        <f>IF($A534="","",$K534+(5002-ROW())/10000)</f>
        <v/>
      </c>
    </row>
    <row r="535" ht="14.25" customHeight="1">
      <c r="K535">
        <f>IF($A535="","",SUM($E535:$J535))</f>
        <v/>
      </c>
      <c r="M535">
        <f>IF($A535="","",MAX(0,ROUNDUP(DASHBOARD!$F$3-$D535,0)))</f>
        <v/>
      </c>
      <c r="N535">
        <f>IF($A535="","",$K535+(5002-ROW())/10000)</f>
        <v/>
      </c>
    </row>
    <row r="536" ht="14.25" customHeight="1">
      <c r="K536">
        <f>IF($A536="","",SUM($E536:$J536))</f>
        <v/>
      </c>
      <c r="M536">
        <f>IF($A536="","",MAX(0,ROUNDUP(DASHBOARD!$F$3-$D536,0)))</f>
        <v/>
      </c>
      <c r="N536">
        <f>IF($A536="","",$K536+(5002-ROW())/10000)</f>
        <v/>
      </c>
    </row>
    <row r="537" ht="14.25" customHeight="1">
      <c r="K537">
        <f>IF($A537="","",SUM($E537:$J537))</f>
        <v/>
      </c>
      <c r="M537">
        <f>IF($A537="","",MAX(0,ROUNDUP(DASHBOARD!$F$3-$D537,0)))</f>
        <v/>
      </c>
      <c r="N537">
        <f>IF($A537="","",$K537+(5002-ROW())/10000)</f>
        <v/>
      </c>
    </row>
    <row r="538" ht="14.25" customHeight="1">
      <c r="K538">
        <f>IF($A538="","",SUM($E538:$J538))</f>
        <v/>
      </c>
      <c r="M538">
        <f>IF($A538="","",MAX(0,ROUNDUP(DASHBOARD!$F$3-$D538,0)))</f>
        <v/>
      </c>
      <c r="N538">
        <f>IF($A538="","",$K538+(5002-ROW())/10000)</f>
        <v/>
      </c>
    </row>
    <row r="539" ht="14.25" customHeight="1">
      <c r="K539">
        <f>IF($A539="","",SUM($E539:$J539))</f>
        <v/>
      </c>
      <c r="M539">
        <f>IF($A539="","",MAX(0,ROUNDUP(DASHBOARD!$F$3-$D539,0)))</f>
        <v/>
      </c>
      <c r="N539">
        <f>IF($A539="","",$K539+(5002-ROW())/10000)</f>
        <v/>
      </c>
    </row>
    <row r="540" ht="14.25" customHeight="1">
      <c r="K540">
        <f>IF($A540="","",SUM($E540:$J540))</f>
        <v/>
      </c>
      <c r="M540">
        <f>IF($A540="","",MAX(0,ROUNDUP(DASHBOARD!$F$3-$D540,0)))</f>
        <v/>
      </c>
      <c r="N540">
        <f>IF($A540="","",$K540+(5002-ROW())/10000)</f>
        <v/>
      </c>
    </row>
    <row r="541" ht="14.25" customHeight="1">
      <c r="K541">
        <f>IF($A541="","",SUM($E541:$J541))</f>
        <v/>
      </c>
      <c r="M541">
        <f>IF($A541="","",MAX(0,ROUNDUP(DASHBOARD!$F$3-$D541,0)))</f>
        <v/>
      </c>
      <c r="N541">
        <f>IF($A541="","",$K541+(5002-ROW())/10000)</f>
        <v/>
      </c>
    </row>
    <row r="542" ht="14.25" customHeight="1">
      <c r="K542">
        <f>IF($A542="","",SUM($E542:$J542))</f>
        <v/>
      </c>
      <c r="M542">
        <f>IF($A542="","",MAX(0,ROUNDUP(DASHBOARD!$F$3-$D542,0)))</f>
        <v/>
      </c>
      <c r="N542">
        <f>IF($A542="","",$K542+(5002-ROW())/10000)</f>
        <v/>
      </c>
    </row>
    <row r="543" ht="14.25" customHeight="1">
      <c r="K543">
        <f>IF($A543="","",SUM($E543:$J543))</f>
        <v/>
      </c>
      <c r="M543">
        <f>IF($A543="","",MAX(0,ROUNDUP(DASHBOARD!$F$3-$D543,0)))</f>
        <v/>
      </c>
      <c r="N543">
        <f>IF($A543="","",$K543+(5002-ROW())/10000)</f>
        <v/>
      </c>
    </row>
    <row r="544" ht="14.25" customHeight="1">
      <c r="K544">
        <f>IF($A544="","",SUM($E544:$J544))</f>
        <v/>
      </c>
      <c r="M544">
        <f>IF($A544="","",MAX(0,ROUNDUP(DASHBOARD!$F$3-$D544,0)))</f>
        <v/>
      </c>
      <c r="N544">
        <f>IF($A544="","",$K544+(5002-ROW())/10000)</f>
        <v/>
      </c>
    </row>
    <row r="545" ht="14.25" customHeight="1">
      <c r="K545">
        <f>IF($A545="","",SUM($E545:$J545))</f>
        <v/>
      </c>
      <c r="M545">
        <f>IF($A545="","",MAX(0,ROUNDUP(DASHBOARD!$F$3-$D545,0)))</f>
        <v/>
      </c>
      <c r="N545">
        <f>IF($A545="","",$K545+(5002-ROW())/10000)</f>
        <v/>
      </c>
    </row>
    <row r="546" ht="14.25" customHeight="1">
      <c r="K546">
        <f>IF($A546="","",SUM($E546:$J546))</f>
        <v/>
      </c>
      <c r="M546">
        <f>IF($A546="","",MAX(0,ROUNDUP(DASHBOARD!$F$3-$D546,0)))</f>
        <v/>
      </c>
      <c r="N546">
        <f>IF($A546="","",$K546+(5002-ROW())/10000)</f>
        <v/>
      </c>
    </row>
    <row r="547" ht="14.25" customHeight="1">
      <c r="K547">
        <f>IF($A547="","",SUM($E547:$J547))</f>
        <v/>
      </c>
      <c r="M547">
        <f>IF($A547="","",MAX(0,ROUNDUP(DASHBOARD!$F$3-$D547,0)))</f>
        <v/>
      </c>
      <c r="N547">
        <f>IF($A547="","",$K547+(5002-ROW())/10000)</f>
        <v/>
      </c>
    </row>
    <row r="548" ht="14.25" customHeight="1">
      <c r="K548">
        <f>IF($A548="","",SUM($E548:$J548))</f>
        <v/>
      </c>
      <c r="M548">
        <f>IF($A548="","",MAX(0,ROUNDUP(DASHBOARD!$F$3-$D548,0)))</f>
        <v/>
      </c>
      <c r="N548">
        <f>IF($A548="","",$K548+(5002-ROW())/10000)</f>
        <v/>
      </c>
    </row>
    <row r="549" ht="14.25" customHeight="1">
      <c r="K549">
        <f>IF($A549="","",SUM($E549:$J549))</f>
        <v/>
      </c>
      <c r="M549">
        <f>IF($A549="","",MAX(0,ROUNDUP(DASHBOARD!$F$3-$D549,0)))</f>
        <v/>
      </c>
      <c r="N549">
        <f>IF($A549="","",$K549+(5002-ROW())/10000)</f>
        <v/>
      </c>
    </row>
    <row r="550" ht="14.25" customHeight="1">
      <c r="K550">
        <f>IF($A550="","",SUM($E550:$J550))</f>
        <v/>
      </c>
      <c r="M550">
        <f>IF($A550="","",MAX(0,ROUNDUP(DASHBOARD!$F$3-$D550,0)))</f>
        <v/>
      </c>
      <c r="N550">
        <f>IF($A550="","",$K550+(5002-ROW())/10000)</f>
        <v/>
      </c>
    </row>
    <row r="551" ht="14.25" customHeight="1">
      <c r="K551">
        <f>IF($A551="","",SUM($E551:$J551))</f>
        <v/>
      </c>
      <c r="M551">
        <f>IF($A551="","",MAX(0,ROUNDUP(DASHBOARD!$F$3-$D551,0)))</f>
        <v/>
      </c>
      <c r="N551">
        <f>IF($A551="","",$K551+(5002-ROW())/10000)</f>
        <v/>
      </c>
    </row>
    <row r="552" ht="14.25" customHeight="1">
      <c r="K552">
        <f>IF($A552="","",SUM($E552:$J552))</f>
        <v/>
      </c>
      <c r="M552">
        <f>IF($A552="","",MAX(0,ROUNDUP(DASHBOARD!$F$3-$D552,0)))</f>
        <v/>
      </c>
      <c r="N552">
        <f>IF($A552="","",$K552+(5002-ROW())/10000)</f>
        <v/>
      </c>
    </row>
    <row r="553" ht="14.25" customHeight="1">
      <c r="K553">
        <f>IF($A553="","",SUM($E553:$J553))</f>
        <v/>
      </c>
      <c r="M553">
        <f>IF($A553="","",MAX(0,ROUNDUP(DASHBOARD!$F$3-$D553,0)))</f>
        <v/>
      </c>
      <c r="N553">
        <f>IF($A553="","",$K553+(5002-ROW())/10000)</f>
        <v/>
      </c>
    </row>
    <row r="554" ht="14.25" customHeight="1">
      <c r="K554">
        <f>IF($A554="","",SUM($E554:$J554))</f>
        <v/>
      </c>
      <c r="M554">
        <f>IF($A554="","",MAX(0,ROUNDUP(DASHBOARD!$F$3-$D554,0)))</f>
        <v/>
      </c>
      <c r="N554">
        <f>IF($A554="","",$K554+(5002-ROW())/10000)</f>
        <v/>
      </c>
    </row>
    <row r="555" ht="14.25" customHeight="1">
      <c r="K555">
        <f>IF($A555="","",SUM($E555:$J555))</f>
        <v/>
      </c>
      <c r="M555">
        <f>IF($A555="","",MAX(0,ROUNDUP(DASHBOARD!$F$3-$D555,0)))</f>
        <v/>
      </c>
      <c r="N555">
        <f>IF($A555="","",$K555+(5002-ROW())/10000)</f>
        <v/>
      </c>
    </row>
    <row r="556" ht="14.25" customHeight="1">
      <c r="K556">
        <f>IF($A556="","",SUM($E556:$J556))</f>
        <v/>
      </c>
      <c r="M556">
        <f>IF($A556="","",MAX(0,ROUNDUP(DASHBOARD!$F$3-$D556,0)))</f>
        <v/>
      </c>
      <c r="N556">
        <f>IF($A556="","",$K556+(5002-ROW())/10000)</f>
        <v/>
      </c>
    </row>
    <row r="557" ht="14.25" customHeight="1">
      <c r="K557">
        <f>IF($A557="","",SUM($E557:$J557))</f>
        <v/>
      </c>
      <c r="M557">
        <f>IF($A557="","",MAX(0,ROUNDUP(DASHBOARD!$F$3-$D557,0)))</f>
        <v/>
      </c>
      <c r="N557">
        <f>IF($A557="","",$K557+(5002-ROW())/10000)</f>
        <v/>
      </c>
    </row>
    <row r="558" ht="14.25" customHeight="1">
      <c r="K558">
        <f>IF($A558="","",SUM($E558:$J558))</f>
        <v/>
      </c>
      <c r="M558">
        <f>IF($A558="","",MAX(0,ROUNDUP(DASHBOARD!$F$3-$D558,0)))</f>
        <v/>
      </c>
      <c r="N558">
        <f>IF($A558="","",$K558+(5002-ROW())/10000)</f>
        <v/>
      </c>
    </row>
    <row r="559" ht="14.25" customHeight="1">
      <c r="K559">
        <f>IF($A559="","",SUM($E559:$J559))</f>
        <v/>
      </c>
      <c r="M559">
        <f>IF($A559="","",MAX(0,ROUNDUP(DASHBOARD!$F$3-$D559,0)))</f>
        <v/>
      </c>
      <c r="N559">
        <f>IF($A559="","",$K559+(5002-ROW())/10000)</f>
        <v/>
      </c>
    </row>
    <row r="560" ht="14.25" customHeight="1">
      <c r="K560">
        <f>IF($A560="","",SUM($E560:$J560))</f>
        <v/>
      </c>
      <c r="M560">
        <f>IF($A560="","",MAX(0,ROUNDUP(DASHBOARD!$F$3-$D560,0)))</f>
        <v/>
      </c>
      <c r="N560">
        <f>IF($A560="","",$K560+(5002-ROW())/10000)</f>
        <v/>
      </c>
    </row>
    <row r="561" ht="14.25" customHeight="1">
      <c r="K561">
        <f>IF($A561="","",SUM($E561:$J561))</f>
        <v/>
      </c>
      <c r="M561">
        <f>IF($A561="","",MAX(0,ROUNDUP(DASHBOARD!$F$3-$D561,0)))</f>
        <v/>
      </c>
      <c r="N561">
        <f>IF($A561="","",$K561+(5002-ROW())/10000)</f>
        <v/>
      </c>
    </row>
    <row r="562" ht="14.25" customHeight="1">
      <c r="K562">
        <f>IF($A562="","",SUM($E562:$J562))</f>
        <v/>
      </c>
      <c r="M562">
        <f>IF($A562="","",MAX(0,ROUNDUP(DASHBOARD!$F$3-$D562,0)))</f>
        <v/>
      </c>
      <c r="N562">
        <f>IF($A562="","",$K562+(5002-ROW())/10000)</f>
        <v/>
      </c>
    </row>
    <row r="563" ht="14.25" customHeight="1">
      <c r="K563">
        <f>IF($A563="","",SUM($E563:$J563))</f>
        <v/>
      </c>
      <c r="M563">
        <f>IF($A563="","",MAX(0,ROUNDUP(DASHBOARD!$F$3-$D563,0)))</f>
        <v/>
      </c>
      <c r="N563">
        <f>IF($A563="","",$K563+(5002-ROW())/10000)</f>
        <v/>
      </c>
    </row>
    <row r="564" ht="14.25" customHeight="1">
      <c r="K564">
        <f>IF($A564="","",SUM($E564:$J564))</f>
        <v/>
      </c>
      <c r="M564">
        <f>IF($A564="","",MAX(0,ROUNDUP(DASHBOARD!$F$3-$D564,0)))</f>
        <v/>
      </c>
      <c r="N564">
        <f>IF($A564="","",$K564+(5002-ROW())/10000)</f>
        <v/>
      </c>
    </row>
    <row r="565" ht="14.25" customHeight="1">
      <c r="K565">
        <f>IF($A565="","",SUM($E565:$J565))</f>
        <v/>
      </c>
      <c r="M565">
        <f>IF($A565="","",MAX(0,ROUNDUP(DASHBOARD!$F$3-$D565,0)))</f>
        <v/>
      </c>
      <c r="N565">
        <f>IF($A565="","",$K565+(5002-ROW())/10000)</f>
        <v/>
      </c>
    </row>
    <row r="566" ht="14.25" customHeight="1">
      <c r="K566">
        <f>IF($A566="","",SUM($E566:$J566))</f>
        <v/>
      </c>
      <c r="M566">
        <f>IF($A566="","",MAX(0,ROUNDUP(DASHBOARD!$F$3-$D566,0)))</f>
        <v/>
      </c>
      <c r="N566">
        <f>IF($A566="","",$K566+(5002-ROW())/10000)</f>
        <v/>
      </c>
    </row>
    <row r="567" ht="14.25" customHeight="1">
      <c r="K567">
        <f>IF($A567="","",SUM($E567:$J567))</f>
        <v/>
      </c>
      <c r="M567">
        <f>IF($A567="","",MAX(0,ROUNDUP(DASHBOARD!$F$3-$D567,0)))</f>
        <v/>
      </c>
      <c r="N567">
        <f>IF($A567="","",$K567+(5002-ROW())/10000)</f>
        <v/>
      </c>
    </row>
    <row r="568" ht="14.25" customHeight="1">
      <c r="K568">
        <f>IF($A568="","",SUM($E568:$J568))</f>
        <v/>
      </c>
      <c r="M568">
        <f>IF($A568="","",MAX(0,ROUNDUP(DASHBOARD!$F$3-$D568,0)))</f>
        <v/>
      </c>
      <c r="N568">
        <f>IF($A568="","",$K568+(5002-ROW())/10000)</f>
        <v/>
      </c>
    </row>
    <row r="569" ht="14.25" customHeight="1">
      <c r="K569">
        <f>IF($A569="","",SUM($E569:$J569))</f>
        <v/>
      </c>
      <c r="M569">
        <f>IF($A569="","",MAX(0,ROUNDUP(DASHBOARD!$F$3-$D569,0)))</f>
        <v/>
      </c>
      <c r="N569">
        <f>IF($A569="","",$K569+(5002-ROW())/10000)</f>
        <v/>
      </c>
    </row>
    <row r="570" ht="14.25" customHeight="1">
      <c r="K570">
        <f>IF($A570="","",SUM($E570:$J570))</f>
        <v/>
      </c>
      <c r="M570">
        <f>IF($A570="","",MAX(0,ROUNDUP(DASHBOARD!$F$3-$D570,0)))</f>
        <v/>
      </c>
      <c r="N570">
        <f>IF($A570="","",$K570+(5002-ROW())/10000)</f>
        <v/>
      </c>
    </row>
    <row r="571" ht="14.25" customHeight="1">
      <c r="K571">
        <f>IF($A571="","",SUM($E571:$J571))</f>
        <v/>
      </c>
      <c r="M571">
        <f>IF($A571="","",MAX(0,ROUNDUP(DASHBOARD!$F$3-$D571,0)))</f>
        <v/>
      </c>
      <c r="N571">
        <f>IF($A571="","",$K571+(5002-ROW())/10000)</f>
        <v/>
      </c>
    </row>
    <row r="572" ht="14.25" customHeight="1">
      <c r="K572">
        <f>IF($A572="","",SUM($E572:$J572))</f>
        <v/>
      </c>
      <c r="M572">
        <f>IF($A572="","",MAX(0,ROUNDUP(DASHBOARD!$F$3-$D572,0)))</f>
        <v/>
      </c>
      <c r="N572">
        <f>IF($A572="","",$K572+(5002-ROW())/10000)</f>
        <v/>
      </c>
    </row>
    <row r="573" ht="14.25" customHeight="1">
      <c r="K573">
        <f>IF($A573="","",SUM($E573:$J573))</f>
        <v/>
      </c>
      <c r="M573">
        <f>IF($A573="","",MAX(0,ROUNDUP(DASHBOARD!$F$3-$D573,0)))</f>
        <v/>
      </c>
      <c r="N573">
        <f>IF($A573="","",$K573+(5002-ROW())/10000)</f>
        <v/>
      </c>
    </row>
    <row r="574" ht="14.25" customHeight="1">
      <c r="K574">
        <f>IF($A574="","",SUM($E574:$J574))</f>
        <v/>
      </c>
      <c r="M574">
        <f>IF($A574="","",MAX(0,ROUNDUP(DASHBOARD!$F$3-$D574,0)))</f>
        <v/>
      </c>
      <c r="N574">
        <f>IF($A574="","",$K574+(5002-ROW())/10000)</f>
        <v/>
      </c>
    </row>
    <row r="575" ht="14.25" customHeight="1">
      <c r="K575">
        <f>IF($A575="","",SUM($E575:$J575))</f>
        <v/>
      </c>
      <c r="M575">
        <f>IF($A575="","",MAX(0,ROUNDUP(DASHBOARD!$F$3-$D575,0)))</f>
        <v/>
      </c>
      <c r="N575">
        <f>IF($A575="","",$K575+(5002-ROW())/10000)</f>
        <v/>
      </c>
    </row>
    <row r="576" ht="14.25" customHeight="1">
      <c r="K576">
        <f>IF($A576="","",SUM($E576:$J576))</f>
        <v/>
      </c>
      <c r="M576">
        <f>IF($A576="","",MAX(0,ROUNDUP(DASHBOARD!$F$3-$D576,0)))</f>
        <v/>
      </c>
      <c r="N576">
        <f>IF($A576="","",$K576+(5002-ROW())/10000)</f>
        <v/>
      </c>
    </row>
    <row r="577" ht="14.25" customHeight="1">
      <c r="K577">
        <f>IF($A577="","",SUM($E577:$J577))</f>
        <v/>
      </c>
      <c r="M577">
        <f>IF($A577="","",MAX(0,ROUNDUP(DASHBOARD!$F$3-$D577,0)))</f>
        <v/>
      </c>
      <c r="N577">
        <f>IF($A577="","",$K577+(5002-ROW())/10000)</f>
        <v/>
      </c>
    </row>
    <row r="578" ht="14.25" customHeight="1">
      <c r="K578">
        <f>IF($A578="","",SUM($E578:$J578))</f>
        <v/>
      </c>
      <c r="M578">
        <f>IF($A578="","",MAX(0,ROUNDUP(DASHBOARD!$F$3-$D578,0)))</f>
        <v/>
      </c>
      <c r="N578">
        <f>IF($A578="","",$K578+(5002-ROW())/10000)</f>
        <v/>
      </c>
    </row>
    <row r="579" ht="14.25" customHeight="1">
      <c r="K579">
        <f>IF($A579="","",SUM($E579:$J579))</f>
        <v/>
      </c>
      <c r="M579">
        <f>IF($A579="","",MAX(0,ROUNDUP(DASHBOARD!$F$3-$D579,0)))</f>
        <v/>
      </c>
      <c r="N579">
        <f>IF($A579="","",$K579+(5002-ROW())/10000)</f>
        <v/>
      </c>
    </row>
    <row r="580" ht="14.25" customHeight="1">
      <c r="K580">
        <f>IF($A580="","",SUM($E580:$J580))</f>
        <v/>
      </c>
      <c r="M580">
        <f>IF($A580="","",MAX(0,ROUNDUP(DASHBOARD!$F$3-$D580,0)))</f>
        <v/>
      </c>
      <c r="N580">
        <f>IF($A580="","",$K580+(5002-ROW())/10000)</f>
        <v/>
      </c>
    </row>
    <row r="581" ht="14.25" customHeight="1">
      <c r="K581">
        <f>IF($A581="","",SUM($E581:$J581))</f>
        <v/>
      </c>
      <c r="M581">
        <f>IF($A581="","",MAX(0,ROUNDUP(DASHBOARD!$F$3-$D581,0)))</f>
        <v/>
      </c>
      <c r="N581">
        <f>IF($A581="","",$K581+(5002-ROW())/10000)</f>
        <v/>
      </c>
    </row>
    <row r="582" ht="14.25" customHeight="1">
      <c r="K582">
        <f>IF($A582="","",SUM($E582:$J582))</f>
        <v/>
      </c>
      <c r="M582">
        <f>IF($A582="","",MAX(0,ROUNDUP(DASHBOARD!$F$3-$D582,0)))</f>
        <v/>
      </c>
      <c r="N582">
        <f>IF($A582="","",$K582+(5002-ROW())/10000)</f>
        <v/>
      </c>
    </row>
    <row r="583" ht="14.25" customHeight="1">
      <c r="K583">
        <f>IF($A583="","",SUM($E583:$J583))</f>
        <v/>
      </c>
      <c r="M583">
        <f>IF($A583="","",MAX(0,ROUNDUP(DASHBOARD!$F$3-$D583,0)))</f>
        <v/>
      </c>
      <c r="N583">
        <f>IF($A583="","",$K583+(5002-ROW())/10000)</f>
        <v/>
      </c>
    </row>
    <row r="584" ht="14.25" customHeight="1">
      <c r="K584">
        <f>IF($A584="","",SUM($E584:$J584))</f>
        <v/>
      </c>
      <c r="M584">
        <f>IF($A584="","",MAX(0,ROUNDUP(DASHBOARD!$F$3-$D584,0)))</f>
        <v/>
      </c>
      <c r="N584">
        <f>IF($A584="","",$K584+(5002-ROW())/10000)</f>
        <v/>
      </c>
    </row>
    <row r="585" ht="14.25" customHeight="1">
      <c r="K585">
        <f>IF($A585="","",SUM($E585:$J585))</f>
        <v/>
      </c>
      <c r="M585">
        <f>IF($A585="","",MAX(0,ROUNDUP(DASHBOARD!$F$3-$D585,0)))</f>
        <v/>
      </c>
      <c r="N585">
        <f>IF($A585="","",$K585+(5002-ROW())/10000)</f>
        <v/>
      </c>
    </row>
    <row r="586" ht="14.25" customHeight="1">
      <c r="K586">
        <f>IF($A586="","",SUM($E586:$J586))</f>
        <v/>
      </c>
      <c r="M586">
        <f>IF($A586="","",MAX(0,ROUNDUP(DASHBOARD!$F$3-$D586,0)))</f>
        <v/>
      </c>
      <c r="N586">
        <f>IF($A586="","",$K586+(5002-ROW())/10000)</f>
        <v/>
      </c>
    </row>
    <row r="587" ht="14.25" customHeight="1">
      <c r="K587">
        <f>IF($A587="","",SUM($E587:$J587))</f>
        <v/>
      </c>
      <c r="M587">
        <f>IF($A587="","",MAX(0,ROUNDUP(DASHBOARD!$F$3-$D587,0)))</f>
        <v/>
      </c>
      <c r="N587">
        <f>IF($A587="","",$K587+(5002-ROW())/10000)</f>
        <v/>
      </c>
    </row>
    <row r="588" ht="14.25" customHeight="1">
      <c r="K588">
        <f>IF($A588="","",SUM($E588:$J588))</f>
        <v/>
      </c>
      <c r="M588">
        <f>IF($A588="","",MAX(0,ROUNDUP(DASHBOARD!$F$3-$D588,0)))</f>
        <v/>
      </c>
      <c r="N588">
        <f>IF($A588="","",$K588+(5002-ROW())/10000)</f>
        <v/>
      </c>
    </row>
    <row r="589" ht="14.25" customHeight="1">
      <c r="K589">
        <f>IF($A589="","",SUM($E589:$J589))</f>
        <v/>
      </c>
      <c r="M589">
        <f>IF($A589="","",MAX(0,ROUNDUP(DASHBOARD!$F$3-$D589,0)))</f>
        <v/>
      </c>
      <c r="N589">
        <f>IF($A589="","",$K589+(5002-ROW())/10000)</f>
        <v/>
      </c>
    </row>
    <row r="590" ht="14.25" customHeight="1">
      <c r="K590">
        <f>IF($A590="","",SUM($E590:$J590))</f>
        <v/>
      </c>
      <c r="M590">
        <f>IF($A590="","",MAX(0,ROUNDUP(DASHBOARD!$F$3-$D590,0)))</f>
        <v/>
      </c>
      <c r="N590">
        <f>IF($A590="","",$K590+(5002-ROW())/10000)</f>
        <v/>
      </c>
    </row>
    <row r="591" ht="14.25" customHeight="1">
      <c r="K591">
        <f>IF($A591="","",SUM($E591:$J591))</f>
        <v/>
      </c>
      <c r="M591">
        <f>IF($A591="","",MAX(0,ROUNDUP(DASHBOARD!$F$3-$D591,0)))</f>
        <v/>
      </c>
      <c r="N591">
        <f>IF($A591="","",$K591+(5002-ROW())/10000)</f>
        <v/>
      </c>
    </row>
    <row r="592" ht="14.25" customHeight="1">
      <c r="K592">
        <f>IF($A592="","",SUM($E592:$J592))</f>
        <v/>
      </c>
      <c r="M592">
        <f>IF($A592="","",MAX(0,ROUNDUP(DASHBOARD!$F$3-$D592,0)))</f>
        <v/>
      </c>
      <c r="N592">
        <f>IF($A592="","",$K592+(5002-ROW())/10000)</f>
        <v/>
      </c>
    </row>
    <row r="593" ht="14.25" customHeight="1">
      <c r="K593">
        <f>IF($A593="","",SUM($E593:$J593))</f>
        <v/>
      </c>
      <c r="M593">
        <f>IF($A593="","",MAX(0,ROUNDUP(DASHBOARD!$F$3-$D593,0)))</f>
        <v/>
      </c>
      <c r="N593">
        <f>IF($A593="","",$K593+(5002-ROW())/10000)</f>
        <v/>
      </c>
    </row>
    <row r="594" ht="14.25" customHeight="1">
      <c r="K594">
        <f>IF($A594="","",SUM($E594:$J594))</f>
        <v/>
      </c>
      <c r="M594">
        <f>IF($A594="","",MAX(0,ROUNDUP(DASHBOARD!$F$3-$D594,0)))</f>
        <v/>
      </c>
      <c r="N594">
        <f>IF($A594="","",$K594+(5002-ROW())/10000)</f>
        <v/>
      </c>
    </row>
    <row r="595" ht="14.25" customHeight="1">
      <c r="K595">
        <f>IF($A595="","",SUM($E595:$J595))</f>
        <v/>
      </c>
      <c r="M595">
        <f>IF($A595="","",MAX(0,ROUNDUP(DASHBOARD!$F$3-$D595,0)))</f>
        <v/>
      </c>
      <c r="N595">
        <f>IF($A595="","",$K595+(5002-ROW())/10000)</f>
        <v/>
      </c>
    </row>
    <row r="596" ht="14.25" customHeight="1">
      <c r="K596">
        <f>IF($A596="","",SUM($E596:$J596))</f>
        <v/>
      </c>
      <c r="M596">
        <f>IF($A596="","",MAX(0,ROUNDUP(DASHBOARD!$F$3-$D596,0)))</f>
        <v/>
      </c>
      <c r="N596">
        <f>IF($A596="","",$K596+(5002-ROW())/10000)</f>
        <v/>
      </c>
    </row>
    <row r="597" ht="14.25" customHeight="1">
      <c r="K597">
        <f>IF($A597="","",SUM($E597:$J597))</f>
        <v/>
      </c>
      <c r="M597">
        <f>IF($A597="","",MAX(0,ROUNDUP(DASHBOARD!$F$3-$D597,0)))</f>
        <v/>
      </c>
      <c r="N597">
        <f>IF($A597="","",$K597+(5002-ROW())/10000)</f>
        <v/>
      </c>
    </row>
    <row r="598" ht="14.25" customHeight="1">
      <c r="K598">
        <f>IF($A598="","",SUM($E598:$J598))</f>
        <v/>
      </c>
      <c r="M598">
        <f>IF($A598="","",MAX(0,ROUNDUP(DASHBOARD!$F$3-$D598,0)))</f>
        <v/>
      </c>
      <c r="N598">
        <f>IF($A598="","",$K598+(5002-ROW())/10000)</f>
        <v/>
      </c>
    </row>
    <row r="599" ht="14.25" customHeight="1">
      <c r="K599">
        <f>IF($A599="","",SUM($E599:$J599))</f>
        <v/>
      </c>
      <c r="M599">
        <f>IF($A599="","",MAX(0,ROUNDUP(DASHBOARD!$F$3-$D599,0)))</f>
        <v/>
      </c>
      <c r="N599">
        <f>IF($A599="","",$K599+(5002-ROW())/10000)</f>
        <v/>
      </c>
    </row>
    <row r="600" ht="14.25" customHeight="1">
      <c r="K600">
        <f>IF($A600="","",SUM($E600:$J600))</f>
        <v/>
      </c>
      <c r="M600">
        <f>IF($A600="","",MAX(0,ROUNDUP(DASHBOARD!$F$3-$D600,0)))</f>
        <v/>
      </c>
      <c r="N600">
        <f>IF($A600="","",$K600+(5002-ROW())/10000)</f>
        <v/>
      </c>
    </row>
    <row r="601" ht="14.25" customHeight="1">
      <c r="K601">
        <f>IF($A601="","",SUM($E601:$J601))</f>
        <v/>
      </c>
      <c r="M601">
        <f>IF($A601="","",MAX(0,ROUNDUP(DASHBOARD!$F$3-$D601,0)))</f>
        <v/>
      </c>
      <c r="N601">
        <f>IF($A601="","",$K601+(5002-ROW())/10000)</f>
        <v/>
      </c>
    </row>
    <row r="602" ht="14.25" customHeight="1">
      <c r="K602">
        <f>IF($A602="","",SUM($E602:$J602))</f>
        <v/>
      </c>
      <c r="M602">
        <f>IF($A602="","",MAX(0,ROUNDUP(DASHBOARD!$F$3-$D602,0)))</f>
        <v/>
      </c>
      <c r="N602">
        <f>IF($A602="","",$K602+(5002-ROW())/10000)</f>
        <v/>
      </c>
    </row>
    <row r="603" ht="14.25" customHeight="1">
      <c r="K603">
        <f>IF($A603="","",SUM($E603:$J603))</f>
        <v/>
      </c>
      <c r="M603">
        <f>IF($A603="","",MAX(0,ROUNDUP(DASHBOARD!$F$3-$D603,0)))</f>
        <v/>
      </c>
      <c r="N603">
        <f>IF($A603="","",$K603+(5002-ROW())/10000)</f>
        <v/>
      </c>
    </row>
    <row r="604" ht="14.25" customHeight="1">
      <c r="K604">
        <f>IF($A604="","",SUM($E604:$J604))</f>
        <v/>
      </c>
      <c r="M604">
        <f>IF($A604="","",MAX(0,ROUNDUP(DASHBOARD!$F$3-$D604,0)))</f>
        <v/>
      </c>
      <c r="N604">
        <f>IF($A604="","",$K604+(5002-ROW())/10000)</f>
        <v/>
      </c>
    </row>
    <row r="605" ht="14.25" customHeight="1">
      <c r="K605">
        <f>IF($A605="","",SUM($E605:$J605))</f>
        <v/>
      </c>
      <c r="M605">
        <f>IF($A605="","",MAX(0,ROUNDUP(DASHBOARD!$F$3-$D605,0)))</f>
        <v/>
      </c>
      <c r="N605">
        <f>IF($A605="","",$K605+(5002-ROW())/10000)</f>
        <v/>
      </c>
    </row>
    <row r="606" ht="14.25" customHeight="1">
      <c r="K606">
        <f>IF($A606="","",SUM($E606:$J606))</f>
        <v/>
      </c>
      <c r="M606">
        <f>IF($A606="","",MAX(0,ROUNDUP(DASHBOARD!$F$3-$D606,0)))</f>
        <v/>
      </c>
      <c r="N606">
        <f>IF($A606="","",$K606+(5002-ROW())/10000)</f>
        <v/>
      </c>
    </row>
    <row r="607" ht="14.25" customHeight="1">
      <c r="K607">
        <f>IF($A607="","",SUM($E607:$J607))</f>
        <v/>
      </c>
      <c r="M607">
        <f>IF($A607="","",MAX(0,ROUNDUP(DASHBOARD!$F$3-$D607,0)))</f>
        <v/>
      </c>
      <c r="N607">
        <f>IF($A607="","",$K607+(5002-ROW())/10000)</f>
        <v/>
      </c>
    </row>
    <row r="608" ht="14.25" customHeight="1">
      <c r="K608">
        <f>IF($A608="","",SUM($E608:$J608))</f>
        <v/>
      </c>
      <c r="M608">
        <f>IF($A608="","",MAX(0,ROUNDUP(DASHBOARD!$F$3-$D608,0)))</f>
        <v/>
      </c>
      <c r="N608">
        <f>IF($A608="","",$K608+(5002-ROW())/10000)</f>
        <v/>
      </c>
    </row>
    <row r="609" ht="14.25" customHeight="1">
      <c r="K609">
        <f>IF($A609="","",SUM($E609:$J609))</f>
        <v/>
      </c>
      <c r="M609">
        <f>IF($A609="","",MAX(0,ROUNDUP(DASHBOARD!$F$3-$D609,0)))</f>
        <v/>
      </c>
      <c r="N609">
        <f>IF($A609="","",$K609+(5002-ROW())/10000)</f>
        <v/>
      </c>
    </row>
    <row r="610" ht="14.25" customHeight="1">
      <c r="K610">
        <f>IF($A610="","",SUM($E610:$J610))</f>
        <v/>
      </c>
      <c r="M610">
        <f>IF($A610="","",MAX(0,ROUNDUP(DASHBOARD!$F$3-$D610,0)))</f>
        <v/>
      </c>
      <c r="N610">
        <f>IF($A610="","",$K610+(5002-ROW())/10000)</f>
        <v/>
      </c>
    </row>
    <row r="611" ht="14.25" customHeight="1">
      <c r="K611">
        <f>IF($A611="","",SUM($E611:$J611))</f>
        <v/>
      </c>
      <c r="M611">
        <f>IF($A611="","",MAX(0,ROUNDUP(DASHBOARD!$F$3-$D611,0)))</f>
        <v/>
      </c>
      <c r="N611">
        <f>IF($A611="","",$K611+(5002-ROW())/10000)</f>
        <v/>
      </c>
    </row>
    <row r="612" ht="14.25" customHeight="1">
      <c r="K612">
        <f>IF($A612="","",SUM($E612:$J612))</f>
        <v/>
      </c>
      <c r="M612">
        <f>IF($A612="","",MAX(0,ROUNDUP(DASHBOARD!$F$3-$D612,0)))</f>
        <v/>
      </c>
      <c r="N612">
        <f>IF($A612="","",$K612+(5002-ROW())/10000)</f>
        <v/>
      </c>
    </row>
    <row r="613" ht="14.25" customHeight="1">
      <c r="K613">
        <f>IF($A613="","",SUM($E613:$J613))</f>
        <v/>
      </c>
      <c r="M613">
        <f>IF($A613="","",MAX(0,ROUNDUP(DASHBOARD!$F$3-$D613,0)))</f>
        <v/>
      </c>
      <c r="N613">
        <f>IF($A613="","",$K613+(5002-ROW())/10000)</f>
        <v/>
      </c>
    </row>
    <row r="614" ht="14.25" customHeight="1">
      <c r="K614">
        <f>IF($A614="","",SUM($E614:$J614))</f>
        <v/>
      </c>
      <c r="M614">
        <f>IF($A614="","",MAX(0,ROUNDUP(DASHBOARD!$F$3-$D614,0)))</f>
        <v/>
      </c>
      <c r="N614">
        <f>IF($A614="","",$K614+(5002-ROW())/10000)</f>
        <v/>
      </c>
    </row>
    <row r="615" ht="14.25" customHeight="1">
      <c r="K615">
        <f>IF($A615="","",SUM($E615:$J615))</f>
        <v/>
      </c>
      <c r="M615">
        <f>IF($A615="","",MAX(0,ROUNDUP(DASHBOARD!$F$3-$D615,0)))</f>
        <v/>
      </c>
      <c r="N615">
        <f>IF($A615="","",$K615+(5002-ROW())/10000)</f>
        <v/>
      </c>
    </row>
    <row r="616" ht="14.25" customHeight="1">
      <c r="K616">
        <f>IF($A616="","",SUM($E616:$J616))</f>
        <v/>
      </c>
      <c r="M616">
        <f>IF($A616="","",MAX(0,ROUNDUP(DASHBOARD!$F$3-$D616,0)))</f>
        <v/>
      </c>
      <c r="N616">
        <f>IF($A616="","",$K616+(5002-ROW())/10000)</f>
        <v/>
      </c>
    </row>
    <row r="617" ht="14.25" customHeight="1">
      <c r="K617">
        <f>IF($A617="","",SUM($E617:$J617))</f>
        <v/>
      </c>
      <c r="M617">
        <f>IF($A617="","",MAX(0,ROUNDUP(DASHBOARD!$F$3-$D617,0)))</f>
        <v/>
      </c>
      <c r="N617">
        <f>IF($A617="","",$K617+(5002-ROW())/10000)</f>
        <v/>
      </c>
    </row>
    <row r="618" ht="14.25" customHeight="1">
      <c r="K618">
        <f>IF($A618="","",SUM($E618:$J618))</f>
        <v/>
      </c>
      <c r="M618">
        <f>IF($A618="","",MAX(0,ROUNDUP(DASHBOARD!$F$3-$D618,0)))</f>
        <v/>
      </c>
      <c r="N618">
        <f>IF($A618="","",$K618+(5002-ROW())/10000)</f>
        <v/>
      </c>
    </row>
    <row r="619" ht="14.25" customHeight="1">
      <c r="K619">
        <f>IF($A619="","",SUM($E619:$J619))</f>
        <v/>
      </c>
      <c r="M619">
        <f>IF($A619="","",MAX(0,ROUNDUP(DASHBOARD!$F$3-$D619,0)))</f>
        <v/>
      </c>
      <c r="N619">
        <f>IF($A619="","",$K619+(5002-ROW())/10000)</f>
        <v/>
      </c>
    </row>
    <row r="620" ht="14.25" customHeight="1">
      <c r="K620">
        <f>IF($A620="","",SUM($E620:$J620))</f>
        <v/>
      </c>
      <c r="M620">
        <f>IF($A620="","",MAX(0,ROUNDUP(DASHBOARD!$F$3-$D620,0)))</f>
        <v/>
      </c>
      <c r="N620">
        <f>IF($A620="","",$K620+(5002-ROW())/10000)</f>
        <v/>
      </c>
    </row>
    <row r="621" ht="14.25" customHeight="1">
      <c r="K621">
        <f>IF($A621="","",SUM($E621:$J621))</f>
        <v/>
      </c>
      <c r="M621">
        <f>IF($A621="","",MAX(0,ROUNDUP(DASHBOARD!$F$3-$D621,0)))</f>
        <v/>
      </c>
      <c r="N621">
        <f>IF($A621="","",$K621+(5002-ROW())/10000)</f>
        <v/>
      </c>
    </row>
    <row r="622" ht="14.25" customHeight="1">
      <c r="K622">
        <f>IF($A622="","",SUM($E622:$J622))</f>
        <v/>
      </c>
      <c r="M622">
        <f>IF($A622="","",MAX(0,ROUNDUP(DASHBOARD!$F$3-$D622,0)))</f>
        <v/>
      </c>
      <c r="N622">
        <f>IF($A622="","",$K622+(5002-ROW())/10000)</f>
        <v/>
      </c>
    </row>
    <row r="623" ht="14.25" customHeight="1">
      <c r="K623">
        <f>IF($A623="","",SUM($E623:$J623))</f>
        <v/>
      </c>
      <c r="M623">
        <f>IF($A623="","",MAX(0,ROUNDUP(DASHBOARD!$F$3-$D623,0)))</f>
        <v/>
      </c>
      <c r="N623">
        <f>IF($A623="","",$K623+(5002-ROW())/10000)</f>
        <v/>
      </c>
    </row>
    <row r="624" ht="14.25" customHeight="1">
      <c r="K624">
        <f>IF($A624="","",SUM($E624:$J624))</f>
        <v/>
      </c>
      <c r="M624">
        <f>IF($A624="","",MAX(0,ROUNDUP(DASHBOARD!$F$3-$D624,0)))</f>
        <v/>
      </c>
      <c r="N624">
        <f>IF($A624="","",$K624+(5002-ROW())/10000)</f>
        <v/>
      </c>
    </row>
    <row r="625" ht="14.25" customHeight="1">
      <c r="K625">
        <f>IF($A625="","",SUM($E625:$J625))</f>
        <v/>
      </c>
      <c r="M625">
        <f>IF($A625="","",MAX(0,ROUNDUP(DASHBOARD!$F$3-$D625,0)))</f>
        <v/>
      </c>
      <c r="N625">
        <f>IF($A625="","",$K625+(5002-ROW())/10000)</f>
        <v/>
      </c>
    </row>
    <row r="626" ht="14.25" customHeight="1">
      <c r="K626">
        <f>IF($A626="","",SUM($E626:$J626))</f>
        <v/>
      </c>
      <c r="M626">
        <f>IF($A626="","",MAX(0,ROUNDUP(DASHBOARD!$F$3-$D626,0)))</f>
        <v/>
      </c>
      <c r="N626">
        <f>IF($A626="","",$K626+(5002-ROW())/10000)</f>
        <v/>
      </c>
    </row>
    <row r="627" ht="14.25" customHeight="1">
      <c r="K627">
        <f>IF($A627="","",SUM($E627:$J627))</f>
        <v/>
      </c>
      <c r="M627">
        <f>IF($A627="","",MAX(0,ROUNDUP(DASHBOARD!$F$3-$D627,0)))</f>
        <v/>
      </c>
      <c r="N627">
        <f>IF($A627="","",$K627+(5002-ROW())/10000)</f>
        <v/>
      </c>
    </row>
    <row r="628" ht="14.25" customHeight="1">
      <c r="K628">
        <f>IF($A628="","",SUM($E628:$J628))</f>
        <v/>
      </c>
      <c r="M628">
        <f>IF($A628="","",MAX(0,ROUNDUP(DASHBOARD!$F$3-$D628,0)))</f>
        <v/>
      </c>
      <c r="N628">
        <f>IF($A628="","",$K628+(5002-ROW())/10000)</f>
        <v/>
      </c>
    </row>
    <row r="629" ht="14.25" customHeight="1">
      <c r="K629">
        <f>IF($A629="","",SUM($E629:$J629))</f>
        <v/>
      </c>
      <c r="M629">
        <f>IF($A629="","",MAX(0,ROUNDUP(DASHBOARD!$F$3-$D629,0)))</f>
        <v/>
      </c>
      <c r="N629">
        <f>IF($A629="","",$K629+(5002-ROW())/10000)</f>
        <v/>
      </c>
    </row>
    <row r="630" ht="14.25" customHeight="1">
      <c r="K630">
        <f>IF($A630="","",SUM($E630:$J630))</f>
        <v/>
      </c>
      <c r="M630">
        <f>IF($A630="","",MAX(0,ROUNDUP(DASHBOARD!$F$3-$D630,0)))</f>
        <v/>
      </c>
      <c r="N630">
        <f>IF($A630="","",$K630+(5002-ROW())/10000)</f>
        <v/>
      </c>
    </row>
    <row r="631" ht="14.25" customHeight="1">
      <c r="K631">
        <f>IF($A631="","",SUM($E631:$J631))</f>
        <v/>
      </c>
      <c r="M631">
        <f>IF($A631="","",MAX(0,ROUNDUP(DASHBOARD!$F$3-$D631,0)))</f>
        <v/>
      </c>
      <c r="N631">
        <f>IF($A631="","",$K631+(5002-ROW())/10000)</f>
        <v/>
      </c>
    </row>
    <row r="632" ht="14.25" customHeight="1">
      <c r="K632">
        <f>IF($A632="","",SUM($E632:$J632))</f>
        <v/>
      </c>
      <c r="M632">
        <f>IF($A632="","",MAX(0,ROUNDUP(DASHBOARD!$F$3-$D632,0)))</f>
        <v/>
      </c>
      <c r="N632">
        <f>IF($A632="","",$K632+(5002-ROW())/10000)</f>
        <v/>
      </c>
    </row>
    <row r="633" ht="14.25" customHeight="1">
      <c r="K633">
        <f>IF($A633="","",SUM($E633:$J633))</f>
        <v/>
      </c>
      <c r="M633">
        <f>IF($A633="","",MAX(0,ROUNDUP(DASHBOARD!$F$3-$D633,0)))</f>
        <v/>
      </c>
      <c r="N633">
        <f>IF($A633="","",$K633+(5002-ROW())/10000)</f>
        <v/>
      </c>
    </row>
    <row r="634" ht="14.25" customHeight="1">
      <c r="K634">
        <f>IF($A634="","",SUM($E634:$J634))</f>
        <v/>
      </c>
      <c r="M634">
        <f>IF($A634="","",MAX(0,ROUNDUP(DASHBOARD!$F$3-$D634,0)))</f>
        <v/>
      </c>
      <c r="N634">
        <f>IF($A634="","",$K634+(5002-ROW())/10000)</f>
        <v/>
      </c>
    </row>
    <row r="635" ht="14.25" customHeight="1">
      <c r="K635">
        <f>IF($A635="","",SUM($E635:$J635))</f>
        <v/>
      </c>
      <c r="M635">
        <f>IF($A635="","",MAX(0,ROUNDUP(DASHBOARD!$F$3-$D635,0)))</f>
        <v/>
      </c>
      <c r="N635">
        <f>IF($A635="","",$K635+(5002-ROW())/10000)</f>
        <v/>
      </c>
    </row>
    <row r="636" ht="14.25" customHeight="1">
      <c r="K636">
        <f>IF($A636="","",SUM($E636:$J636))</f>
        <v/>
      </c>
      <c r="M636">
        <f>IF($A636="","",MAX(0,ROUNDUP(DASHBOARD!$F$3-$D636,0)))</f>
        <v/>
      </c>
      <c r="N636">
        <f>IF($A636="","",$K636+(5002-ROW())/10000)</f>
        <v/>
      </c>
    </row>
    <row r="637" ht="14.25" customHeight="1">
      <c r="K637">
        <f>IF($A637="","",SUM($E637:$J637))</f>
        <v/>
      </c>
      <c r="M637">
        <f>IF($A637="","",MAX(0,ROUNDUP(DASHBOARD!$F$3-$D637,0)))</f>
        <v/>
      </c>
      <c r="N637">
        <f>IF($A637="","",$K637+(5002-ROW())/10000)</f>
        <v/>
      </c>
    </row>
    <row r="638" ht="14.25" customHeight="1">
      <c r="K638">
        <f>IF($A638="","",SUM($E638:$J638))</f>
        <v/>
      </c>
      <c r="M638">
        <f>IF($A638="","",MAX(0,ROUNDUP(DASHBOARD!$F$3-$D638,0)))</f>
        <v/>
      </c>
      <c r="N638">
        <f>IF($A638="","",$K638+(5002-ROW())/10000)</f>
        <v/>
      </c>
    </row>
    <row r="639" ht="14.25" customHeight="1">
      <c r="K639">
        <f>IF($A639="","",SUM($E639:$J639))</f>
        <v/>
      </c>
      <c r="M639">
        <f>IF($A639="","",MAX(0,ROUNDUP(DASHBOARD!$F$3-$D639,0)))</f>
        <v/>
      </c>
      <c r="N639">
        <f>IF($A639="","",$K639+(5002-ROW())/10000)</f>
        <v/>
      </c>
    </row>
    <row r="640" ht="14.25" customHeight="1">
      <c r="K640">
        <f>IF($A640="","",SUM($E640:$J640))</f>
        <v/>
      </c>
      <c r="M640">
        <f>IF($A640="","",MAX(0,ROUNDUP(DASHBOARD!$F$3-$D640,0)))</f>
        <v/>
      </c>
      <c r="N640">
        <f>IF($A640="","",$K640+(5002-ROW())/10000)</f>
        <v/>
      </c>
    </row>
    <row r="641" ht="14.25" customHeight="1">
      <c r="K641">
        <f>IF($A641="","",SUM($E641:$J641))</f>
        <v/>
      </c>
      <c r="M641">
        <f>IF($A641="","",MAX(0,ROUNDUP(DASHBOARD!$F$3-$D641,0)))</f>
        <v/>
      </c>
      <c r="N641">
        <f>IF($A641="","",$K641+(5002-ROW())/10000)</f>
        <v/>
      </c>
    </row>
    <row r="642" ht="14.25" customHeight="1">
      <c r="K642">
        <f>IF($A642="","",SUM($E642:$J642))</f>
        <v/>
      </c>
      <c r="M642">
        <f>IF($A642="","",MAX(0,ROUNDUP(DASHBOARD!$F$3-$D642,0)))</f>
        <v/>
      </c>
      <c r="N642">
        <f>IF($A642="","",$K642+(5002-ROW())/10000)</f>
        <v/>
      </c>
    </row>
    <row r="643" ht="14.25" customHeight="1">
      <c r="K643">
        <f>IF($A643="","",SUM($E643:$J643))</f>
        <v/>
      </c>
      <c r="M643">
        <f>IF($A643="","",MAX(0,ROUNDUP(DASHBOARD!$F$3-$D643,0)))</f>
        <v/>
      </c>
      <c r="N643">
        <f>IF($A643="","",$K643+(5002-ROW())/10000)</f>
        <v/>
      </c>
    </row>
    <row r="644" ht="14.25" customHeight="1">
      <c r="K644">
        <f>IF($A644="","",SUM($E644:$J644))</f>
        <v/>
      </c>
      <c r="M644">
        <f>IF($A644="","",MAX(0,ROUNDUP(DASHBOARD!$F$3-$D644,0)))</f>
        <v/>
      </c>
      <c r="N644">
        <f>IF($A644="","",$K644+(5002-ROW())/10000)</f>
        <v/>
      </c>
    </row>
    <row r="645" ht="14.25" customHeight="1">
      <c r="K645">
        <f>IF($A645="","",SUM($E645:$J645))</f>
        <v/>
      </c>
      <c r="M645">
        <f>IF($A645="","",MAX(0,ROUNDUP(DASHBOARD!$F$3-$D645,0)))</f>
        <v/>
      </c>
      <c r="N645">
        <f>IF($A645="","",$K645+(5002-ROW())/10000)</f>
        <v/>
      </c>
    </row>
    <row r="646" ht="14.25" customHeight="1">
      <c r="K646">
        <f>IF($A646="","",SUM($E646:$J646))</f>
        <v/>
      </c>
      <c r="M646">
        <f>IF($A646="","",MAX(0,ROUNDUP(DASHBOARD!$F$3-$D646,0)))</f>
        <v/>
      </c>
      <c r="N646">
        <f>IF($A646="","",$K646+(5002-ROW())/10000)</f>
        <v/>
      </c>
    </row>
    <row r="647" ht="14.25" customHeight="1">
      <c r="K647">
        <f>IF($A647="","",SUM($E647:$J647))</f>
        <v/>
      </c>
      <c r="M647">
        <f>IF($A647="","",MAX(0,ROUNDUP(DASHBOARD!$F$3-$D647,0)))</f>
        <v/>
      </c>
      <c r="N647">
        <f>IF($A647="","",$K647+(5002-ROW())/10000)</f>
        <v/>
      </c>
    </row>
    <row r="648" ht="14.25" customHeight="1">
      <c r="K648">
        <f>IF($A648="","",SUM($E648:$J648))</f>
        <v/>
      </c>
      <c r="M648">
        <f>IF($A648="","",MAX(0,ROUNDUP(DASHBOARD!$F$3-$D648,0)))</f>
        <v/>
      </c>
      <c r="N648">
        <f>IF($A648="","",$K648+(5002-ROW())/10000)</f>
        <v/>
      </c>
    </row>
    <row r="649" ht="14.25" customHeight="1">
      <c r="K649">
        <f>IF($A649="","",SUM($E649:$J649))</f>
        <v/>
      </c>
      <c r="M649">
        <f>IF($A649="","",MAX(0,ROUNDUP(DASHBOARD!$F$3-$D649,0)))</f>
        <v/>
      </c>
      <c r="N649">
        <f>IF($A649="","",$K649+(5002-ROW())/10000)</f>
        <v/>
      </c>
    </row>
    <row r="650" ht="14.25" customHeight="1">
      <c r="K650">
        <f>IF($A650="","",SUM($E650:$J650))</f>
        <v/>
      </c>
      <c r="M650">
        <f>IF($A650="","",MAX(0,ROUNDUP(DASHBOARD!$F$3-$D650,0)))</f>
        <v/>
      </c>
      <c r="N650">
        <f>IF($A650="","",$K650+(5002-ROW())/10000)</f>
        <v/>
      </c>
    </row>
    <row r="651" ht="14.25" customHeight="1">
      <c r="K651">
        <f>IF($A651="","",SUM($E651:$J651))</f>
        <v/>
      </c>
      <c r="M651">
        <f>IF($A651="","",MAX(0,ROUNDUP(DASHBOARD!$F$3-$D651,0)))</f>
        <v/>
      </c>
      <c r="N651">
        <f>IF($A651="","",$K651+(5002-ROW())/10000)</f>
        <v/>
      </c>
    </row>
    <row r="652" ht="14.25" customHeight="1">
      <c r="K652">
        <f>IF($A652="","",SUM($E652:$J652))</f>
        <v/>
      </c>
      <c r="M652">
        <f>IF($A652="","",MAX(0,ROUNDUP(DASHBOARD!$F$3-$D652,0)))</f>
        <v/>
      </c>
      <c r="N652">
        <f>IF($A652="","",$K652+(5002-ROW())/10000)</f>
        <v/>
      </c>
    </row>
    <row r="653" ht="14.25" customHeight="1">
      <c r="K653">
        <f>IF($A653="","",SUM($E653:$J653))</f>
        <v/>
      </c>
      <c r="M653">
        <f>IF($A653="","",MAX(0,ROUNDUP(DASHBOARD!$F$3-$D653,0)))</f>
        <v/>
      </c>
      <c r="N653">
        <f>IF($A653="","",$K653+(5002-ROW())/10000)</f>
        <v/>
      </c>
    </row>
    <row r="654" ht="14.25" customHeight="1">
      <c r="K654">
        <f>IF($A654="","",SUM($E654:$J654))</f>
        <v/>
      </c>
      <c r="M654">
        <f>IF($A654="","",MAX(0,ROUNDUP(DASHBOARD!$F$3-$D654,0)))</f>
        <v/>
      </c>
      <c r="N654">
        <f>IF($A654="","",$K654+(5002-ROW())/10000)</f>
        <v/>
      </c>
    </row>
    <row r="655" ht="14.25" customHeight="1">
      <c r="K655">
        <f>IF($A655="","",SUM($E655:$J655))</f>
        <v/>
      </c>
      <c r="M655">
        <f>IF($A655="","",MAX(0,ROUNDUP(DASHBOARD!$F$3-$D655,0)))</f>
        <v/>
      </c>
      <c r="N655">
        <f>IF($A655="","",$K655+(5002-ROW())/10000)</f>
        <v/>
      </c>
    </row>
    <row r="656" ht="14.25" customHeight="1">
      <c r="K656">
        <f>IF($A656="","",SUM($E656:$J656))</f>
        <v/>
      </c>
      <c r="M656">
        <f>IF($A656="","",MAX(0,ROUNDUP(DASHBOARD!$F$3-$D656,0)))</f>
        <v/>
      </c>
      <c r="N656">
        <f>IF($A656="","",$K656+(5002-ROW())/10000)</f>
        <v/>
      </c>
    </row>
    <row r="657" ht="14.25" customHeight="1">
      <c r="K657">
        <f>IF($A657="","",SUM($E657:$J657))</f>
        <v/>
      </c>
      <c r="M657">
        <f>IF($A657="","",MAX(0,ROUNDUP(DASHBOARD!$F$3-$D657,0)))</f>
        <v/>
      </c>
      <c r="N657">
        <f>IF($A657="","",$K657+(5002-ROW())/10000)</f>
        <v/>
      </c>
    </row>
    <row r="658" ht="14.25" customHeight="1">
      <c r="K658">
        <f>IF($A658="","",SUM($E658:$J658))</f>
        <v/>
      </c>
      <c r="M658">
        <f>IF($A658="","",MAX(0,ROUNDUP(DASHBOARD!$F$3-$D658,0)))</f>
        <v/>
      </c>
      <c r="N658">
        <f>IF($A658="","",$K658+(5002-ROW())/10000)</f>
        <v/>
      </c>
    </row>
    <row r="659" ht="14.25" customHeight="1">
      <c r="K659">
        <f>IF($A659="","",SUM($E659:$J659))</f>
        <v/>
      </c>
      <c r="M659">
        <f>IF($A659="","",MAX(0,ROUNDUP(DASHBOARD!$F$3-$D659,0)))</f>
        <v/>
      </c>
      <c r="N659">
        <f>IF($A659="","",$K659+(5002-ROW())/10000)</f>
        <v/>
      </c>
    </row>
    <row r="660" ht="14.25" customHeight="1">
      <c r="K660">
        <f>IF($A660="","",SUM($E660:$J660))</f>
        <v/>
      </c>
      <c r="M660">
        <f>IF($A660="","",MAX(0,ROUNDUP(DASHBOARD!$F$3-$D660,0)))</f>
        <v/>
      </c>
      <c r="N660">
        <f>IF($A660="","",$K660+(5002-ROW())/10000)</f>
        <v/>
      </c>
    </row>
    <row r="661" ht="14.25" customHeight="1">
      <c r="K661">
        <f>IF($A661="","",SUM($E661:$J661))</f>
        <v/>
      </c>
      <c r="M661">
        <f>IF($A661="","",MAX(0,ROUNDUP(DASHBOARD!$F$3-$D661,0)))</f>
        <v/>
      </c>
      <c r="N661">
        <f>IF($A661="","",$K661+(5002-ROW())/10000)</f>
        <v/>
      </c>
    </row>
    <row r="662" ht="14.25" customHeight="1">
      <c r="K662">
        <f>IF($A662="","",SUM($E662:$J662))</f>
        <v/>
      </c>
      <c r="M662">
        <f>IF($A662="","",MAX(0,ROUNDUP(DASHBOARD!$F$3-$D662,0)))</f>
        <v/>
      </c>
      <c r="N662">
        <f>IF($A662="","",$K662+(5002-ROW())/10000)</f>
        <v/>
      </c>
    </row>
    <row r="663" ht="14.25" customHeight="1">
      <c r="K663">
        <f>IF($A663="","",SUM($E663:$J663))</f>
        <v/>
      </c>
      <c r="M663">
        <f>IF($A663="","",MAX(0,ROUNDUP(DASHBOARD!$F$3-$D663,0)))</f>
        <v/>
      </c>
      <c r="N663">
        <f>IF($A663="","",$K663+(5002-ROW())/10000)</f>
        <v/>
      </c>
    </row>
    <row r="664" ht="14.25" customHeight="1">
      <c r="K664">
        <f>IF($A664="","",SUM($E664:$J664))</f>
        <v/>
      </c>
      <c r="M664">
        <f>IF($A664="","",MAX(0,ROUNDUP(DASHBOARD!$F$3-$D664,0)))</f>
        <v/>
      </c>
      <c r="N664">
        <f>IF($A664="","",$K664+(5002-ROW())/10000)</f>
        <v/>
      </c>
    </row>
    <row r="665" ht="14.25" customHeight="1">
      <c r="K665">
        <f>IF($A665="","",SUM($E665:$J665))</f>
        <v/>
      </c>
      <c r="M665">
        <f>IF($A665="","",MAX(0,ROUNDUP(DASHBOARD!$F$3-$D665,0)))</f>
        <v/>
      </c>
      <c r="N665">
        <f>IF($A665="","",$K665+(5002-ROW())/10000)</f>
        <v/>
      </c>
    </row>
    <row r="666" ht="14.25" customHeight="1">
      <c r="K666">
        <f>IF($A666="","",SUM($E666:$J666))</f>
        <v/>
      </c>
      <c r="M666">
        <f>IF($A666="","",MAX(0,ROUNDUP(DASHBOARD!$F$3-$D666,0)))</f>
        <v/>
      </c>
      <c r="N666">
        <f>IF($A666="","",$K666+(5002-ROW())/10000)</f>
        <v/>
      </c>
    </row>
    <row r="667" ht="14.25" customHeight="1">
      <c r="K667">
        <f>IF($A667="","",SUM($E667:$J667))</f>
        <v/>
      </c>
      <c r="M667">
        <f>IF($A667="","",MAX(0,ROUNDUP(DASHBOARD!$F$3-$D667,0)))</f>
        <v/>
      </c>
      <c r="N667">
        <f>IF($A667="","",$K667+(5002-ROW())/10000)</f>
        <v/>
      </c>
    </row>
    <row r="668" ht="14.25" customHeight="1">
      <c r="K668">
        <f>IF($A668="","",SUM($E668:$J668))</f>
        <v/>
      </c>
      <c r="M668">
        <f>IF($A668="","",MAX(0,ROUNDUP(DASHBOARD!$F$3-$D668,0)))</f>
        <v/>
      </c>
      <c r="N668">
        <f>IF($A668="","",$K668+(5002-ROW())/10000)</f>
        <v/>
      </c>
    </row>
    <row r="669" ht="14.25" customHeight="1">
      <c r="K669">
        <f>IF($A669="","",SUM($E669:$J669))</f>
        <v/>
      </c>
      <c r="M669">
        <f>IF($A669="","",MAX(0,ROUNDUP(DASHBOARD!$F$3-$D669,0)))</f>
        <v/>
      </c>
      <c r="N669">
        <f>IF($A669="","",$K669+(5002-ROW())/10000)</f>
        <v/>
      </c>
    </row>
    <row r="670" ht="14.25" customHeight="1">
      <c r="K670">
        <f>IF($A670="","",SUM($E670:$J670))</f>
        <v/>
      </c>
      <c r="M670">
        <f>IF($A670="","",MAX(0,ROUNDUP(DASHBOARD!$F$3-$D670,0)))</f>
        <v/>
      </c>
      <c r="N670">
        <f>IF($A670="","",$K670+(5002-ROW())/10000)</f>
        <v/>
      </c>
    </row>
    <row r="671" ht="14.25" customHeight="1">
      <c r="K671">
        <f>IF($A671="","",SUM($E671:$J671))</f>
        <v/>
      </c>
      <c r="M671">
        <f>IF($A671="","",MAX(0,ROUNDUP(DASHBOARD!$F$3-$D671,0)))</f>
        <v/>
      </c>
      <c r="N671">
        <f>IF($A671="","",$K671+(5002-ROW())/10000)</f>
        <v/>
      </c>
    </row>
    <row r="672" ht="14.25" customHeight="1">
      <c r="K672">
        <f>IF($A672="","",SUM($E672:$J672))</f>
        <v/>
      </c>
      <c r="M672">
        <f>IF($A672="","",MAX(0,ROUNDUP(DASHBOARD!$F$3-$D672,0)))</f>
        <v/>
      </c>
      <c r="N672">
        <f>IF($A672="","",$K672+(5002-ROW())/10000)</f>
        <v/>
      </c>
    </row>
    <row r="673" ht="14.25" customHeight="1">
      <c r="K673">
        <f>IF($A673="","",SUM($E673:$J673))</f>
        <v/>
      </c>
      <c r="M673">
        <f>IF($A673="","",MAX(0,ROUNDUP(DASHBOARD!$F$3-$D673,0)))</f>
        <v/>
      </c>
      <c r="N673">
        <f>IF($A673="","",$K673+(5002-ROW())/10000)</f>
        <v/>
      </c>
    </row>
    <row r="674" ht="14.25" customHeight="1">
      <c r="K674">
        <f>IF($A674="","",SUM($E674:$J674))</f>
        <v/>
      </c>
      <c r="M674">
        <f>IF($A674="","",MAX(0,ROUNDUP(DASHBOARD!$F$3-$D674,0)))</f>
        <v/>
      </c>
      <c r="N674">
        <f>IF($A674="","",$K674+(5002-ROW())/10000)</f>
        <v/>
      </c>
    </row>
    <row r="675" ht="14.25" customHeight="1">
      <c r="K675">
        <f>IF($A675="","",SUM($E675:$J675))</f>
        <v/>
      </c>
      <c r="M675">
        <f>IF($A675="","",MAX(0,ROUNDUP(DASHBOARD!$F$3-$D675,0)))</f>
        <v/>
      </c>
      <c r="N675">
        <f>IF($A675="","",$K675+(5002-ROW())/10000)</f>
        <v/>
      </c>
    </row>
    <row r="676" ht="14.25" customHeight="1">
      <c r="K676">
        <f>IF($A676="","",SUM($E676:$J676))</f>
        <v/>
      </c>
      <c r="M676">
        <f>IF($A676="","",MAX(0,ROUNDUP(DASHBOARD!$F$3-$D676,0)))</f>
        <v/>
      </c>
      <c r="N676">
        <f>IF($A676="","",$K676+(5002-ROW())/10000)</f>
        <v/>
      </c>
    </row>
    <row r="677" ht="14.25" customHeight="1">
      <c r="K677">
        <f>IF($A677="","",SUM($E677:$J677))</f>
        <v/>
      </c>
      <c r="M677">
        <f>IF($A677="","",MAX(0,ROUNDUP(DASHBOARD!$F$3-$D677,0)))</f>
        <v/>
      </c>
      <c r="N677">
        <f>IF($A677="","",$K677+(5002-ROW())/10000)</f>
        <v/>
      </c>
    </row>
    <row r="678" ht="14.25" customHeight="1">
      <c r="K678">
        <f>IF($A678="","",SUM($E678:$J678))</f>
        <v/>
      </c>
      <c r="M678">
        <f>IF($A678="","",MAX(0,ROUNDUP(DASHBOARD!$F$3-$D678,0)))</f>
        <v/>
      </c>
      <c r="N678">
        <f>IF($A678="","",$K678+(5002-ROW())/10000)</f>
        <v/>
      </c>
    </row>
    <row r="679" ht="14.25" customHeight="1">
      <c r="K679">
        <f>IF($A679="","",SUM($E679:$J679))</f>
        <v/>
      </c>
      <c r="M679">
        <f>IF($A679="","",MAX(0,ROUNDUP(DASHBOARD!$F$3-$D679,0)))</f>
        <v/>
      </c>
      <c r="N679">
        <f>IF($A679="","",$K679+(5002-ROW())/10000)</f>
        <v/>
      </c>
    </row>
    <row r="680" ht="14.25" customHeight="1">
      <c r="K680">
        <f>IF($A680="","",SUM($E680:$J680))</f>
        <v/>
      </c>
      <c r="M680">
        <f>IF($A680="","",MAX(0,ROUNDUP(DASHBOARD!$F$3-$D680,0)))</f>
        <v/>
      </c>
      <c r="N680">
        <f>IF($A680="","",$K680+(5002-ROW())/10000)</f>
        <v/>
      </c>
    </row>
    <row r="681" ht="14.25" customHeight="1">
      <c r="K681">
        <f>IF($A681="","",SUM($E681:$J681))</f>
        <v/>
      </c>
      <c r="M681">
        <f>IF($A681="","",MAX(0,ROUNDUP(DASHBOARD!$F$3-$D681,0)))</f>
        <v/>
      </c>
      <c r="N681">
        <f>IF($A681="","",$K681+(5002-ROW())/10000)</f>
        <v/>
      </c>
    </row>
    <row r="682" ht="14.25" customHeight="1">
      <c r="K682">
        <f>IF($A682="","",SUM($E682:$J682))</f>
        <v/>
      </c>
      <c r="M682">
        <f>IF($A682="","",MAX(0,ROUNDUP(DASHBOARD!$F$3-$D682,0)))</f>
        <v/>
      </c>
      <c r="N682">
        <f>IF($A682="","",$K682+(5002-ROW())/10000)</f>
        <v/>
      </c>
    </row>
    <row r="683" ht="14.25" customHeight="1">
      <c r="K683">
        <f>IF($A683="","",SUM($E683:$J683))</f>
        <v/>
      </c>
      <c r="M683">
        <f>IF($A683="","",MAX(0,ROUNDUP(DASHBOARD!$F$3-$D683,0)))</f>
        <v/>
      </c>
      <c r="N683">
        <f>IF($A683="","",$K683+(5002-ROW())/10000)</f>
        <v/>
      </c>
    </row>
    <row r="684" ht="14.25" customHeight="1">
      <c r="K684">
        <f>IF($A684="","",SUM($E684:$J684))</f>
        <v/>
      </c>
      <c r="M684">
        <f>IF($A684="","",MAX(0,ROUNDUP(DASHBOARD!$F$3-$D684,0)))</f>
        <v/>
      </c>
      <c r="N684">
        <f>IF($A684="","",$K684+(5002-ROW())/10000)</f>
        <v/>
      </c>
    </row>
    <row r="685" ht="14.25" customHeight="1">
      <c r="K685">
        <f>IF($A685="","",SUM($E685:$J685))</f>
        <v/>
      </c>
      <c r="M685">
        <f>IF($A685="","",MAX(0,ROUNDUP(DASHBOARD!$F$3-$D685,0)))</f>
        <v/>
      </c>
      <c r="N685">
        <f>IF($A685="","",$K685+(5002-ROW())/10000)</f>
        <v/>
      </c>
    </row>
    <row r="686" ht="14.25" customHeight="1">
      <c r="K686">
        <f>IF($A686="","",SUM($E686:$J686))</f>
        <v/>
      </c>
      <c r="M686">
        <f>IF($A686="","",MAX(0,ROUNDUP(DASHBOARD!$F$3-$D686,0)))</f>
        <v/>
      </c>
      <c r="N686">
        <f>IF($A686="","",$K686+(5002-ROW())/10000)</f>
        <v/>
      </c>
    </row>
    <row r="687" ht="14.25" customHeight="1">
      <c r="K687">
        <f>IF($A687="","",SUM($E687:$J687))</f>
        <v/>
      </c>
      <c r="M687">
        <f>IF($A687="","",MAX(0,ROUNDUP(DASHBOARD!$F$3-$D687,0)))</f>
        <v/>
      </c>
      <c r="N687">
        <f>IF($A687="","",$K687+(5002-ROW())/10000)</f>
        <v/>
      </c>
    </row>
    <row r="688" ht="14.25" customHeight="1">
      <c r="K688">
        <f>IF($A688="","",SUM($E688:$J688))</f>
        <v/>
      </c>
      <c r="M688">
        <f>IF($A688="","",MAX(0,ROUNDUP(DASHBOARD!$F$3-$D688,0)))</f>
        <v/>
      </c>
      <c r="N688">
        <f>IF($A688="","",$K688+(5002-ROW())/10000)</f>
        <v/>
      </c>
    </row>
    <row r="689" ht="14.25" customHeight="1">
      <c r="K689">
        <f>IF($A689="","",SUM($E689:$J689))</f>
        <v/>
      </c>
      <c r="M689">
        <f>IF($A689="","",MAX(0,ROUNDUP(DASHBOARD!$F$3-$D689,0)))</f>
        <v/>
      </c>
      <c r="N689">
        <f>IF($A689="","",$K689+(5002-ROW())/10000)</f>
        <v/>
      </c>
    </row>
    <row r="690" ht="14.25" customHeight="1">
      <c r="K690">
        <f>IF($A690="","",SUM($E690:$J690))</f>
        <v/>
      </c>
      <c r="M690">
        <f>IF($A690="","",MAX(0,ROUNDUP(DASHBOARD!$F$3-$D690,0)))</f>
        <v/>
      </c>
      <c r="N690">
        <f>IF($A690="","",$K690+(5002-ROW())/10000)</f>
        <v/>
      </c>
    </row>
    <row r="691" ht="14.25" customHeight="1">
      <c r="K691">
        <f>IF($A691="","",SUM($E691:$J691))</f>
        <v/>
      </c>
      <c r="M691">
        <f>IF($A691="","",MAX(0,ROUNDUP(DASHBOARD!$F$3-$D691,0)))</f>
        <v/>
      </c>
      <c r="N691">
        <f>IF($A691="","",$K691+(5002-ROW())/10000)</f>
        <v/>
      </c>
    </row>
    <row r="692" ht="14.25" customHeight="1">
      <c r="K692">
        <f>IF($A692="","",SUM($E692:$J692))</f>
        <v/>
      </c>
      <c r="M692">
        <f>IF($A692="","",MAX(0,ROUNDUP(DASHBOARD!$F$3-$D692,0)))</f>
        <v/>
      </c>
      <c r="N692">
        <f>IF($A692="","",$K692+(5002-ROW())/10000)</f>
        <v/>
      </c>
    </row>
    <row r="693" ht="14.25" customHeight="1">
      <c r="K693">
        <f>IF($A693="","",SUM($E693:$J693))</f>
        <v/>
      </c>
      <c r="M693">
        <f>IF($A693="","",MAX(0,ROUNDUP(DASHBOARD!$F$3-$D693,0)))</f>
        <v/>
      </c>
      <c r="N693">
        <f>IF($A693="","",$K693+(5002-ROW())/10000)</f>
        <v/>
      </c>
    </row>
    <row r="694" ht="14.25" customHeight="1">
      <c r="K694">
        <f>IF($A694="","",SUM($E694:$J694))</f>
        <v/>
      </c>
      <c r="M694">
        <f>IF($A694="","",MAX(0,ROUNDUP(DASHBOARD!$F$3-$D694,0)))</f>
        <v/>
      </c>
      <c r="N694">
        <f>IF($A694="","",$K694+(5002-ROW())/10000)</f>
        <v/>
      </c>
    </row>
    <row r="695" ht="14.25" customHeight="1">
      <c r="K695">
        <f>IF($A695="","",SUM($E695:$J695))</f>
        <v/>
      </c>
      <c r="M695">
        <f>IF($A695="","",MAX(0,ROUNDUP(DASHBOARD!$F$3-$D695,0)))</f>
        <v/>
      </c>
      <c r="N695">
        <f>IF($A695="","",$K695+(5002-ROW())/10000)</f>
        <v/>
      </c>
    </row>
    <row r="696" ht="14.25" customHeight="1">
      <c r="K696">
        <f>IF($A696="","",SUM($E696:$J696))</f>
        <v/>
      </c>
      <c r="M696">
        <f>IF($A696="","",MAX(0,ROUNDUP(DASHBOARD!$F$3-$D696,0)))</f>
        <v/>
      </c>
      <c r="N696">
        <f>IF($A696="","",$K696+(5002-ROW())/10000)</f>
        <v/>
      </c>
    </row>
    <row r="697" ht="14.25" customHeight="1">
      <c r="K697">
        <f>IF($A697="","",SUM($E697:$J697))</f>
        <v/>
      </c>
      <c r="M697">
        <f>IF($A697="","",MAX(0,ROUNDUP(DASHBOARD!$F$3-$D697,0)))</f>
        <v/>
      </c>
      <c r="N697">
        <f>IF($A697="","",$K697+(5002-ROW())/10000)</f>
        <v/>
      </c>
    </row>
    <row r="698" ht="14.25" customHeight="1">
      <c r="K698">
        <f>IF($A698="","",SUM($E698:$J698))</f>
        <v/>
      </c>
      <c r="M698">
        <f>IF($A698="","",MAX(0,ROUNDUP(DASHBOARD!$F$3-$D698,0)))</f>
        <v/>
      </c>
      <c r="N698">
        <f>IF($A698="","",$K698+(5002-ROW())/10000)</f>
        <v/>
      </c>
    </row>
    <row r="699" ht="14.25" customHeight="1">
      <c r="K699">
        <f>IF($A699="","",SUM($E699:$J699))</f>
        <v/>
      </c>
      <c r="M699">
        <f>IF($A699="","",MAX(0,ROUNDUP(DASHBOARD!$F$3-$D699,0)))</f>
        <v/>
      </c>
      <c r="N699">
        <f>IF($A699="","",$K699+(5002-ROW())/10000)</f>
        <v/>
      </c>
    </row>
    <row r="700" ht="14.25" customHeight="1">
      <c r="K700">
        <f>IF($A700="","",SUM($E700:$J700))</f>
        <v/>
      </c>
      <c r="M700">
        <f>IF($A700="","",MAX(0,ROUNDUP(DASHBOARD!$F$3-$D700,0)))</f>
        <v/>
      </c>
      <c r="N700">
        <f>IF($A700="","",$K700+(5002-ROW())/10000)</f>
        <v/>
      </c>
    </row>
    <row r="701" ht="14.25" customHeight="1">
      <c r="K701">
        <f>IF($A701="","",SUM($E701:$J701))</f>
        <v/>
      </c>
      <c r="M701">
        <f>IF($A701="","",MAX(0,ROUNDUP(DASHBOARD!$F$3-$D701,0)))</f>
        <v/>
      </c>
      <c r="N701">
        <f>IF($A701="","",$K701+(5002-ROW())/10000)</f>
        <v/>
      </c>
    </row>
    <row r="702" ht="14.25" customHeight="1">
      <c r="K702">
        <f>IF($A702="","",SUM($E702:$J702))</f>
        <v/>
      </c>
      <c r="M702">
        <f>IF($A702="","",MAX(0,ROUNDUP(DASHBOARD!$F$3-$D702,0)))</f>
        <v/>
      </c>
      <c r="N702">
        <f>IF($A702="","",$K702+(5002-ROW())/10000)</f>
        <v/>
      </c>
    </row>
    <row r="703" ht="14.25" customHeight="1">
      <c r="K703">
        <f>IF($A703="","",SUM($E703:$J703))</f>
        <v/>
      </c>
      <c r="M703">
        <f>IF($A703="","",MAX(0,ROUNDUP(DASHBOARD!$F$3-$D703,0)))</f>
        <v/>
      </c>
      <c r="N703">
        <f>IF($A703="","",$K703+(5002-ROW())/10000)</f>
        <v/>
      </c>
    </row>
    <row r="704" ht="14.25" customHeight="1">
      <c r="K704">
        <f>IF($A704="","",SUM($E704:$J704))</f>
        <v/>
      </c>
      <c r="M704">
        <f>IF($A704="","",MAX(0,ROUNDUP(DASHBOARD!$F$3-$D704,0)))</f>
        <v/>
      </c>
      <c r="N704">
        <f>IF($A704="","",$K704+(5002-ROW())/10000)</f>
        <v/>
      </c>
    </row>
    <row r="705" ht="14.25" customHeight="1">
      <c r="K705">
        <f>IF($A705="","",SUM($E705:$J705))</f>
        <v/>
      </c>
      <c r="M705">
        <f>IF($A705="","",MAX(0,ROUNDUP(DASHBOARD!$F$3-$D705,0)))</f>
        <v/>
      </c>
      <c r="N705">
        <f>IF($A705="","",$K705+(5002-ROW())/10000)</f>
        <v/>
      </c>
    </row>
    <row r="706" ht="14.25" customHeight="1">
      <c r="K706">
        <f>IF($A706="","",SUM($E706:$J706))</f>
        <v/>
      </c>
      <c r="M706">
        <f>IF($A706="","",MAX(0,ROUNDUP(DASHBOARD!$F$3-$D706,0)))</f>
        <v/>
      </c>
      <c r="N706">
        <f>IF($A706="","",$K706+(5002-ROW())/10000)</f>
        <v/>
      </c>
    </row>
    <row r="707" ht="14.25" customHeight="1">
      <c r="K707">
        <f>IF($A707="","",SUM($E707:$J707))</f>
        <v/>
      </c>
      <c r="M707">
        <f>IF($A707="","",MAX(0,ROUNDUP(DASHBOARD!$F$3-$D707,0)))</f>
        <v/>
      </c>
      <c r="N707">
        <f>IF($A707="","",$K707+(5002-ROW())/10000)</f>
        <v/>
      </c>
    </row>
    <row r="708" ht="14.25" customHeight="1">
      <c r="K708">
        <f>IF($A708="","",SUM($E708:$J708))</f>
        <v/>
      </c>
      <c r="M708">
        <f>IF($A708="","",MAX(0,ROUNDUP(DASHBOARD!$F$3-$D708,0)))</f>
        <v/>
      </c>
      <c r="N708">
        <f>IF($A708="","",$K708+(5002-ROW())/10000)</f>
        <v/>
      </c>
    </row>
    <row r="709" ht="14.25" customHeight="1">
      <c r="K709">
        <f>IF($A709="","",SUM($E709:$J709))</f>
        <v/>
      </c>
      <c r="M709">
        <f>IF($A709="","",MAX(0,ROUNDUP(DASHBOARD!$F$3-$D709,0)))</f>
        <v/>
      </c>
      <c r="N709">
        <f>IF($A709="","",$K709+(5002-ROW())/10000)</f>
        <v/>
      </c>
    </row>
    <row r="710" ht="14.25" customHeight="1">
      <c r="K710">
        <f>IF($A710="","",SUM($E710:$J710))</f>
        <v/>
      </c>
      <c r="M710">
        <f>IF($A710="","",MAX(0,ROUNDUP(DASHBOARD!$F$3-$D710,0)))</f>
        <v/>
      </c>
      <c r="N710">
        <f>IF($A710="","",$K710+(5002-ROW())/10000)</f>
        <v/>
      </c>
    </row>
    <row r="711" ht="14.25" customHeight="1">
      <c r="K711">
        <f>IF($A711="","",SUM($E711:$J711))</f>
        <v/>
      </c>
      <c r="M711">
        <f>IF($A711="","",MAX(0,ROUNDUP(DASHBOARD!$F$3-$D711,0)))</f>
        <v/>
      </c>
      <c r="N711">
        <f>IF($A711="","",$K711+(5002-ROW())/10000)</f>
        <v/>
      </c>
    </row>
    <row r="712" ht="14.25" customHeight="1">
      <c r="K712">
        <f>IF($A712="","",SUM($E712:$J712))</f>
        <v/>
      </c>
      <c r="M712">
        <f>IF($A712="","",MAX(0,ROUNDUP(DASHBOARD!$F$3-$D712,0)))</f>
        <v/>
      </c>
      <c r="N712">
        <f>IF($A712="","",$K712+(5002-ROW())/10000)</f>
        <v/>
      </c>
    </row>
    <row r="713" ht="14.25" customHeight="1">
      <c r="K713">
        <f>IF($A713="","",SUM($E713:$J713))</f>
        <v/>
      </c>
      <c r="M713">
        <f>IF($A713="","",MAX(0,ROUNDUP(DASHBOARD!$F$3-$D713,0)))</f>
        <v/>
      </c>
      <c r="N713">
        <f>IF($A713="","",$K713+(5002-ROW())/10000)</f>
        <v/>
      </c>
    </row>
    <row r="714" ht="14.25" customHeight="1">
      <c r="K714">
        <f>IF($A714="","",SUM($E714:$J714))</f>
        <v/>
      </c>
      <c r="M714">
        <f>IF($A714="","",MAX(0,ROUNDUP(DASHBOARD!$F$3-$D714,0)))</f>
        <v/>
      </c>
      <c r="N714">
        <f>IF($A714="","",$K714+(5002-ROW())/10000)</f>
        <v/>
      </c>
    </row>
    <row r="715" ht="14.25" customHeight="1">
      <c r="K715">
        <f>IF($A715="","",SUM($E715:$J715))</f>
        <v/>
      </c>
      <c r="M715">
        <f>IF($A715="","",MAX(0,ROUNDUP(DASHBOARD!$F$3-$D715,0)))</f>
        <v/>
      </c>
      <c r="N715">
        <f>IF($A715="","",$K715+(5002-ROW())/10000)</f>
        <v/>
      </c>
    </row>
    <row r="716" ht="14.25" customHeight="1">
      <c r="K716">
        <f>IF($A716="","",SUM($E716:$J716))</f>
        <v/>
      </c>
      <c r="M716">
        <f>IF($A716="","",MAX(0,ROUNDUP(DASHBOARD!$F$3-$D716,0)))</f>
        <v/>
      </c>
      <c r="N716">
        <f>IF($A716="","",$K716+(5002-ROW())/10000)</f>
        <v/>
      </c>
    </row>
    <row r="717" ht="14.25" customHeight="1">
      <c r="K717">
        <f>IF($A717="","",SUM($E717:$J717))</f>
        <v/>
      </c>
      <c r="M717">
        <f>IF($A717="","",MAX(0,ROUNDUP(DASHBOARD!$F$3-$D717,0)))</f>
        <v/>
      </c>
      <c r="N717">
        <f>IF($A717="","",$K717+(5002-ROW())/10000)</f>
        <v/>
      </c>
    </row>
    <row r="718" ht="14.25" customHeight="1">
      <c r="K718">
        <f>IF($A718="","",SUM($E718:$J718))</f>
        <v/>
      </c>
      <c r="M718">
        <f>IF($A718="","",MAX(0,ROUNDUP(DASHBOARD!$F$3-$D718,0)))</f>
        <v/>
      </c>
      <c r="N718">
        <f>IF($A718="","",$K718+(5002-ROW())/10000)</f>
        <v/>
      </c>
    </row>
    <row r="719" ht="14.25" customHeight="1">
      <c r="K719">
        <f>IF($A719="","",SUM($E719:$J719))</f>
        <v/>
      </c>
      <c r="M719">
        <f>IF($A719="","",MAX(0,ROUNDUP(DASHBOARD!$F$3-$D719,0)))</f>
        <v/>
      </c>
      <c r="N719">
        <f>IF($A719="","",$K719+(5002-ROW())/10000)</f>
        <v/>
      </c>
    </row>
    <row r="720" ht="14.25" customHeight="1">
      <c r="K720">
        <f>IF($A720="","",SUM($E720:$J720))</f>
        <v/>
      </c>
      <c r="M720">
        <f>IF($A720="","",MAX(0,ROUNDUP(DASHBOARD!$F$3-$D720,0)))</f>
        <v/>
      </c>
      <c r="N720">
        <f>IF($A720="","",$K720+(5002-ROW())/10000)</f>
        <v/>
      </c>
    </row>
    <row r="721" ht="14.25" customHeight="1">
      <c r="K721">
        <f>IF($A721="","",SUM($E721:$J721))</f>
        <v/>
      </c>
      <c r="M721">
        <f>IF($A721="","",MAX(0,ROUNDUP(DASHBOARD!$F$3-$D721,0)))</f>
        <v/>
      </c>
      <c r="N721">
        <f>IF($A721="","",$K721+(5002-ROW())/10000)</f>
        <v/>
      </c>
    </row>
    <row r="722" ht="14.25" customHeight="1">
      <c r="K722">
        <f>IF($A722="","",SUM($E722:$J722))</f>
        <v/>
      </c>
      <c r="M722">
        <f>IF($A722="","",MAX(0,ROUNDUP(DASHBOARD!$F$3-$D722,0)))</f>
        <v/>
      </c>
      <c r="N722">
        <f>IF($A722="","",$K722+(5002-ROW())/10000)</f>
        <v/>
      </c>
    </row>
    <row r="723" ht="14.25" customHeight="1">
      <c r="K723">
        <f>IF($A723="","",SUM($E723:$J723))</f>
        <v/>
      </c>
      <c r="M723">
        <f>IF($A723="","",MAX(0,ROUNDUP(DASHBOARD!$F$3-$D723,0)))</f>
        <v/>
      </c>
      <c r="N723">
        <f>IF($A723="","",$K723+(5002-ROW())/10000)</f>
        <v/>
      </c>
    </row>
    <row r="724" ht="14.25" customHeight="1">
      <c r="K724">
        <f>IF($A724="","",SUM($E724:$J724))</f>
        <v/>
      </c>
      <c r="M724">
        <f>IF($A724="","",MAX(0,ROUNDUP(DASHBOARD!$F$3-$D724,0)))</f>
        <v/>
      </c>
      <c r="N724">
        <f>IF($A724="","",$K724+(5002-ROW())/10000)</f>
        <v/>
      </c>
    </row>
    <row r="725" ht="14.25" customHeight="1">
      <c r="K725">
        <f>IF($A725="","",SUM($E725:$J725))</f>
        <v/>
      </c>
      <c r="M725">
        <f>IF($A725="","",MAX(0,ROUNDUP(DASHBOARD!$F$3-$D725,0)))</f>
        <v/>
      </c>
      <c r="N725">
        <f>IF($A725="","",$K725+(5002-ROW())/10000)</f>
        <v/>
      </c>
    </row>
    <row r="726" ht="14.25" customHeight="1">
      <c r="K726">
        <f>IF($A726="","",SUM($E726:$J726))</f>
        <v/>
      </c>
      <c r="M726">
        <f>IF($A726="","",MAX(0,ROUNDUP(DASHBOARD!$F$3-$D726,0)))</f>
        <v/>
      </c>
      <c r="N726">
        <f>IF($A726="","",$K726+(5002-ROW())/10000)</f>
        <v/>
      </c>
    </row>
    <row r="727" ht="14.25" customHeight="1">
      <c r="K727">
        <f>IF($A727="","",SUM($E727:$J727))</f>
        <v/>
      </c>
      <c r="M727">
        <f>IF($A727="","",MAX(0,ROUNDUP(DASHBOARD!$F$3-$D727,0)))</f>
        <v/>
      </c>
      <c r="N727">
        <f>IF($A727="","",$K727+(5002-ROW())/10000)</f>
        <v/>
      </c>
    </row>
    <row r="728" ht="14.25" customHeight="1">
      <c r="K728">
        <f>IF($A728="","",SUM($E728:$J728))</f>
        <v/>
      </c>
      <c r="M728">
        <f>IF($A728="","",MAX(0,ROUNDUP(DASHBOARD!$F$3-$D728,0)))</f>
        <v/>
      </c>
      <c r="N728">
        <f>IF($A728="","",$K728+(5002-ROW())/10000)</f>
        <v/>
      </c>
    </row>
    <row r="729" ht="14.25" customHeight="1">
      <c r="K729">
        <f>IF($A729="","",SUM($E729:$J729))</f>
        <v/>
      </c>
      <c r="M729">
        <f>IF($A729="","",MAX(0,ROUNDUP(DASHBOARD!$F$3-$D729,0)))</f>
        <v/>
      </c>
      <c r="N729">
        <f>IF($A729="","",$K729+(5002-ROW())/10000)</f>
        <v/>
      </c>
    </row>
    <row r="730" ht="14.25" customHeight="1">
      <c r="K730">
        <f>IF($A730="","",SUM($E730:$J730))</f>
        <v/>
      </c>
      <c r="M730">
        <f>IF($A730="","",MAX(0,ROUNDUP(DASHBOARD!$F$3-$D730,0)))</f>
        <v/>
      </c>
      <c r="N730">
        <f>IF($A730="","",$K730+(5002-ROW())/10000)</f>
        <v/>
      </c>
    </row>
    <row r="731" ht="14.25" customHeight="1">
      <c r="K731">
        <f>IF($A731="","",SUM($E731:$J731))</f>
        <v/>
      </c>
      <c r="M731">
        <f>IF($A731="","",MAX(0,ROUNDUP(DASHBOARD!$F$3-$D731,0)))</f>
        <v/>
      </c>
      <c r="N731">
        <f>IF($A731="","",$K731+(5002-ROW())/10000)</f>
        <v/>
      </c>
    </row>
    <row r="732" ht="14.25" customHeight="1">
      <c r="K732">
        <f>IF($A732="","",SUM($E732:$J732))</f>
        <v/>
      </c>
      <c r="M732">
        <f>IF($A732="","",MAX(0,ROUNDUP(DASHBOARD!$F$3-$D732,0)))</f>
        <v/>
      </c>
      <c r="N732">
        <f>IF($A732="","",$K732+(5002-ROW())/10000)</f>
        <v/>
      </c>
    </row>
    <row r="733" ht="14.25" customHeight="1">
      <c r="K733">
        <f>IF($A733="","",SUM($E733:$J733))</f>
        <v/>
      </c>
      <c r="M733">
        <f>IF($A733="","",MAX(0,ROUNDUP(DASHBOARD!$F$3-$D733,0)))</f>
        <v/>
      </c>
      <c r="N733">
        <f>IF($A733="","",$K733+(5002-ROW())/10000)</f>
        <v/>
      </c>
    </row>
    <row r="734" ht="14.25" customHeight="1">
      <c r="K734">
        <f>IF($A734="","",SUM($E734:$J734))</f>
        <v/>
      </c>
      <c r="M734">
        <f>IF($A734="","",MAX(0,ROUNDUP(DASHBOARD!$F$3-$D734,0)))</f>
        <v/>
      </c>
      <c r="N734">
        <f>IF($A734="","",$K734+(5002-ROW())/10000)</f>
        <v/>
      </c>
    </row>
    <row r="735" ht="14.25" customHeight="1">
      <c r="K735">
        <f>IF($A735="","",SUM($E735:$J735))</f>
        <v/>
      </c>
      <c r="M735">
        <f>IF($A735="","",MAX(0,ROUNDUP(DASHBOARD!$F$3-$D735,0)))</f>
        <v/>
      </c>
      <c r="N735">
        <f>IF($A735="","",$K735+(5002-ROW())/10000)</f>
        <v/>
      </c>
    </row>
    <row r="736" ht="14.25" customHeight="1">
      <c r="K736">
        <f>IF($A736="","",SUM($E736:$J736))</f>
        <v/>
      </c>
      <c r="M736">
        <f>IF($A736="","",MAX(0,ROUNDUP(DASHBOARD!$F$3-$D736,0)))</f>
        <v/>
      </c>
      <c r="N736">
        <f>IF($A736="","",$K736+(5002-ROW())/10000)</f>
        <v/>
      </c>
    </row>
    <row r="737" ht="14.25" customHeight="1">
      <c r="K737">
        <f>IF($A737="","",SUM($E737:$J737))</f>
        <v/>
      </c>
      <c r="M737">
        <f>IF($A737="","",MAX(0,ROUNDUP(DASHBOARD!$F$3-$D737,0)))</f>
        <v/>
      </c>
      <c r="N737">
        <f>IF($A737="","",$K737+(5002-ROW())/10000)</f>
        <v/>
      </c>
    </row>
    <row r="738" ht="14.25" customHeight="1">
      <c r="K738">
        <f>IF($A738="","",SUM($E738:$J738))</f>
        <v/>
      </c>
      <c r="M738">
        <f>IF($A738="","",MAX(0,ROUNDUP(DASHBOARD!$F$3-$D738,0)))</f>
        <v/>
      </c>
      <c r="N738">
        <f>IF($A738="","",$K738+(5002-ROW())/10000)</f>
        <v/>
      </c>
    </row>
    <row r="739" ht="14.25" customHeight="1">
      <c r="K739">
        <f>IF($A739="","",SUM($E739:$J739))</f>
        <v/>
      </c>
      <c r="M739">
        <f>IF($A739="","",MAX(0,ROUNDUP(DASHBOARD!$F$3-$D739,0)))</f>
        <v/>
      </c>
      <c r="N739">
        <f>IF($A739="","",$K739+(5002-ROW())/10000)</f>
        <v/>
      </c>
    </row>
    <row r="740" ht="14.25" customHeight="1">
      <c r="K740">
        <f>IF($A740="","",SUM($E740:$J740))</f>
        <v/>
      </c>
      <c r="M740">
        <f>IF($A740="","",MAX(0,ROUNDUP(DASHBOARD!$F$3-$D740,0)))</f>
        <v/>
      </c>
      <c r="N740">
        <f>IF($A740="","",$K740+(5002-ROW())/10000)</f>
        <v/>
      </c>
    </row>
    <row r="741" ht="14.25" customHeight="1">
      <c r="K741">
        <f>IF($A741="","",SUM($E741:$J741))</f>
        <v/>
      </c>
      <c r="M741">
        <f>IF($A741="","",MAX(0,ROUNDUP(DASHBOARD!$F$3-$D741,0)))</f>
        <v/>
      </c>
      <c r="N741">
        <f>IF($A741="","",$K741+(5002-ROW())/10000)</f>
        <v/>
      </c>
    </row>
    <row r="742" ht="14.25" customHeight="1">
      <c r="K742">
        <f>IF($A742="","",SUM($E742:$J742))</f>
        <v/>
      </c>
      <c r="M742">
        <f>IF($A742="","",MAX(0,ROUNDUP(DASHBOARD!$F$3-$D742,0)))</f>
        <v/>
      </c>
      <c r="N742">
        <f>IF($A742="","",$K742+(5002-ROW())/10000)</f>
        <v/>
      </c>
    </row>
    <row r="743" ht="14.25" customHeight="1">
      <c r="K743">
        <f>IF($A743="","",SUM($E743:$J743))</f>
        <v/>
      </c>
      <c r="M743">
        <f>IF($A743="","",MAX(0,ROUNDUP(DASHBOARD!$F$3-$D743,0)))</f>
        <v/>
      </c>
      <c r="N743">
        <f>IF($A743="","",$K743+(5002-ROW())/10000)</f>
        <v/>
      </c>
    </row>
    <row r="744" ht="14.25" customHeight="1">
      <c r="K744">
        <f>IF($A744="","",SUM($E744:$J744))</f>
        <v/>
      </c>
      <c r="M744">
        <f>IF($A744="","",MAX(0,ROUNDUP(DASHBOARD!$F$3-$D744,0)))</f>
        <v/>
      </c>
      <c r="N744">
        <f>IF($A744="","",$K744+(5002-ROW())/10000)</f>
        <v/>
      </c>
    </row>
    <row r="745" ht="14.25" customHeight="1">
      <c r="K745">
        <f>IF($A745="","",SUM($E745:$J745))</f>
        <v/>
      </c>
      <c r="M745">
        <f>IF($A745="","",MAX(0,ROUNDUP(DASHBOARD!$F$3-$D745,0)))</f>
        <v/>
      </c>
      <c r="N745">
        <f>IF($A745="","",$K745+(5002-ROW())/10000)</f>
        <v/>
      </c>
    </row>
    <row r="746" ht="14.25" customHeight="1">
      <c r="K746">
        <f>IF($A746="","",SUM($E746:$J746))</f>
        <v/>
      </c>
      <c r="M746">
        <f>IF($A746="","",MAX(0,ROUNDUP(DASHBOARD!$F$3-$D746,0)))</f>
        <v/>
      </c>
      <c r="N746">
        <f>IF($A746="","",$K746+(5002-ROW())/10000)</f>
        <v/>
      </c>
    </row>
    <row r="747" ht="14.25" customHeight="1">
      <c r="K747">
        <f>IF($A747="","",SUM($E747:$J747))</f>
        <v/>
      </c>
      <c r="M747">
        <f>IF($A747="","",MAX(0,ROUNDUP(DASHBOARD!$F$3-$D747,0)))</f>
        <v/>
      </c>
      <c r="N747">
        <f>IF($A747="","",$K747+(5002-ROW())/10000)</f>
        <v/>
      </c>
    </row>
    <row r="748" ht="14.25" customHeight="1">
      <c r="K748">
        <f>IF($A748="","",SUM($E748:$J748))</f>
        <v/>
      </c>
      <c r="M748">
        <f>IF($A748="","",MAX(0,ROUNDUP(DASHBOARD!$F$3-$D748,0)))</f>
        <v/>
      </c>
      <c r="N748">
        <f>IF($A748="","",$K748+(5002-ROW())/10000)</f>
        <v/>
      </c>
    </row>
    <row r="749" ht="14.25" customHeight="1">
      <c r="K749">
        <f>IF($A749="","",SUM($E749:$J749))</f>
        <v/>
      </c>
      <c r="M749">
        <f>IF($A749="","",MAX(0,ROUNDUP(DASHBOARD!$F$3-$D749,0)))</f>
        <v/>
      </c>
      <c r="N749">
        <f>IF($A749="","",$K749+(5002-ROW())/10000)</f>
        <v/>
      </c>
    </row>
    <row r="750" ht="14.25" customHeight="1">
      <c r="K750">
        <f>IF($A750="","",SUM($E750:$J750))</f>
        <v/>
      </c>
      <c r="M750">
        <f>IF($A750="","",MAX(0,ROUNDUP(DASHBOARD!$F$3-$D750,0)))</f>
        <v/>
      </c>
      <c r="N750">
        <f>IF($A750="","",$K750+(5002-ROW())/10000)</f>
        <v/>
      </c>
    </row>
    <row r="751" ht="14.25" customHeight="1">
      <c r="K751">
        <f>IF($A751="","",SUM($E751:$J751))</f>
        <v/>
      </c>
      <c r="M751">
        <f>IF($A751="","",MAX(0,ROUNDUP(DASHBOARD!$F$3-$D751,0)))</f>
        <v/>
      </c>
      <c r="N751">
        <f>IF($A751="","",$K751+(5002-ROW())/10000)</f>
        <v/>
      </c>
    </row>
    <row r="752" ht="14.25" customHeight="1">
      <c r="K752">
        <f>IF($A752="","",SUM($E752:$J752))</f>
        <v/>
      </c>
      <c r="M752">
        <f>IF($A752="","",MAX(0,ROUNDUP(DASHBOARD!$F$3-$D752,0)))</f>
        <v/>
      </c>
      <c r="N752">
        <f>IF($A752="","",$K752+(5002-ROW())/10000)</f>
        <v/>
      </c>
    </row>
    <row r="753" ht="14.25" customHeight="1">
      <c r="K753">
        <f>IF($A753="","",SUM($E753:$J753))</f>
        <v/>
      </c>
      <c r="M753">
        <f>IF($A753="","",MAX(0,ROUNDUP(DASHBOARD!$F$3-$D753,0)))</f>
        <v/>
      </c>
      <c r="N753">
        <f>IF($A753="","",$K753+(5002-ROW())/10000)</f>
        <v/>
      </c>
    </row>
    <row r="754" ht="14.25" customHeight="1">
      <c r="K754">
        <f>IF($A754="","",SUM($E754:$J754))</f>
        <v/>
      </c>
      <c r="M754">
        <f>IF($A754="","",MAX(0,ROUNDUP(DASHBOARD!$F$3-$D754,0)))</f>
        <v/>
      </c>
      <c r="N754">
        <f>IF($A754="","",$K754+(5002-ROW())/10000)</f>
        <v/>
      </c>
    </row>
    <row r="755" ht="14.25" customHeight="1">
      <c r="K755">
        <f>IF($A755="","",SUM($E755:$J755))</f>
        <v/>
      </c>
      <c r="M755">
        <f>IF($A755="","",MAX(0,ROUNDUP(DASHBOARD!$F$3-$D755,0)))</f>
        <v/>
      </c>
      <c r="N755">
        <f>IF($A755="","",$K755+(5002-ROW())/10000)</f>
        <v/>
      </c>
    </row>
    <row r="756" ht="14.25" customHeight="1">
      <c r="K756">
        <f>IF($A756="","",SUM($E756:$J756))</f>
        <v/>
      </c>
      <c r="M756">
        <f>IF($A756="","",MAX(0,ROUNDUP(DASHBOARD!$F$3-$D756,0)))</f>
        <v/>
      </c>
      <c r="N756">
        <f>IF($A756="","",$K756+(5002-ROW())/10000)</f>
        <v/>
      </c>
    </row>
    <row r="757" ht="14.25" customHeight="1">
      <c r="K757">
        <f>IF($A757="","",SUM($E757:$J757))</f>
        <v/>
      </c>
      <c r="M757">
        <f>IF($A757="","",MAX(0,ROUNDUP(DASHBOARD!$F$3-$D757,0)))</f>
        <v/>
      </c>
      <c r="N757">
        <f>IF($A757="","",$K757+(5002-ROW())/10000)</f>
        <v/>
      </c>
    </row>
    <row r="758" ht="14.25" customHeight="1">
      <c r="K758">
        <f>IF($A758="","",SUM($E758:$J758))</f>
        <v/>
      </c>
      <c r="M758">
        <f>IF($A758="","",MAX(0,ROUNDUP(DASHBOARD!$F$3-$D758,0)))</f>
        <v/>
      </c>
      <c r="N758">
        <f>IF($A758="","",$K758+(5002-ROW())/10000)</f>
        <v/>
      </c>
    </row>
    <row r="759" ht="14.25" customHeight="1">
      <c r="K759">
        <f>IF($A759="","",SUM($E759:$J759))</f>
        <v/>
      </c>
      <c r="M759">
        <f>IF($A759="","",MAX(0,ROUNDUP(DASHBOARD!$F$3-$D759,0)))</f>
        <v/>
      </c>
      <c r="N759">
        <f>IF($A759="","",$K759+(5002-ROW())/10000)</f>
        <v/>
      </c>
    </row>
    <row r="760" ht="14.25" customHeight="1">
      <c r="K760">
        <f>IF($A760="","",SUM($E760:$J760))</f>
        <v/>
      </c>
      <c r="M760">
        <f>IF($A760="","",MAX(0,ROUNDUP(DASHBOARD!$F$3-$D760,0)))</f>
        <v/>
      </c>
      <c r="N760">
        <f>IF($A760="","",$K760+(5002-ROW())/10000)</f>
        <v/>
      </c>
    </row>
    <row r="761" ht="14.25" customHeight="1">
      <c r="K761">
        <f>IF($A761="","",SUM($E761:$J761))</f>
        <v/>
      </c>
      <c r="M761">
        <f>IF($A761="","",MAX(0,ROUNDUP(DASHBOARD!$F$3-$D761,0)))</f>
        <v/>
      </c>
      <c r="N761">
        <f>IF($A761="","",$K761+(5002-ROW())/10000)</f>
        <v/>
      </c>
    </row>
    <row r="762" ht="14.25" customHeight="1">
      <c r="K762">
        <f>IF($A762="","",SUM($E762:$J762))</f>
        <v/>
      </c>
      <c r="M762">
        <f>IF($A762="","",MAX(0,ROUNDUP(DASHBOARD!$F$3-$D762,0)))</f>
        <v/>
      </c>
      <c r="N762">
        <f>IF($A762="","",$K762+(5002-ROW())/10000)</f>
        <v/>
      </c>
    </row>
    <row r="763" ht="14.25" customHeight="1">
      <c r="K763">
        <f>IF($A763="","",SUM($E763:$J763))</f>
        <v/>
      </c>
      <c r="M763">
        <f>IF($A763="","",MAX(0,ROUNDUP(DASHBOARD!$F$3-$D763,0)))</f>
        <v/>
      </c>
      <c r="N763">
        <f>IF($A763="","",$K763+(5002-ROW())/10000)</f>
        <v/>
      </c>
    </row>
    <row r="764" ht="14.25" customHeight="1">
      <c r="K764">
        <f>IF($A764="","",SUM($E764:$J764))</f>
        <v/>
      </c>
      <c r="M764">
        <f>IF($A764="","",MAX(0,ROUNDUP(DASHBOARD!$F$3-$D764,0)))</f>
        <v/>
      </c>
      <c r="N764">
        <f>IF($A764="","",$K764+(5002-ROW())/10000)</f>
        <v/>
      </c>
    </row>
    <row r="765" ht="14.25" customHeight="1">
      <c r="K765">
        <f>IF($A765="","",SUM($E765:$J765))</f>
        <v/>
      </c>
      <c r="M765">
        <f>IF($A765="","",MAX(0,ROUNDUP(DASHBOARD!$F$3-$D765,0)))</f>
        <v/>
      </c>
      <c r="N765">
        <f>IF($A765="","",$K765+(5002-ROW())/10000)</f>
        <v/>
      </c>
    </row>
    <row r="766" ht="14.25" customHeight="1">
      <c r="K766">
        <f>IF($A766="","",SUM($E766:$J766))</f>
        <v/>
      </c>
      <c r="M766">
        <f>IF($A766="","",MAX(0,ROUNDUP(DASHBOARD!$F$3-$D766,0)))</f>
        <v/>
      </c>
      <c r="N766">
        <f>IF($A766="","",$K766+(5002-ROW())/10000)</f>
        <v/>
      </c>
    </row>
    <row r="767" ht="14.25" customHeight="1">
      <c r="K767">
        <f>IF($A767="","",SUM($E767:$J767))</f>
        <v/>
      </c>
      <c r="M767">
        <f>IF($A767="","",MAX(0,ROUNDUP(DASHBOARD!$F$3-$D767,0)))</f>
        <v/>
      </c>
      <c r="N767">
        <f>IF($A767="","",$K767+(5002-ROW())/10000)</f>
        <v/>
      </c>
    </row>
    <row r="768" ht="14.25" customHeight="1">
      <c r="K768">
        <f>IF($A768="","",SUM($E768:$J768))</f>
        <v/>
      </c>
      <c r="M768">
        <f>IF($A768="","",MAX(0,ROUNDUP(DASHBOARD!$F$3-$D768,0)))</f>
        <v/>
      </c>
      <c r="N768">
        <f>IF($A768="","",$K768+(5002-ROW())/10000)</f>
        <v/>
      </c>
    </row>
    <row r="769" ht="14.25" customHeight="1">
      <c r="K769">
        <f>IF($A769="","",SUM($E769:$J769))</f>
        <v/>
      </c>
      <c r="M769">
        <f>IF($A769="","",MAX(0,ROUNDUP(DASHBOARD!$F$3-$D769,0)))</f>
        <v/>
      </c>
      <c r="N769">
        <f>IF($A769="","",$K769+(5002-ROW())/10000)</f>
        <v/>
      </c>
    </row>
    <row r="770" ht="14.25" customHeight="1">
      <c r="K770">
        <f>IF($A770="","",SUM($E770:$J770))</f>
        <v/>
      </c>
      <c r="M770">
        <f>IF($A770="","",MAX(0,ROUNDUP(DASHBOARD!$F$3-$D770,0)))</f>
        <v/>
      </c>
      <c r="N770">
        <f>IF($A770="","",$K770+(5002-ROW())/10000)</f>
        <v/>
      </c>
    </row>
    <row r="771" ht="14.25" customHeight="1">
      <c r="K771">
        <f>IF($A771="","",SUM($E771:$J771))</f>
        <v/>
      </c>
      <c r="M771">
        <f>IF($A771="","",MAX(0,ROUNDUP(DASHBOARD!$F$3-$D771,0)))</f>
        <v/>
      </c>
      <c r="N771">
        <f>IF($A771="","",$K771+(5002-ROW())/10000)</f>
        <v/>
      </c>
    </row>
    <row r="772" ht="14.25" customHeight="1">
      <c r="K772">
        <f>IF($A772="","",SUM($E772:$J772))</f>
        <v/>
      </c>
      <c r="M772">
        <f>IF($A772="","",MAX(0,ROUNDUP(DASHBOARD!$F$3-$D772,0)))</f>
        <v/>
      </c>
      <c r="N772">
        <f>IF($A772="","",$K772+(5002-ROW())/10000)</f>
        <v/>
      </c>
    </row>
    <row r="773" ht="14.25" customHeight="1">
      <c r="K773">
        <f>IF($A773="","",SUM($E773:$J773))</f>
        <v/>
      </c>
      <c r="M773">
        <f>IF($A773="","",MAX(0,ROUNDUP(DASHBOARD!$F$3-$D773,0)))</f>
        <v/>
      </c>
      <c r="N773">
        <f>IF($A773="","",$K773+(5002-ROW())/10000)</f>
        <v/>
      </c>
    </row>
    <row r="774" ht="14.25" customHeight="1">
      <c r="K774">
        <f>IF($A774="","",SUM($E774:$J774))</f>
        <v/>
      </c>
      <c r="M774">
        <f>IF($A774="","",MAX(0,ROUNDUP(DASHBOARD!$F$3-$D774,0)))</f>
        <v/>
      </c>
      <c r="N774">
        <f>IF($A774="","",$K774+(5002-ROW())/10000)</f>
        <v/>
      </c>
    </row>
    <row r="775" ht="14.25" customHeight="1">
      <c r="K775">
        <f>IF($A775="","",SUM($E775:$J775))</f>
        <v/>
      </c>
      <c r="M775">
        <f>IF($A775="","",MAX(0,ROUNDUP(DASHBOARD!$F$3-$D775,0)))</f>
        <v/>
      </c>
      <c r="N775">
        <f>IF($A775="","",$K775+(5002-ROW())/10000)</f>
        <v/>
      </c>
    </row>
    <row r="776" ht="14.25" customHeight="1">
      <c r="K776">
        <f>IF($A776="","",SUM($E776:$J776))</f>
        <v/>
      </c>
      <c r="M776">
        <f>IF($A776="","",MAX(0,ROUNDUP(DASHBOARD!$F$3-$D776,0)))</f>
        <v/>
      </c>
      <c r="N776">
        <f>IF($A776="","",$K776+(5002-ROW())/10000)</f>
        <v/>
      </c>
    </row>
    <row r="777" ht="14.25" customHeight="1">
      <c r="K777">
        <f>IF($A777="","",SUM($E777:$J777))</f>
        <v/>
      </c>
      <c r="M777">
        <f>IF($A777="","",MAX(0,ROUNDUP(DASHBOARD!$F$3-$D777,0)))</f>
        <v/>
      </c>
      <c r="N777">
        <f>IF($A777="","",$K777+(5002-ROW())/10000)</f>
        <v/>
      </c>
    </row>
    <row r="778" ht="14.25" customHeight="1">
      <c r="K778">
        <f>IF($A778="","",SUM($E778:$J778))</f>
        <v/>
      </c>
      <c r="M778">
        <f>IF($A778="","",MAX(0,ROUNDUP(DASHBOARD!$F$3-$D778,0)))</f>
        <v/>
      </c>
      <c r="N778">
        <f>IF($A778="","",$K778+(5002-ROW())/10000)</f>
        <v/>
      </c>
    </row>
    <row r="779" ht="14.25" customHeight="1">
      <c r="K779">
        <f>IF($A779="","",SUM($E779:$J779))</f>
        <v/>
      </c>
      <c r="M779">
        <f>IF($A779="","",MAX(0,ROUNDUP(DASHBOARD!$F$3-$D779,0)))</f>
        <v/>
      </c>
      <c r="N779">
        <f>IF($A779="","",$K779+(5002-ROW())/10000)</f>
        <v/>
      </c>
    </row>
    <row r="780" ht="14.25" customHeight="1">
      <c r="K780">
        <f>IF($A780="","",SUM($E780:$J780))</f>
        <v/>
      </c>
      <c r="M780">
        <f>IF($A780="","",MAX(0,ROUNDUP(DASHBOARD!$F$3-$D780,0)))</f>
        <v/>
      </c>
      <c r="N780">
        <f>IF($A780="","",$K780+(5002-ROW())/10000)</f>
        <v/>
      </c>
    </row>
    <row r="781" ht="14.25" customHeight="1">
      <c r="K781">
        <f>IF($A781="","",SUM($E781:$J781))</f>
        <v/>
      </c>
      <c r="M781">
        <f>IF($A781="","",MAX(0,ROUNDUP(DASHBOARD!$F$3-$D781,0)))</f>
        <v/>
      </c>
      <c r="N781">
        <f>IF($A781="","",$K781+(5002-ROW())/10000)</f>
        <v/>
      </c>
    </row>
    <row r="782" ht="14.25" customHeight="1">
      <c r="K782">
        <f>IF($A782="","",SUM($E782:$J782))</f>
        <v/>
      </c>
      <c r="M782">
        <f>IF($A782="","",MAX(0,ROUNDUP(DASHBOARD!$F$3-$D782,0)))</f>
        <v/>
      </c>
      <c r="N782">
        <f>IF($A782="","",$K782+(5002-ROW())/10000)</f>
        <v/>
      </c>
    </row>
    <row r="783" ht="14.25" customHeight="1">
      <c r="K783">
        <f>IF($A783="","",SUM($E783:$J783))</f>
        <v/>
      </c>
      <c r="M783">
        <f>IF($A783="","",MAX(0,ROUNDUP(DASHBOARD!$F$3-$D783,0)))</f>
        <v/>
      </c>
      <c r="N783">
        <f>IF($A783="","",$K783+(5002-ROW())/10000)</f>
        <v/>
      </c>
    </row>
    <row r="784" ht="14.25" customHeight="1">
      <c r="K784">
        <f>IF($A784="","",SUM($E784:$J784))</f>
        <v/>
      </c>
      <c r="M784">
        <f>IF($A784="","",MAX(0,ROUNDUP(DASHBOARD!$F$3-$D784,0)))</f>
        <v/>
      </c>
      <c r="N784">
        <f>IF($A784="","",$K784+(5002-ROW())/10000)</f>
        <v/>
      </c>
    </row>
    <row r="785" ht="14.25" customHeight="1">
      <c r="K785">
        <f>IF($A785="","",SUM($E785:$J785))</f>
        <v/>
      </c>
      <c r="M785">
        <f>IF($A785="","",MAX(0,ROUNDUP(DASHBOARD!$F$3-$D785,0)))</f>
        <v/>
      </c>
      <c r="N785">
        <f>IF($A785="","",$K785+(5002-ROW())/10000)</f>
        <v/>
      </c>
    </row>
    <row r="786" ht="14.25" customHeight="1">
      <c r="K786">
        <f>IF($A786="","",SUM($E786:$J786))</f>
        <v/>
      </c>
      <c r="M786">
        <f>IF($A786="","",MAX(0,ROUNDUP(DASHBOARD!$F$3-$D786,0)))</f>
        <v/>
      </c>
      <c r="N786">
        <f>IF($A786="","",$K786+(5002-ROW())/10000)</f>
        <v/>
      </c>
    </row>
    <row r="787" ht="14.25" customHeight="1">
      <c r="K787">
        <f>IF($A787="","",SUM($E787:$J787))</f>
        <v/>
      </c>
      <c r="M787">
        <f>IF($A787="","",MAX(0,ROUNDUP(DASHBOARD!$F$3-$D787,0)))</f>
        <v/>
      </c>
      <c r="N787">
        <f>IF($A787="","",$K787+(5002-ROW())/10000)</f>
        <v/>
      </c>
    </row>
    <row r="788" ht="14.25" customHeight="1">
      <c r="K788">
        <f>IF($A788="","",SUM($E788:$J788))</f>
        <v/>
      </c>
      <c r="M788">
        <f>IF($A788="","",MAX(0,ROUNDUP(DASHBOARD!$F$3-$D788,0)))</f>
        <v/>
      </c>
      <c r="N788">
        <f>IF($A788="","",$K788+(5002-ROW())/10000)</f>
        <v/>
      </c>
    </row>
    <row r="789" ht="14.25" customHeight="1">
      <c r="K789">
        <f>IF($A789="","",SUM($E789:$J789))</f>
        <v/>
      </c>
      <c r="M789">
        <f>IF($A789="","",MAX(0,ROUNDUP(DASHBOARD!$F$3-$D789,0)))</f>
        <v/>
      </c>
      <c r="N789">
        <f>IF($A789="","",$K789+(5002-ROW())/10000)</f>
        <v/>
      </c>
    </row>
    <row r="790" ht="14.25" customHeight="1">
      <c r="K790">
        <f>IF($A790="","",SUM($E790:$J790))</f>
        <v/>
      </c>
      <c r="M790">
        <f>IF($A790="","",MAX(0,ROUNDUP(DASHBOARD!$F$3-$D790,0)))</f>
        <v/>
      </c>
      <c r="N790">
        <f>IF($A790="","",$K790+(5002-ROW())/10000)</f>
        <v/>
      </c>
    </row>
    <row r="791" ht="14.25" customHeight="1">
      <c r="K791">
        <f>IF($A791="","",SUM($E791:$J791))</f>
        <v/>
      </c>
      <c r="M791">
        <f>IF($A791="","",MAX(0,ROUNDUP(DASHBOARD!$F$3-$D791,0)))</f>
        <v/>
      </c>
      <c r="N791">
        <f>IF($A791="","",$K791+(5002-ROW())/10000)</f>
        <v/>
      </c>
    </row>
    <row r="792" ht="14.25" customHeight="1">
      <c r="K792">
        <f>IF($A792="","",SUM($E792:$J792))</f>
        <v/>
      </c>
      <c r="M792">
        <f>IF($A792="","",MAX(0,ROUNDUP(DASHBOARD!$F$3-$D792,0)))</f>
        <v/>
      </c>
      <c r="N792">
        <f>IF($A792="","",$K792+(5002-ROW())/10000)</f>
        <v/>
      </c>
    </row>
    <row r="793" ht="14.25" customHeight="1">
      <c r="K793">
        <f>IF($A793="","",SUM($E793:$J793))</f>
        <v/>
      </c>
      <c r="M793">
        <f>IF($A793="","",MAX(0,ROUNDUP(DASHBOARD!$F$3-$D793,0)))</f>
        <v/>
      </c>
      <c r="N793">
        <f>IF($A793="","",$K793+(5002-ROW())/10000)</f>
        <v/>
      </c>
    </row>
    <row r="794" ht="14.25" customHeight="1">
      <c r="K794">
        <f>IF($A794="","",SUM($E794:$J794))</f>
        <v/>
      </c>
      <c r="M794">
        <f>IF($A794="","",MAX(0,ROUNDUP(DASHBOARD!$F$3-$D794,0)))</f>
        <v/>
      </c>
      <c r="N794">
        <f>IF($A794="","",$K794+(5002-ROW())/10000)</f>
        <v/>
      </c>
    </row>
    <row r="795" ht="14.25" customHeight="1">
      <c r="K795">
        <f>IF($A795="","",SUM($E795:$J795))</f>
        <v/>
      </c>
      <c r="M795">
        <f>IF($A795="","",MAX(0,ROUNDUP(DASHBOARD!$F$3-$D795,0)))</f>
        <v/>
      </c>
      <c r="N795">
        <f>IF($A795="","",$K795+(5002-ROW())/10000)</f>
        <v/>
      </c>
    </row>
    <row r="796" ht="14.25" customHeight="1">
      <c r="K796">
        <f>IF($A796="","",SUM($E796:$J796))</f>
        <v/>
      </c>
      <c r="M796">
        <f>IF($A796="","",MAX(0,ROUNDUP(DASHBOARD!$F$3-$D796,0)))</f>
        <v/>
      </c>
      <c r="N796">
        <f>IF($A796="","",$K796+(5002-ROW())/10000)</f>
        <v/>
      </c>
    </row>
    <row r="797" ht="14.25" customHeight="1">
      <c r="K797">
        <f>IF($A797="","",SUM($E797:$J797))</f>
        <v/>
      </c>
      <c r="M797">
        <f>IF($A797="","",MAX(0,ROUNDUP(DASHBOARD!$F$3-$D797,0)))</f>
        <v/>
      </c>
      <c r="N797">
        <f>IF($A797="","",$K797+(5002-ROW())/10000)</f>
        <v/>
      </c>
    </row>
    <row r="798" ht="14.25" customHeight="1">
      <c r="K798">
        <f>IF($A798="","",SUM($E798:$J798))</f>
        <v/>
      </c>
      <c r="M798">
        <f>IF($A798="","",MAX(0,ROUNDUP(DASHBOARD!$F$3-$D798,0)))</f>
        <v/>
      </c>
      <c r="N798">
        <f>IF($A798="","",$K798+(5002-ROW())/10000)</f>
        <v/>
      </c>
    </row>
    <row r="799" ht="14.25" customHeight="1">
      <c r="K799">
        <f>IF($A799="","",SUM($E799:$J799))</f>
        <v/>
      </c>
      <c r="M799">
        <f>IF($A799="","",MAX(0,ROUNDUP(DASHBOARD!$F$3-$D799,0)))</f>
        <v/>
      </c>
      <c r="N799">
        <f>IF($A799="","",$K799+(5002-ROW())/10000)</f>
        <v/>
      </c>
    </row>
    <row r="800" ht="14.25" customHeight="1">
      <c r="K800">
        <f>IF($A800="","",SUM($E800:$J800))</f>
        <v/>
      </c>
      <c r="M800">
        <f>IF($A800="","",MAX(0,ROUNDUP(DASHBOARD!$F$3-$D800,0)))</f>
        <v/>
      </c>
      <c r="N800">
        <f>IF($A800="","",$K800+(5002-ROW())/10000)</f>
        <v/>
      </c>
    </row>
    <row r="801" ht="14.25" customHeight="1">
      <c r="K801">
        <f>IF($A801="","",SUM($E801:$J801))</f>
        <v/>
      </c>
      <c r="M801">
        <f>IF($A801="","",MAX(0,ROUNDUP(DASHBOARD!$F$3-$D801,0)))</f>
        <v/>
      </c>
      <c r="N801">
        <f>IF($A801="","",$K801+(5002-ROW())/10000)</f>
        <v/>
      </c>
    </row>
    <row r="802" ht="14.25" customHeight="1">
      <c r="K802">
        <f>IF($A802="","",SUM($E802:$J802))</f>
        <v/>
      </c>
      <c r="M802">
        <f>IF($A802="","",MAX(0,ROUNDUP(DASHBOARD!$F$3-$D802,0)))</f>
        <v/>
      </c>
      <c r="N802">
        <f>IF($A802="","",$K802+(5002-ROW())/10000)</f>
        <v/>
      </c>
    </row>
    <row r="803" ht="14.25" customHeight="1">
      <c r="K803">
        <f>IF($A803="","",SUM($E803:$J803))</f>
        <v/>
      </c>
      <c r="M803">
        <f>IF($A803="","",MAX(0,ROUNDUP(DASHBOARD!$F$3-$D803,0)))</f>
        <v/>
      </c>
      <c r="N803">
        <f>IF($A803="","",$K803+(5002-ROW())/10000)</f>
        <v/>
      </c>
    </row>
    <row r="804" ht="14.25" customHeight="1">
      <c r="K804">
        <f>IF($A804="","",SUM($E804:$J804))</f>
        <v/>
      </c>
      <c r="M804">
        <f>IF($A804="","",MAX(0,ROUNDUP(DASHBOARD!$F$3-$D804,0)))</f>
        <v/>
      </c>
      <c r="N804">
        <f>IF($A804="","",$K804+(5002-ROW())/10000)</f>
        <v/>
      </c>
    </row>
    <row r="805" ht="14.25" customHeight="1">
      <c r="K805">
        <f>IF($A805="","",SUM($E805:$J805))</f>
        <v/>
      </c>
      <c r="M805">
        <f>IF($A805="","",MAX(0,ROUNDUP(DASHBOARD!$F$3-$D805,0)))</f>
        <v/>
      </c>
      <c r="N805">
        <f>IF($A805="","",$K805+(5002-ROW())/10000)</f>
        <v/>
      </c>
    </row>
    <row r="806" ht="14.25" customHeight="1">
      <c r="K806">
        <f>IF($A806="","",SUM($E806:$J806))</f>
        <v/>
      </c>
      <c r="M806">
        <f>IF($A806="","",MAX(0,ROUNDUP(DASHBOARD!$F$3-$D806,0)))</f>
        <v/>
      </c>
      <c r="N806">
        <f>IF($A806="","",$K806+(5002-ROW())/10000)</f>
        <v/>
      </c>
    </row>
    <row r="807" ht="14.25" customHeight="1">
      <c r="K807">
        <f>IF($A807="","",SUM($E807:$J807))</f>
        <v/>
      </c>
      <c r="M807">
        <f>IF($A807="","",MAX(0,ROUNDUP(DASHBOARD!$F$3-$D807,0)))</f>
        <v/>
      </c>
      <c r="N807">
        <f>IF($A807="","",$K807+(5002-ROW())/10000)</f>
        <v/>
      </c>
    </row>
    <row r="808" ht="14.25" customHeight="1">
      <c r="K808">
        <f>IF($A808="","",SUM($E808:$J808))</f>
        <v/>
      </c>
      <c r="M808">
        <f>IF($A808="","",MAX(0,ROUNDUP(DASHBOARD!$F$3-$D808,0)))</f>
        <v/>
      </c>
      <c r="N808">
        <f>IF($A808="","",$K808+(5002-ROW())/10000)</f>
        <v/>
      </c>
    </row>
    <row r="809" ht="14.25" customHeight="1">
      <c r="K809">
        <f>IF($A809="","",SUM($E809:$J809))</f>
        <v/>
      </c>
      <c r="M809">
        <f>IF($A809="","",MAX(0,ROUNDUP(DASHBOARD!$F$3-$D809,0)))</f>
        <v/>
      </c>
      <c r="N809">
        <f>IF($A809="","",$K809+(5002-ROW())/10000)</f>
        <v/>
      </c>
    </row>
    <row r="810" ht="14.25" customHeight="1">
      <c r="K810">
        <f>IF($A810="","",SUM($E810:$J810))</f>
        <v/>
      </c>
      <c r="M810">
        <f>IF($A810="","",MAX(0,ROUNDUP(DASHBOARD!$F$3-$D810,0)))</f>
        <v/>
      </c>
      <c r="N810">
        <f>IF($A810="","",$K810+(5002-ROW())/10000)</f>
        <v/>
      </c>
    </row>
    <row r="811" ht="14.25" customHeight="1">
      <c r="K811">
        <f>IF($A811="","",SUM($E811:$J811))</f>
        <v/>
      </c>
      <c r="M811">
        <f>IF($A811="","",MAX(0,ROUNDUP(DASHBOARD!$F$3-$D811,0)))</f>
        <v/>
      </c>
      <c r="N811">
        <f>IF($A811="","",$K811+(5002-ROW())/10000)</f>
        <v/>
      </c>
    </row>
    <row r="812" ht="14.25" customHeight="1">
      <c r="K812">
        <f>IF($A812="","",SUM($E812:$J812))</f>
        <v/>
      </c>
      <c r="M812">
        <f>IF($A812="","",MAX(0,ROUNDUP(DASHBOARD!$F$3-$D812,0)))</f>
        <v/>
      </c>
      <c r="N812">
        <f>IF($A812="","",$K812+(5002-ROW())/10000)</f>
        <v/>
      </c>
    </row>
    <row r="813" ht="14.25" customHeight="1">
      <c r="K813">
        <f>IF($A813="","",SUM($E813:$J813))</f>
        <v/>
      </c>
      <c r="M813">
        <f>IF($A813="","",MAX(0,ROUNDUP(DASHBOARD!$F$3-$D813,0)))</f>
        <v/>
      </c>
      <c r="N813">
        <f>IF($A813="","",$K813+(5002-ROW())/10000)</f>
        <v/>
      </c>
    </row>
    <row r="814" ht="14.25" customHeight="1">
      <c r="K814">
        <f>IF($A814="","",SUM($E814:$J814))</f>
        <v/>
      </c>
      <c r="M814">
        <f>IF($A814="","",MAX(0,ROUNDUP(DASHBOARD!$F$3-$D814,0)))</f>
        <v/>
      </c>
      <c r="N814">
        <f>IF($A814="","",$K814+(5002-ROW())/10000)</f>
        <v/>
      </c>
    </row>
    <row r="815" ht="14.25" customHeight="1">
      <c r="K815">
        <f>IF($A815="","",SUM($E815:$J815))</f>
        <v/>
      </c>
      <c r="M815">
        <f>IF($A815="","",MAX(0,ROUNDUP(DASHBOARD!$F$3-$D815,0)))</f>
        <v/>
      </c>
      <c r="N815">
        <f>IF($A815="","",$K815+(5002-ROW())/10000)</f>
        <v/>
      </c>
    </row>
    <row r="816" ht="14.25" customHeight="1">
      <c r="K816">
        <f>IF($A816="","",SUM($E816:$J816))</f>
        <v/>
      </c>
      <c r="M816">
        <f>IF($A816="","",MAX(0,ROUNDUP(DASHBOARD!$F$3-$D816,0)))</f>
        <v/>
      </c>
      <c r="N816">
        <f>IF($A816="","",$K816+(5002-ROW())/10000)</f>
        <v/>
      </c>
    </row>
    <row r="817" ht="14.25" customHeight="1">
      <c r="K817">
        <f>IF($A817="","",SUM($E817:$J817))</f>
        <v/>
      </c>
      <c r="M817">
        <f>IF($A817="","",MAX(0,ROUNDUP(DASHBOARD!$F$3-$D817,0)))</f>
        <v/>
      </c>
      <c r="N817">
        <f>IF($A817="","",$K817+(5002-ROW())/10000)</f>
        <v/>
      </c>
    </row>
    <row r="818" ht="14.25" customHeight="1">
      <c r="K818">
        <f>IF($A818="","",SUM($E818:$J818))</f>
        <v/>
      </c>
      <c r="M818">
        <f>IF($A818="","",MAX(0,ROUNDUP(DASHBOARD!$F$3-$D818,0)))</f>
        <v/>
      </c>
      <c r="N818">
        <f>IF($A818="","",$K818+(5002-ROW())/10000)</f>
        <v/>
      </c>
    </row>
    <row r="819" ht="14.25" customHeight="1">
      <c r="K819">
        <f>IF($A819="","",SUM($E819:$J819))</f>
        <v/>
      </c>
      <c r="M819">
        <f>IF($A819="","",MAX(0,ROUNDUP(DASHBOARD!$F$3-$D819,0)))</f>
        <v/>
      </c>
      <c r="N819">
        <f>IF($A819="","",$K819+(5002-ROW())/10000)</f>
        <v/>
      </c>
    </row>
    <row r="820" ht="14.25" customHeight="1">
      <c r="K820">
        <f>IF($A820="","",SUM($E820:$J820))</f>
        <v/>
      </c>
      <c r="M820">
        <f>IF($A820="","",MAX(0,ROUNDUP(DASHBOARD!$F$3-$D820,0)))</f>
        <v/>
      </c>
      <c r="N820">
        <f>IF($A820="","",$K820+(5002-ROW())/10000)</f>
        <v/>
      </c>
    </row>
    <row r="821" ht="14.25" customHeight="1">
      <c r="K821">
        <f>IF($A821="","",SUM($E821:$J821))</f>
        <v/>
      </c>
      <c r="M821">
        <f>IF($A821="","",MAX(0,ROUNDUP(DASHBOARD!$F$3-$D821,0)))</f>
        <v/>
      </c>
      <c r="N821">
        <f>IF($A821="","",$K821+(5002-ROW())/10000)</f>
        <v/>
      </c>
    </row>
    <row r="822" ht="14.25" customHeight="1">
      <c r="K822">
        <f>IF($A822="","",SUM($E822:$J822))</f>
        <v/>
      </c>
      <c r="M822">
        <f>IF($A822="","",MAX(0,ROUNDUP(DASHBOARD!$F$3-$D822,0)))</f>
        <v/>
      </c>
      <c r="N822">
        <f>IF($A822="","",$K822+(5002-ROW())/10000)</f>
        <v/>
      </c>
    </row>
    <row r="823" ht="14.25" customHeight="1">
      <c r="K823">
        <f>IF($A823="","",SUM($E823:$J823))</f>
        <v/>
      </c>
      <c r="M823">
        <f>IF($A823="","",MAX(0,ROUNDUP(DASHBOARD!$F$3-$D823,0)))</f>
        <v/>
      </c>
      <c r="N823">
        <f>IF($A823="","",$K823+(5002-ROW())/10000)</f>
        <v/>
      </c>
    </row>
    <row r="824" ht="14.25" customHeight="1">
      <c r="K824">
        <f>IF($A824="","",SUM($E824:$J824))</f>
        <v/>
      </c>
      <c r="M824">
        <f>IF($A824="","",MAX(0,ROUNDUP(DASHBOARD!$F$3-$D824,0)))</f>
        <v/>
      </c>
      <c r="N824">
        <f>IF($A824="","",$K824+(5002-ROW())/10000)</f>
        <v/>
      </c>
    </row>
    <row r="825" ht="14.25" customHeight="1">
      <c r="K825">
        <f>IF($A825="","",SUM($E825:$J825))</f>
        <v/>
      </c>
      <c r="M825">
        <f>IF($A825="","",MAX(0,ROUNDUP(DASHBOARD!$F$3-$D825,0)))</f>
        <v/>
      </c>
      <c r="N825">
        <f>IF($A825="","",$K825+(5002-ROW())/10000)</f>
        <v/>
      </c>
    </row>
    <row r="826" ht="14.25" customHeight="1">
      <c r="K826">
        <f>IF($A826="","",SUM($E826:$J826))</f>
        <v/>
      </c>
      <c r="M826">
        <f>IF($A826="","",MAX(0,ROUNDUP(DASHBOARD!$F$3-$D826,0)))</f>
        <v/>
      </c>
      <c r="N826">
        <f>IF($A826="","",$K826+(5002-ROW())/10000)</f>
        <v/>
      </c>
    </row>
    <row r="827" ht="14.25" customHeight="1">
      <c r="K827">
        <f>IF($A827="","",SUM($E827:$J827))</f>
        <v/>
      </c>
      <c r="M827">
        <f>IF($A827="","",MAX(0,ROUNDUP(DASHBOARD!$F$3-$D827,0)))</f>
        <v/>
      </c>
      <c r="N827">
        <f>IF($A827="","",$K827+(5002-ROW())/10000)</f>
        <v/>
      </c>
    </row>
    <row r="828" ht="14.25" customHeight="1">
      <c r="K828">
        <f>IF($A828="","",SUM($E828:$J828))</f>
        <v/>
      </c>
      <c r="M828">
        <f>IF($A828="","",MAX(0,ROUNDUP(DASHBOARD!$F$3-$D828,0)))</f>
        <v/>
      </c>
      <c r="N828">
        <f>IF($A828="","",$K828+(5002-ROW())/10000)</f>
        <v/>
      </c>
    </row>
    <row r="829" ht="14.25" customHeight="1">
      <c r="K829">
        <f>IF($A829="","",SUM($E829:$J829))</f>
        <v/>
      </c>
      <c r="M829">
        <f>IF($A829="","",MAX(0,ROUNDUP(DASHBOARD!$F$3-$D829,0)))</f>
        <v/>
      </c>
      <c r="N829">
        <f>IF($A829="","",$K829+(5002-ROW())/10000)</f>
        <v/>
      </c>
    </row>
    <row r="830" ht="14.25" customHeight="1">
      <c r="K830">
        <f>IF($A830="","",SUM($E830:$J830))</f>
        <v/>
      </c>
      <c r="M830">
        <f>IF($A830="","",MAX(0,ROUNDUP(DASHBOARD!$F$3-$D830,0)))</f>
        <v/>
      </c>
      <c r="N830">
        <f>IF($A830="","",$K830+(5002-ROW())/10000)</f>
        <v/>
      </c>
    </row>
    <row r="831" ht="14.25" customHeight="1">
      <c r="K831">
        <f>IF($A831="","",SUM($E831:$J831))</f>
        <v/>
      </c>
      <c r="M831">
        <f>IF($A831="","",MAX(0,ROUNDUP(DASHBOARD!$F$3-$D831,0)))</f>
        <v/>
      </c>
      <c r="N831">
        <f>IF($A831="","",$K831+(5002-ROW())/10000)</f>
        <v/>
      </c>
    </row>
    <row r="832" ht="14.25" customHeight="1">
      <c r="K832">
        <f>IF($A832="","",SUM($E832:$J832))</f>
        <v/>
      </c>
      <c r="M832">
        <f>IF($A832="","",MAX(0,ROUNDUP(DASHBOARD!$F$3-$D832,0)))</f>
        <v/>
      </c>
      <c r="N832">
        <f>IF($A832="","",$K832+(5002-ROW())/10000)</f>
        <v/>
      </c>
    </row>
    <row r="833" ht="14.25" customHeight="1">
      <c r="K833">
        <f>IF($A833="","",SUM($E833:$J833))</f>
        <v/>
      </c>
      <c r="M833">
        <f>IF($A833="","",MAX(0,ROUNDUP(DASHBOARD!$F$3-$D833,0)))</f>
        <v/>
      </c>
      <c r="N833">
        <f>IF($A833="","",$K833+(5002-ROW())/10000)</f>
        <v/>
      </c>
    </row>
    <row r="834" ht="14.25" customHeight="1">
      <c r="K834">
        <f>IF($A834="","",SUM($E834:$J834))</f>
        <v/>
      </c>
      <c r="M834">
        <f>IF($A834="","",MAX(0,ROUNDUP(DASHBOARD!$F$3-$D834,0)))</f>
        <v/>
      </c>
      <c r="N834">
        <f>IF($A834="","",$K834+(5002-ROW())/10000)</f>
        <v/>
      </c>
    </row>
    <row r="835" ht="14.25" customHeight="1">
      <c r="K835">
        <f>IF($A835="","",SUM($E835:$J835))</f>
        <v/>
      </c>
      <c r="M835">
        <f>IF($A835="","",MAX(0,ROUNDUP(DASHBOARD!$F$3-$D835,0)))</f>
        <v/>
      </c>
      <c r="N835">
        <f>IF($A835="","",$K835+(5002-ROW())/10000)</f>
        <v/>
      </c>
    </row>
    <row r="836" ht="14.25" customHeight="1">
      <c r="K836">
        <f>IF($A836="","",SUM($E836:$J836))</f>
        <v/>
      </c>
      <c r="M836">
        <f>IF($A836="","",MAX(0,ROUNDUP(DASHBOARD!$F$3-$D836,0)))</f>
        <v/>
      </c>
      <c r="N836">
        <f>IF($A836="","",$K836+(5002-ROW())/10000)</f>
        <v/>
      </c>
    </row>
    <row r="837" ht="14.25" customHeight="1">
      <c r="K837">
        <f>IF($A837="","",SUM($E837:$J837))</f>
        <v/>
      </c>
      <c r="M837">
        <f>IF($A837="","",MAX(0,ROUNDUP(DASHBOARD!$F$3-$D837,0)))</f>
        <v/>
      </c>
      <c r="N837">
        <f>IF($A837="","",$K837+(5002-ROW())/10000)</f>
        <v/>
      </c>
    </row>
    <row r="838" ht="14.25" customHeight="1">
      <c r="K838">
        <f>IF($A838="","",SUM($E838:$J838))</f>
        <v/>
      </c>
      <c r="M838">
        <f>IF($A838="","",MAX(0,ROUNDUP(DASHBOARD!$F$3-$D838,0)))</f>
        <v/>
      </c>
      <c r="N838">
        <f>IF($A838="","",$K838+(5002-ROW())/10000)</f>
        <v/>
      </c>
    </row>
    <row r="839" ht="14.25" customHeight="1">
      <c r="K839">
        <f>IF($A839="","",SUM($E839:$J839))</f>
        <v/>
      </c>
      <c r="M839">
        <f>IF($A839="","",MAX(0,ROUNDUP(DASHBOARD!$F$3-$D839,0)))</f>
        <v/>
      </c>
      <c r="N839">
        <f>IF($A839="","",$K839+(5002-ROW())/10000)</f>
        <v/>
      </c>
    </row>
    <row r="840" ht="14.25" customHeight="1">
      <c r="K840">
        <f>IF($A840="","",SUM($E840:$J840))</f>
        <v/>
      </c>
      <c r="M840">
        <f>IF($A840="","",MAX(0,ROUNDUP(DASHBOARD!$F$3-$D840,0)))</f>
        <v/>
      </c>
      <c r="N840">
        <f>IF($A840="","",$K840+(5002-ROW())/10000)</f>
        <v/>
      </c>
    </row>
    <row r="841" ht="14.25" customHeight="1">
      <c r="K841">
        <f>IF($A841="","",SUM($E841:$J841))</f>
        <v/>
      </c>
      <c r="M841">
        <f>IF($A841="","",MAX(0,ROUNDUP(DASHBOARD!$F$3-$D841,0)))</f>
        <v/>
      </c>
      <c r="N841">
        <f>IF($A841="","",$K841+(5002-ROW())/10000)</f>
        <v/>
      </c>
    </row>
    <row r="842" ht="14.25" customHeight="1">
      <c r="K842">
        <f>IF($A842="","",SUM($E842:$J842))</f>
        <v/>
      </c>
      <c r="M842">
        <f>IF($A842="","",MAX(0,ROUNDUP(DASHBOARD!$F$3-$D842,0)))</f>
        <v/>
      </c>
      <c r="N842">
        <f>IF($A842="","",$K842+(5002-ROW())/10000)</f>
        <v/>
      </c>
    </row>
    <row r="843" ht="14.25" customHeight="1">
      <c r="K843">
        <f>IF($A843="","",SUM($E843:$J843))</f>
        <v/>
      </c>
      <c r="M843">
        <f>IF($A843="","",MAX(0,ROUNDUP(DASHBOARD!$F$3-$D843,0)))</f>
        <v/>
      </c>
      <c r="N843">
        <f>IF($A843="","",$K843+(5002-ROW())/10000)</f>
        <v/>
      </c>
    </row>
    <row r="844" ht="14.25" customHeight="1">
      <c r="K844">
        <f>IF($A844="","",SUM($E844:$J844))</f>
        <v/>
      </c>
      <c r="M844">
        <f>IF($A844="","",MAX(0,ROUNDUP(DASHBOARD!$F$3-$D844,0)))</f>
        <v/>
      </c>
      <c r="N844">
        <f>IF($A844="","",$K844+(5002-ROW())/10000)</f>
        <v/>
      </c>
    </row>
    <row r="845" ht="14.25" customHeight="1">
      <c r="K845">
        <f>IF($A845="","",SUM($E845:$J845))</f>
        <v/>
      </c>
      <c r="M845">
        <f>IF($A845="","",MAX(0,ROUNDUP(DASHBOARD!$F$3-$D845,0)))</f>
        <v/>
      </c>
      <c r="N845">
        <f>IF($A845="","",$K845+(5002-ROW())/10000)</f>
        <v/>
      </c>
    </row>
    <row r="846" ht="14.25" customHeight="1">
      <c r="K846">
        <f>IF($A846="","",SUM($E846:$J846))</f>
        <v/>
      </c>
      <c r="M846">
        <f>IF($A846="","",MAX(0,ROUNDUP(DASHBOARD!$F$3-$D846,0)))</f>
        <v/>
      </c>
      <c r="N846">
        <f>IF($A846="","",$K846+(5002-ROW())/10000)</f>
        <v/>
      </c>
    </row>
    <row r="847" ht="14.25" customHeight="1">
      <c r="K847">
        <f>IF($A847="","",SUM($E847:$J847))</f>
        <v/>
      </c>
      <c r="M847">
        <f>IF($A847="","",MAX(0,ROUNDUP(DASHBOARD!$F$3-$D847,0)))</f>
        <v/>
      </c>
      <c r="N847">
        <f>IF($A847="","",$K847+(5002-ROW())/10000)</f>
        <v/>
      </c>
    </row>
    <row r="848" ht="14.25" customHeight="1">
      <c r="K848">
        <f>IF($A848="","",SUM($E848:$J848))</f>
        <v/>
      </c>
      <c r="M848">
        <f>IF($A848="","",MAX(0,ROUNDUP(DASHBOARD!$F$3-$D848,0)))</f>
        <v/>
      </c>
      <c r="N848">
        <f>IF($A848="","",$K848+(5002-ROW())/10000)</f>
        <v/>
      </c>
    </row>
    <row r="849" ht="14.25" customHeight="1">
      <c r="K849">
        <f>IF($A849="","",SUM($E849:$J849))</f>
        <v/>
      </c>
      <c r="M849">
        <f>IF($A849="","",MAX(0,ROUNDUP(DASHBOARD!$F$3-$D849,0)))</f>
        <v/>
      </c>
      <c r="N849">
        <f>IF($A849="","",$K849+(5002-ROW())/10000)</f>
        <v/>
      </c>
    </row>
    <row r="850" ht="14.25" customHeight="1">
      <c r="K850">
        <f>IF($A850="","",SUM($E850:$J850))</f>
        <v/>
      </c>
      <c r="M850">
        <f>IF($A850="","",MAX(0,ROUNDUP(DASHBOARD!$F$3-$D850,0)))</f>
        <v/>
      </c>
      <c r="N850">
        <f>IF($A850="","",$K850+(5002-ROW())/10000)</f>
        <v/>
      </c>
    </row>
    <row r="851" ht="14.25" customHeight="1">
      <c r="K851">
        <f>IF($A851="","",SUM($E851:$J851))</f>
        <v/>
      </c>
      <c r="M851">
        <f>IF($A851="","",MAX(0,ROUNDUP(DASHBOARD!$F$3-$D851,0)))</f>
        <v/>
      </c>
      <c r="N851">
        <f>IF($A851="","",$K851+(5002-ROW())/10000)</f>
        <v/>
      </c>
    </row>
    <row r="852" ht="14.25" customHeight="1">
      <c r="K852">
        <f>IF($A852="","",SUM($E852:$J852))</f>
        <v/>
      </c>
      <c r="M852">
        <f>IF($A852="","",MAX(0,ROUNDUP(DASHBOARD!$F$3-$D852,0)))</f>
        <v/>
      </c>
      <c r="N852">
        <f>IF($A852="","",$K852+(5002-ROW())/10000)</f>
        <v/>
      </c>
    </row>
    <row r="853" ht="14.25" customHeight="1">
      <c r="K853">
        <f>IF($A853="","",SUM($E853:$J853))</f>
        <v/>
      </c>
      <c r="M853">
        <f>IF($A853="","",MAX(0,ROUNDUP(DASHBOARD!$F$3-$D853,0)))</f>
        <v/>
      </c>
      <c r="N853">
        <f>IF($A853="","",$K853+(5002-ROW())/10000)</f>
        <v/>
      </c>
    </row>
    <row r="854" ht="14.25" customHeight="1">
      <c r="K854">
        <f>IF($A854="","",SUM($E854:$J854))</f>
        <v/>
      </c>
      <c r="M854">
        <f>IF($A854="","",MAX(0,ROUNDUP(DASHBOARD!$F$3-$D854,0)))</f>
        <v/>
      </c>
      <c r="N854">
        <f>IF($A854="","",$K854+(5002-ROW())/10000)</f>
        <v/>
      </c>
    </row>
    <row r="855" ht="14.25" customHeight="1">
      <c r="K855">
        <f>IF($A855="","",SUM($E855:$J855))</f>
        <v/>
      </c>
      <c r="M855">
        <f>IF($A855="","",MAX(0,ROUNDUP(DASHBOARD!$F$3-$D855,0)))</f>
        <v/>
      </c>
      <c r="N855">
        <f>IF($A855="","",$K855+(5002-ROW())/10000)</f>
        <v/>
      </c>
    </row>
    <row r="856" ht="14.25" customHeight="1">
      <c r="K856">
        <f>IF($A856="","",SUM($E856:$J856))</f>
        <v/>
      </c>
      <c r="M856">
        <f>IF($A856="","",MAX(0,ROUNDUP(DASHBOARD!$F$3-$D856,0)))</f>
        <v/>
      </c>
      <c r="N856">
        <f>IF($A856="","",$K856+(5002-ROW())/10000)</f>
        <v/>
      </c>
    </row>
    <row r="857" ht="14.25" customHeight="1">
      <c r="K857">
        <f>IF($A857="","",SUM($E857:$J857))</f>
        <v/>
      </c>
      <c r="M857">
        <f>IF($A857="","",MAX(0,ROUNDUP(DASHBOARD!$F$3-$D857,0)))</f>
        <v/>
      </c>
      <c r="N857">
        <f>IF($A857="","",$K857+(5002-ROW())/10000)</f>
        <v/>
      </c>
    </row>
    <row r="858" ht="14.25" customHeight="1">
      <c r="K858">
        <f>IF($A858="","",SUM($E858:$J858))</f>
        <v/>
      </c>
      <c r="M858">
        <f>IF($A858="","",MAX(0,ROUNDUP(DASHBOARD!$F$3-$D858,0)))</f>
        <v/>
      </c>
      <c r="N858">
        <f>IF($A858="","",$K858+(5002-ROW())/10000)</f>
        <v/>
      </c>
    </row>
    <row r="859" ht="14.25" customHeight="1">
      <c r="K859">
        <f>IF($A859="","",SUM($E859:$J859))</f>
        <v/>
      </c>
      <c r="M859">
        <f>IF($A859="","",MAX(0,ROUNDUP(DASHBOARD!$F$3-$D859,0)))</f>
        <v/>
      </c>
      <c r="N859">
        <f>IF($A859="","",$K859+(5002-ROW())/10000)</f>
        <v/>
      </c>
    </row>
    <row r="860" ht="14.25" customHeight="1">
      <c r="K860">
        <f>IF($A860="","",SUM($E860:$J860))</f>
        <v/>
      </c>
      <c r="M860">
        <f>IF($A860="","",MAX(0,ROUNDUP(DASHBOARD!$F$3-$D860,0)))</f>
        <v/>
      </c>
      <c r="N860">
        <f>IF($A860="","",$K860+(5002-ROW())/10000)</f>
        <v/>
      </c>
    </row>
    <row r="861" ht="14.25" customHeight="1">
      <c r="K861">
        <f>IF($A861="","",SUM($E861:$J861))</f>
        <v/>
      </c>
      <c r="M861">
        <f>IF($A861="","",MAX(0,ROUNDUP(DASHBOARD!$F$3-$D861,0)))</f>
        <v/>
      </c>
      <c r="N861">
        <f>IF($A861="","",$K861+(5002-ROW())/10000)</f>
        <v/>
      </c>
    </row>
    <row r="862" ht="14.25" customHeight="1">
      <c r="K862">
        <f>IF($A862="","",SUM($E862:$J862))</f>
        <v/>
      </c>
      <c r="M862">
        <f>IF($A862="","",MAX(0,ROUNDUP(DASHBOARD!$F$3-$D862,0)))</f>
        <v/>
      </c>
      <c r="N862">
        <f>IF($A862="","",$K862+(5002-ROW())/10000)</f>
        <v/>
      </c>
    </row>
    <row r="863" ht="14.25" customHeight="1">
      <c r="K863">
        <f>IF($A863="","",SUM($E863:$J863))</f>
        <v/>
      </c>
      <c r="M863">
        <f>IF($A863="","",MAX(0,ROUNDUP(DASHBOARD!$F$3-$D863,0)))</f>
        <v/>
      </c>
      <c r="N863">
        <f>IF($A863="","",$K863+(5002-ROW())/10000)</f>
        <v/>
      </c>
    </row>
    <row r="864" ht="14.25" customHeight="1">
      <c r="K864">
        <f>IF($A864="","",SUM($E864:$J864))</f>
        <v/>
      </c>
      <c r="M864">
        <f>IF($A864="","",MAX(0,ROUNDUP(DASHBOARD!$F$3-$D864,0)))</f>
        <v/>
      </c>
      <c r="N864">
        <f>IF($A864="","",$K864+(5002-ROW())/10000)</f>
        <v/>
      </c>
    </row>
    <row r="865" ht="14.25" customHeight="1">
      <c r="K865">
        <f>IF($A865="","",SUM($E865:$J865))</f>
        <v/>
      </c>
      <c r="M865">
        <f>IF($A865="","",MAX(0,ROUNDUP(DASHBOARD!$F$3-$D865,0)))</f>
        <v/>
      </c>
      <c r="N865">
        <f>IF($A865="","",$K865+(5002-ROW())/10000)</f>
        <v/>
      </c>
    </row>
    <row r="866" ht="14.25" customHeight="1">
      <c r="K866">
        <f>IF($A866="","",SUM($E866:$J866))</f>
        <v/>
      </c>
      <c r="M866">
        <f>IF($A866="","",MAX(0,ROUNDUP(DASHBOARD!$F$3-$D866,0)))</f>
        <v/>
      </c>
      <c r="N866">
        <f>IF($A866="","",$K866+(5002-ROW())/10000)</f>
        <v/>
      </c>
    </row>
    <row r="867" ht="14.25" customHeight="1">
      <c r="K867">
        <f>IF($A867="","",SUM($E867:$J867))</f>
        <v/>
      </c>
      <c r="M867">
        <f>IF($A867="","",MAX(0,ROUNDUP(DASHBOARD!$F$3-$D867,0)))</f>
        <v/>
      </c>
      <c r="N867">
        <f>IF($A867="","",$K867+(5002-ROW())/10000)</f>
        <v/>
      </c>
    </row>
    <row r="868" ht="14.25" customHeight="1">
      <c r="K868">
        <f>IF($A868="","",SUM($E868:$J868))</f>
        <v/>
      </c>
      <c r="M868">
        <f>IF($A868="","",MAX(0,ROUNDUP(DASHBOARD!$F$3-$D868,0)))</f>
        <v/>
      </c>
      <c r="N868">
        <f>IF($A868="","",$K868+(5002-ROW())/10000)</f>
        <v/>
      </c>
    </row>
    <row r="869" ht="14.25" customHeight="1">
      <c r="K869">
        <f>IF($A869="","",SUM($E869:$J869))</f>
        <v/>
      </c>
      <c r="M869">
        <f>IF($A869="","",MAX(0,ROUNDUP(DASHBOARD!$F$3-$D869,0)))</f>
        <v/>
      </c>
      <c r="N869">
        <f>IF($A869="","",$K869+(5002-ROW())/10000)</f>
        <v/>
      </c>
    </row>
    <row r="870" ht="14.25" customHeight="1">
      <c r="K870">
        <f>IF($A870="","",SUM($E870:$J870))</f>
        <v/>
      </c>
      <c r="M870">
        <f>IF($A870="","",MAX(0,ROUNDUP(DASHBOARD!$F$3-$D870,0)))</f>
        <v/>
      </c>
      <c r="N870">
        <f>IF($A870="","",$K870+(5002-ROW())/10000)</f>
        <v/>
      </c>
    </row>
    <row r="871" ht="14.25" customHeight="1">
      <c r="K871">
        <f>IF($A871="","",SUM($E871:$J871))</f>
        <v/>
      </c>
      <c r="M871">
        <f>IF($A871="","",MAX(0,ROUNDUP(DASHBOARD!$F$3-$D871,0)))</f>
        <v/>
      </c>
      <c r="N871">
        <f>IF($A871="","",$K871+(5002-ROW())/10000)</f>
        <v/>
      </c>
    </row>
    <row r="872" ht="14.25" customHeight="1">
      <c r="K872">
        <f>IF($A872="","",SUM($E872:$J872))</f>
        <v/>
      </c>
      <c r="M872">
        <f>IF($A872="","",MAX(0,ROUNDUP(DASHBOARD!$F$3-$D872,0)))</f>
        <v/>
      </c>
      <c r="N872">
        <f>IF($A872="","",$K872+(5002-ROW())/10000)</f>
        <v/>
      </c>
    </row>
    <row r="873" ht="14.25" customHeight="1">
      <c r="K873">
        <f>IF($A873="","",SUM($E873:$J873))</f>
        <v/>
      </c>
      <c r="M873">
        <f>IF($A873="","",MAX(0,ROUNDUP(DASHBOARD!$F$3-$D873,0)))</f>
        <v/>
      </c>
      <c r="N873">
        <f>IF($A873="","",$K873+(5002-ROW())/10000)</f>
        <v/>
      </c>
    </row>
    <row r="874" ht="14.25" customHeight="1">
      <c r="K874">
        <f>IF($A874="","",SUM($E874:$J874))</f>
        <v/>
      </c>
      <c r="M874">
        <f>IF($A874="","",MAX(0,ROUNDUP(DASHBOARD!$F$3-$D874,0)))</f>
        <v/>
      </c>
      <c r="N874">
        <f>IF($A874="","",$K874+(5002-ROW())/10000)</f>
        <v/>
      </c>
    </row>
    <row r="875" ht="14.25" customHeight="1">
      <c r="K875">
        <f>IF($A875="","",SUM($E875:$J875))</f>
        <v/>
      </c>
      <c r="M875">
        <f>IF($A875="","",MAX(0,ROUNDUP(DASHBOARD!$F$3-$D875,0)))</f>
        <v/>
      </c>
      <c r="N875">
        <f>IF($A875="","",$K875+(5002-ROW())/10000)</f>
        <v/>
      </c>
    </row>
    <row r="876" ht="14.25" customHeight="1">
      <c r="K876">
        <f>IF($A876="","",SUM($E876:$J876))</f>
        <v/>
      </c>
      <c r="M876">
        <f>IF($A876="","",MAX(0,ROUNDUP(DASHBOARD!$F$3-$D876,0)))</f>
        <v/>
      </c>
      <c r="N876">
        <f>IF($A876="","",$K876+(5002-ROW())/10000)</f>
        <v/>
      </c>
    </row>
    <row r="877" ht="14.25" customHeight="1">
      <c r="K877">
        <f>IF($A877="","",SUM($E877:$J877))</f>
        <v/>
      </c>
      <c r="M877">
        <f>IF($A877="","",MAX(0,ROUNDUP(DASHBOARD!$F$3-$D877,0)))</f>
        <v/>
      </c>
      <c r="N877">
        <f>IF($A877="","",$K877+(5002-ROW())/10000)</f>
        <v/>
      </c>
    </row>
    <row r="878" ht="14.25" customHeight="1">
      <c r="K878">
        <f>IF($A878="","",SUM($E878:$J878))</f>
        <v/>
      </c>
      <c r="M878">
        <f>IF($A878="","",MAX(0,ROUNDUP(DASHBOARD!$F$3-$D878,0)))</f>
        <v/>
      </c>
      <c r="N878">
        <f>IF($A878="","",$K878+(5002-ROW())/10000)</f>
        <v/>
      </c>
    </row>
    <row r="879" ht="14.25" customHeight="1">
      <c r="K879">
        <f>IF($A879="","",SUM($E879:$J879))</f>
        <v/>
      </c>
      <c r="M879">
        <f>IF($A879="","",MAX(0,ROUNDUP(DASHBOARD!$F$3-$D879,0)))</f>
        <v/>
      </c>
      <c r="N879">
        <f>IF($A879="","",$K879+(5002-ROW())/10000)</f>
        <v/>
      </c>
    </row>
    <row r="880" ht="14.25" customHeight="1">
      <c r="K880">
        <f>IF($A880="","",SUM($E880:$J880))</f>
        <v/>
      </c>
      <c r="M880">
        <f>IF($A880="","",MAX(0,ROUNDUP(DASHBOARD!$F$3-$D880,0)))</f>
        <v/>
      </c>
      <c r="N880">
        <f>IF($A880="","",$K880+(5002-ROW())/10000)</f>
        <v/>
      </c>
    </row>
    <row r="881" ht="14.25" customHeight="1">
      <c r="K881">
        <f>IF($A881="","",SUM($E881:$J881))</f>
        <v/>
      </c>
      <c r="M881">
        <f>IF($A881="","",MAX(0,ROUNDUP(DASHBOARD!$F$3-$D881,0)))</f>
        <v/>
      </c>
      <c r="N881">
        <f>IF($A881="","",$K881+(5002-ROW())/10000)</f>
        <v/>
      </c>
    </row>
    <row r="882" ht="14.25" customHeight="1">
      <c r="K882">
        <f>IF($A882="","",SUM($E882:$J882))</f>
        <v/>
      </c>
      <c r="M882">
        <f>IF($A882="","",MAX(0,ROUNDUP(DASHBOARD!$F$3-$D882,0)))</f>
        <v/>
      </c>
      <c r="N882">
        <f>IF($A882="","",$K882+(5002-ROW())/10000)</f>
        <v/>
      </c>
    </row>
    <row r="883" ht="14.25" customHeight="1">
      <c r="K883">
        <f>IF($A883="","",SUM($E883:$J883))</f>
        <v/>
      </c>
      <c r="M883">
        <f>IF($A883="","",MAX(0,ROUNDUP(DASHBOARD!$F$3-$D883,0)))</f>
        <v/>
      </c>
      <c r="N883">
        <f>IF($A883="","",$K883+(5002-ROW())/10000)</f>
        <v/>
      </c>
    </row>
    <row r="884" ht="14.25" customHeight="1">
      <c r="K884">
        <f>IF($A884="","",SUM($E884:$J884))</f>
        <v/>
      </c>
      <c r="M884">
        <f>IF($A884="","",MAX(0,ROUNDUP(DASHBOARD!$F$3-$D884,0)))</f>
        <v/>
      </c>
      <c r="N884">
        <f>IF($A884="","",$K884+(5002-ROW())/10000)</f>
        <v/>
      </c>
    </row>
    <row r="885" ht="14.25" customHeight="1">
      <c r="K885">
        <f>IF($A885="","",SUM($E885:$J885))</f>
        <v/>
      </c>
      <c r="M885">
        <f>IF($A885="","",MAX(0,ROUNDUP(DASHBOARD!$F$3-$D885,0)))</f>
        <v/>
      </c>
      <c r="N885">
        <f>IF($A885="","",$K885+(5002-ROW())/10000)</f>
        <v/>
      </c>
    </row>
    <row r="886" ht="14.25" customHeight="1">
      <c r="K886">
        <f>IF($A886="","",SUM($E886:$J886))</f>
        <v/>
      </c>
      <c r="M886">
        <f>IF($A886="","",MAX(0,ROUNDUP(DASHBOARD!$F$3-$D886,0)))</f>
        <v/>
      </c>
      <c r="N886">
        <f>IF($A886="","",$K886+(5002-ROW())/10000)</f>
        <v/>
      </c>
    </row>
    <row r="887" ht="14.25" customHeight="1">
      <c r="K887">
        <f>IF($A887="","",SUM($E887:$J887))</f>
        <v/>
      </c>
      <c r="M887">
        <f>IF($A887="","",MAX(0,ROUNDUP(DASHBOARD!$F$3-$D887,0)))</f>
        <v/>
      </c>
      <c r="N887">
        <f>IF($A887="","",$K887+(5002-ROW())/10000)</f>
        <v/>
      </c>
    </row>
    <row r="888" ht="14.25" customHeight="1">
      <c r="K888">
        <f>IF($A888="","",SUM($E888:$J888))</f>
        <v/>
      </c>
      <c r="M888">
        <f>IF($A888="","",MAX(0,ROUNDUP(DASHBOARD!$F$3-$D888,0)))</f>
        <v/>
      </c>
      <c r="N888">
        <f>IF($A888="","",$K888+(5002-ROW())/10000)</f>
        <v/>
      </c>
    </row>
    <row r="889" ht="14.25" customHeight="1">
      <c r="K889">
        <f>IF($A889="","",SUM($E889:$J889))</f>
        <v/>
      </c>
      <c r="M889">
        <f>IF($A889="","",MAX(0,ROUNDUP(DASHBOARD!$F$3-$D889,0)))</f>
        <v/>
      </c>
      <c r="N889">
        <f>IF($A889="","",$K889+(5002-ROW())/10000)</f>
        <v/>
      </c>
    </row>
    <row r="890" ht="14.25" customHeight="1">
      <c r="K890">
        <f>IF($A890="","",SUM($E890:$J890))</f>
        <v/>
      </c>
      <c r="M890">
        <f>IF($A890="","",MAX(0,ROUNDUP(DASHBOARD!$F$3-$D890,0)))</f>
        <v/>
      </c>
      <c r="N890">
        <f>IF($A890="","",$K890+(5002-ROW())/10000)</f>
        <v/>
      </c>
    </row>
    <row r="891" ht="14.25" customHeight="1">
      <c r="K891">
        <f>IF($A891="","",SUM($E891:$J891))</f>
        <v/>
      </c>
      <c r="M891">
        <f>IF($A891="","",MAX(0,ROUNDUP(DASHBOARD!$F$3-$D891,0)))</f>
        <v/>
      </c>
      <c r="N891">
        <f>IF($A891="","",$K891+(5002-ROW())/10000)</f>
        <v/>
      </c>
    </row>
    <row r="892" ht="14.25" customHeight="1">
      <c r="K892">
        <f>IF($A892="","",SUM($E892:$J892))</f>
        <v/>
      </c>
      <c r="M892">
        <f>IF($A892="","",MAX(0,ROUNDUP(DASHBOARD!$F$3-$D892,0)))</f>
        <v/>
      </c>
      <c r="N892">
        <f>IF($A892="","",$K892+(5002-ROW())/10000)</f>
        <v/>
      </c>
    </row>
    <row r="893" ht="14.25" customHeight="1">
      <c r="K893">
        <f>IF($A893="","",SUM($E893:$J893))</f>
        <v/>
      </c>
      <c r="M893">
        <f>IF($A893="","",MAX(0,ROUNDUP(DASHBOARD!$F$3-$D893,0)))</f>
        <v/>
      </c>
      <c r="N893">
        <f>IF($A893="","",$K893+(5002-ROW())/10000)</f>
        <v/>
      </c>
    </row>
    <row r="894" ht="14.25" customHeight="1">
      <c r="K894">
        <f>IF($A894="","",SUM($E894:$J894))</f>
        <v/>
      </c>
      <c r="M894">
        <f>IF($A894="","",MAX(0,ROUNDUP(DASHBOARD!$F$3-$D894,0)))</f>
        <v/>
      </c>
      <c r="N894">
        <f>IF($A894="","",$K894+(5002-ROW())/10000)</f>
        <v/>
      </c>
    </row>
    <row r="895" ht="14.25" customHeight="1">
      <c r="K895">
        <f>IF($A895="","",SUM($E895:$J895))</f>
        <v/>
      </c>
      <c r="M895">
        <f>IF($A895="","",MAX(0,ROUNDUP(DASHBOARD!$F$3-$D895,0)))</f>
        <v/>
      </c>
      <c r="N895">
        <f>IF($A895="","",$K895+(5002-ROW())/10000)</f>
        <v/>
      </c>
    </row>
    <row r="896" ht="14.25" customHeight="1">
      <c r="K896">
        <f>IF($A896="","",SUM($E896:$J896))</f>
        <v/>
      </c>
      <c r="M896">
        <f>IF($A896="","",MAX(0,ROUNDUP(DASHBOARD!$F$3-$D896,0)))</f>
        <v/>
      </c>
      <c r="N896">
        <f>IF($A896="","",$K896+(5002-ROW())/10000)</f>
        <v/>
      </c>
    </row>
    <row r="897" ht="14.25" customHeight="1">
      <c r="K897">
        <f>IF($A897="","",SUM($E897:$J897))</f>
        <v/>
      </c>
      <c r="M897">
        <f>IF($A897="","",MAX(0,ROUNDUP(DASHBOARD!$F$3-$D897,0)))</f>
        <v/>
      </c>
      <c r="N897">
        <f>IF($A897="","",$K897+(5002-ROW())/10000)</f>
        <v/>
      </c>
    </row>
    <row r="898" ht="14.25" customHeight="1">
      <c r="K898">
        <f>IF($A898="","",SUM($E898:$J898))</f>
        <v/>
      </c>
      <c r="M898">
        <f>IF($A898="","",MAX(0,ROUNDUP(DASHBOARD!$F$3-$D898,0)))</f>
        <v/>
      </c>
      <c r="N898">
        <f>IF($A898="","",$K898+(5002-ROW())/10000)</f>
        <v/>
      </c>
    </row>
    <row r="899" ht="14.25" customHeight="1">
      <c r="K899">
        <f>IF($A899="","",SUM($E899:$J899))</f>
        <v/>
      </c>
      <c r="M899">
        <f>IF($A899="","",MAX(0,ROUNDUP(DASHBOARD!$F$3-$D899,0)))</f>
        <v/>
      </c>
      <c r="N899">
        <f>IF($A899="","",$K899+(5002-ROW())/10000)</f>
        <v/>
      </c>
    </row>
    <row r="900" ht="14.25" customHeight="1">
      <c r="K900">
        <f>IF($A900="","",SUM($E900:$J900))</f>
        <v/>
      </c>
      <c r="M900">
        <f>IF($A900="","",MAX(0,ROUNDUP(DASHBOARD!$F$3-$D900,0)))</f>
        <v/>
      </c>
      <c r="N900">
        <f>IF($A900="","",$K900+(5002-ROW())/10000)</f>
        <v/>
      </c>
    </row>
    <row r="901" ht="14.25" customHeight="1">
      <c r="K901">
        <f>IF($A901="","",SUM($E901:$J901))</f>
        <v/>
      </c>
      <c r="M901">
        <f>IF($A901="","",MAX(0,ROUNDUP(DASHBOARD!$F$3-$D901,0)))</f>
        <v/>
      </c>
      <c r="N901">
        <f>IF($A901="","",$K901+(5002-ROW())/10000)</f>
        <v/>
      </c>
    </row>
    <row r="902" ht="14.25" customHeight="1">
      <c r="K902">
        <f>IF($A902="","",SUM($E902:$J902))</f>
        <v/>
      </c>
      <c r="M902">
        <f>IF($A902="","",MAX(0,ROUNDUP(DASHBOARD!$F$3-$D902,0)))</f>
        <v/>
      </c>
      <c r="N902">
        <f>IF($A902="","",$K902+(5002-ROW())/10000)</f>
        <v/>
      </c>
    </row>
    <row r="903" ht="14.25" customHeight="1">
      <c r="K903">
        <f>IF($A903="","",SUM($E903:$J903))</f>
        <v/>
      </c>
      <c r="M903">
        <f>IF($A903="","",MAX(0,ROUNDUP(DASHBOARD!$F$3-$D903,0)))</f>
        <v/>
      </c>
      <c r="N903">
        <f>IF($A903="","",$K903+(5002-ROW())/10000)</f>
        <v/>
      </c>
    </row>
    <row r="904" ht="14.25" customHeight="1">
      <c r="K904">
        <f>IF($A904="","",SUM($E904:$J904))</f>
        <v/>
      </c>
      <c r="M904">
        <f>IF($A904="","",MAX(0,ROUNDUP(DASHBOARD!$F$3-$D904,0)))</f>
        <v/>
      </c>
      <c r="N904">
        <f>IF($A904="","",$K904+(5002-ROW())/10000)</f>
        <v/>
      </c>
    </row>
    <row r="905" ht="14.25" customHeight="1">
      <c r="K905">
        <f>IF($A905="","",SUM($E905:$J905))</f>
        <v/>
      </c>
      <c r="M905">
        <f>IF($A905="","",MAX(0,ROUNDUP(DASHBOARD!$F$3-$D905,0)))</f>
        <v/>
      </c>
      <c r="N905">
        <f>IF($A905="","",$K905+(5002-ROW())/10000)</f>
        <v/>
      </c>
    </row>
    <row r="906" ht="14.25" customHeight="1">
      <c r="K906">
        <f>IF($A906="","",SUM($E906:$J906))</f>
        <v/>
      </c>
      <c r="M906">
        <f>IF($A906="","",MAX(0,ROUNDUP(DASHBOARD!$F$3-$D906,0)))</f>
        <v/>
      </c>
      <c r="N906">
        <f>IF($A906="","",$K906+(5002-ROW())/10000)</f>
        <v/>
      </c>
    </row>
    <row r="907" ht="14.25" customHeight="1">
      <c r="K907">
        <f>IF($A907="","",SUM($E907:$J907))</f>
        <v/>
      </c>
      <c r="M907">
        <f>IF($A907="","",MAX(0,ROUNDUP(DASHBOARD!$F$3-$D907,0)))</f>
        <v/>
      </c>
      <c r="N907">
        <f>IF($A907="","",$K907+(5002-ROW())/10000)</f>
        <v/>
      </c>
    </row>
    <row r="908" ht="14.25" customHeight="1">
      <c r="K908">
        <f>IF($A908="","",SUM($E908:$J908))</f>
        <v/>
      </c>
      <c r="M908">
        <f>IF($A908="","",MAX(0,ROUNDUP(DASHBOARD!$F$3-$D908,0)))</f>
        <v/>
      </c>
      <c r="N908">
        <f>IF($A908="","",$K908+(5002-ROW())/10000)</f>
        <v/>
      </c>
    </row>
    <row r="909" ht="14.25" customHeight="1">
      <c r="K909">
        <f>IF($A909="","",SUM($E909:$J909))</f>
        <v/>
      </c>
      <c r="M909">
        <f>IF($A909="","",MAX(0,ROUNDUP(DASHBOARD!$F$3-$D909,0)))</f>
        <v/>
      </c>
      <c r="N909">
        <f>IF($A909="","",$K909+(5002-ROW())/10000)</f>
        <v/>
      </c>
    </row>
    <row r="910" ht="14.25" customHeight="1">
      <c r="K910">
        <f>IF($A910="","",SUM($E910:$J910))</f>
        <v/>
      </c>
      <c r="M910">
        <f>IF($A910="","",MAX(0,ROUNDUP(DASHBOARD!$F$3-$D910,0)))</f>
        <v/>
      </c>
      <c r="N910">
        <f>IF($A910="","",$K910+(5002-ROW())/10000)</f>
        <v/>
      </c>
    </row>
    <row r="911" ht="14.25" customHeight="1">
      <c r="K911">
        <f>IF($A911="","",SUM($E911:$J911))</f>
        <v/>
      </c>
      <c r="M911">
        <f>IF($A911="","",MAX(0,ROUNDUP(DASHBOARD!$F$3-$D911,0)))</f>
        <v/>
      </c>
      <c r="N911">
        <f>IF($A911="","",$K911+(5002-ROW())/10000)</f>
        <v/>
      </c>
    </row>
    <row r="912" ht="14.25" customHeight="1">
      <c r="K912">
        <f>IF($A912="","",SUM($E912:$J912))</f>
        <v/>
      </c>
      <c r="M912">
        <f>IF($A912="","",MAX(0,ROUNDUP(DASHBOARD!$F$3-$D912,0)))</f>
        <v/>
      </c>
      <c r="N912">
        <f>IF($A912="","",$K912+(5002-ROW())/10000)</f>
        <v/>
      </c>
    </row>
    <row r="913" ht="14.25" customHeight="1">
      <c r="K913">
        <f>IF($A913="","",SUM($E913:$J913))</f>
        <v/>
      </c>
      <c r="M913">
        <f>IF($A913="","",MAX(0,ROUNDUP(DASHBOARD!$F$3-$D913,0)))</f>
        <v/>
      </c>
      <c r="N913">
        <f>IF($A913="","",$K913+(5002-ROW())/10000)</f>
        <v/>
      </c>
    </row>
    <row r="914" ht="14.25" customHeight="1">
      <c r="K914">
        <f>IF($A914="","",SUM($E914:$J914))</f>
        <v/>
      </c>
      <c r="M914">
        <f>IF($A914="","",MAX(0,ROUNDUP(DASHBOARD!$F$3-$D914,0)))</f>
        <v/>
      </c>
      <c r="N914">
        <f>IF($A914="","",$K914+(5002-ROW())/10000)</f>
        <v/>
      </c>
    </row>
    <row r="915" ht="14.25" customHeight="1">
      <c r="K915">
        <f>IF($A915="","",SUM($E915:$J915))</f>
        <v/>
      </c>
      <c r="M915">
        <f>IF($A915="","",MAX(0,ROUNDUP(DASHBOARD!$F$3-$D915,0)))</f>
        <v/>
      </c>
      <c r="N915">
        <f>IF($A915="","",$K915+(5002-ROW())/10000)</f>
        <v/>
      </c>
    </row>
    <row r="916" ht="14.25" customHeight="1">
      <c r="K916">
        <f>IF($A916="","",SUM($E916:$J916))</f>
        <v/>
      </c>
      <c r="M916">
        <f>IF($A916="","",MAX(0,ROUNDUP(DASHBOARD!$F$3-$D916,0)))</f>
        <v/>
      </c>
      <c r="N916">
        <f>IF($A916="","",$K916+(5002-ROW())/10000)</f>
        <v/>
      </c>
    </row>
    <row r="917" ht="14.25" customHeight="1">
      <c r="K917">
        <f>IF($A917="","",SUM($E917:$J917))</f>
        <v/>
      </c>
      <c r="M917">
        <f>IF($A917="","",MAX(0,ROUNDUP(DASHBOARD!$F$3-$D917,0)))</f>
        <v/>
      </c>
      <c r="N917">
        <f>IF($A917="","",$K917+(5002-ROW())/10000)</f>
        <v/>
      </c>
    </row>
    <row r="918" ht="14.25" customHeight="1">
      <c r="K918">
        <f>IF($A918="","",SUM($E918:$J918))</f>
        <v/>
      </c>
      <c r="M918">
        <f>IF($A918="","",MAX(0,ROUNDUP(DASHBOARD!$F$3-$D918,0)))</f>
        <v/>
      </c>
      <c r="N918">
        <f>IF($A918="","",$K918+(5002-ROW())/10000)</f>
        <v/>
      </c>
    </row>
    <row r="919" ht="14.25" customHeight="1">
      <c r="K919">
        <f>IF($A919="","",SUM($E919:$J919))</f>
        <v/>
      </c>
      <c r="M919">
        <f>IF($A919="","",MAX(0,ROUNDUP(DASHBOARD!$F$3-$D919,0)))</f>
        <v/>
      </c>
      <c r="N919">
        <f>IF($A919="","",$K919+(5002-ROW())/10000)</f>
        <v/>
      </c>
    </row>
    <row r="920" ht="14.25" customHeight="1">
      <c r="K920">
        <f>IF($A920="","",SUM($E920:$J920))</f>
        <v/>
      </c>
      <c r="M920">
        <f>IF($A920="","",MAX(0,ROUNDUP(DASHBOARD!$F$3-$D920,0)))</f>
        <v/>
      </c>
      <c r="N920">
        <f>IF($A920="","",$K920+(5002-ROW())/10000)</f>
        <v/>
      </c>
    </row>
    <row r="921" ht="14.25" customHeight="1">
      <c r="K921">
        <f>IF($A921="","",SUM($E921:$J921))</f>
        <v/>
      </c>
      <c r="M921">
        <f>IF($A921="","",MAX(0,ROUNDUP(DASHBOARD!$F$3-$D921,0)))</f>
        <v/>
      </c>
      <c r="N921">
        <f>IF($A921="","",$K921+(5002-ROW())/10000)</f>
        <v/>
      </c>
    </row>
    <row r="922" ht="14.25" customHeight="1">
      <c r="K922">
        <f>IF($A922="","",SUM($E922:$J922))</f>
        <v/>
      </c>
      <c r="M922">
        <f>IF($A922="","",MAX(0,ROUNDUP(DASHBOARD!$F$3-$D922,0)))</f>
        <v/>
      </c>
      <c r="N922">
        <f>IF($A922="","",$K922+(5002-ROW())/10000)</f>
        <v/>
      </c>
    </row>
    <row r="923" ht="14.25" customHeight="1">
      <c r="K923">
        <f>IF($A923="","",SUM($E923:$J923))</f>
        <v/>
      </c>
      <c r="M923">
        <f>IF($A923="","",MAX(0,ROUNDUP(DASHBOARD!$F$3-$D923,0)))</f>
        <v/>
      </c>
      <c r="N923">
        <f>IF($A923="","",$K923+(5002-ROW())/10000)</f>
        <v/>
      </c>
    </row>
    <row r="924" ht="14.25" customHeight="1">
      <c r="K924">
        <f>IF($A924="","",SUM($E924:$J924))</f>
        <v/>
      </c>
      <c r="M924">
        <f>IF($A924="","",MAX(0,ROUNDUP(DASHBOARD!$F$3-$D924,0)))</f>
        <v/>
      </c>
      <c r="N924">
        <f>IF($A924="","",$K924+(5002-ROW())/10000)</f>
        <v/>
      </c>
    </row>
    <row r="925" ht="14.25" customHeight="1">
      <c r="K925">
        <f>IF($A925="","",SUM($E925:$J925))</f>
        <v/>
      </c>
      <c r="M925">
        <f>IF($A925="","",MAX(0,ROUNDUP(DASHBOARD!$F$3-$D925,0)))</f>
        <v/>
      </c>
      <c r="N925">
        <f>IF($A925="","",$K925+(5002-ROW())/10000)</f>
        <v/>
      </c>
    </row>
    <row r="926" ht="14.25" customHeight="1">
      <c r="K926">
        <f>IF($A926="","",SUM($E926:$J926))</f>
        <v/>
      </c>
      <c r="M926">
        <f>IF($A926="","",MAX(0,ROUNDUP(DASHBOARD!$F$3-$D926,0)))</f>
        <v/>
      </c>
      <c r="N926">
        <f>IF($A926="","",$K926+(5002-ROW())/10000)</f>
        <v/>
      </c>
    </row>
    <row r="927" ht="14.25" customHeight="1">
      <c r="K927">
        <f>IF($A927="","",SUM($E927:$J927))</f>
        <v/>
      </c>
      <c r="M927">
        <f>IF($A927="","",MAX(0,ROUNDUP(DASHBOARD!$F$3-$D927,0)))</f>
        <v/>
      </c>
      <c r="N927">
        <f>IF($A927="","",$K927+(5002-ROW())/10000)</f>
        <v/>
      </c>
    </row>
    <row r="928" ht="14.25" customHeight="1">
      <c r="K928">
        <f>IF($A928="","",SUM($E928:$J928))</f>
        <v/>
      </c>
      <c r="M928">
        <f>IF($A928="","",MAX(0,ROUNDUP(DASHBOARD!$F$3-$D928,0)))</f>
        <v/>
      </c>
      <c r="N928">
        <f>IF($A928="","",$K928+(5002-ROW())/10000)</f>
        <v/>
      </c>
    </row>
    <row r="929" ht="14.25" customHeight="1">
      <c r="K929">
        <f>IF($A929="","",SUM($E929:$J929))</f>
        <v/>
      </c>
      <c r="M929">
        <f>IF($A929="","",MAX(0,ROUNDUP(DASHBOARD!$F$3-$D929,0)))</f>
        <v/>
      </c>
      <c r="N929">
        <f>IF($A929="","",$K929+(5002-ROW())/10000)</f>
        <v/>
      </c>
    </row>
    <row r="930" ht="14.25" customHeight="1">
      <c r="K930">
        <f>IF($A930="","",SUM($E930:$J930))</f>
        <v/>
      </c>
      <c r="M930">
        <f>IF($A930="","",MAX(0,ROUNDUP(DASHBOARD!$F$3-$D930,0)))</f>
        <v/>
      </c>
      <c r="N930">
        <f>IF($A930="","",$K930+(5002-ROW())/10000)</f>
        <v/>
      </c>
    </row>
    <row r="931" ht="14.25" customHeight="1">
      <c r="K931">
        <f>IF($A931="","",SUM($E931:$J931))</f>
        <v/>
      </c>
      <c r="M931">
        <f>IF($A931="","",MAX(0,ROUNDUP(DASHBOARD!$F$3-$D931,0)))</f>
        <v/>
      </c>
      <c r="N931">
        <f>IF($A931="","",$K931+(5002-ROW())/10000)</f>
        <v/>
      </c>
    </row>
    <row r="932" ht="14.25" customHeight="1">
      <c r="K932">
        <f>IF($A932="","",SUM($E932:$J932))</f>
        <v/>
      </c>
      <c r="M932">
        <f>IF($A932="","",MAX(0,ROUNDUP(DASHBOARD!$F$3-$D932,0)))</f>
        <v/>
      </c>
      <c r="N932">
        <f>IF($A932="","",$K932+(5002-ROW())/10000)</f>
        <v/>
      </c>
    </row>
    <row r="933" ht="14.25" customHeight="1">
      <c r="K933">
        <f>IF($A933="","",SUM($E933:$J933))</f>
        <v/>
      </c>
      <c r="M933">
        <f>IF($A933="","",MAX(0,ROUNDUP(DASHBOARD!$F$3-$D933,0)))</f>
        <v/>
      </c>
      <c r="N933">
        <f>IF($A933="","",$K933+(5002-ROW())/10000)</f>
        <v/>
      </c>
    </row>
    <row r="934" ht="14.25" customHeight="1">
      <c r="K934">
        <f>IF($A934="","",SUM($E934:$J934))</f>
        <v/>
      </c>
      <c r="M934">
        <f>IF($A934="","",MAX(0,ROUNDUP(DASHBOARD!$F$3-$D934,0)))</f>
        <v/>
      </c>
      <c r="N934">
        <f>IF($A934="","",$K934+(5002-ROW())/10000)</f>
        <v/>
      </c>
    </row>
    <row r="935" ht="14.25" customHeight="1">
      <c r="K935">
        <f>IF($A935="","",SUM($E935:$J935))</f>
        <v/>
      </c>
      <c r="M935">
        <f>IF($A935="","",MAX(0,ROUNDUP(DASHBOARD!$F$3-$D935,0)))</f>
        <v/>
      </c>
      <c r="N935">
        <f>IF($A935="","",$K935+(5002-ROW())/10000)</f>
        <v/>
      </c>
    </row>
    <row r="936" ht="14.25" customHeight="1">
      <c r="K936">
        <f>IF($A936="","",SUM($E936:$J936))</f>
        <v/>
      </c>
      <c r="M936">
        <f>IF($A936="","",MAX(0,ROUNDUP(DASHBOARD!$F$3-$D936,0)))</f>
        <v/>
      </c>
      <c r="N936">
        <f>IF($A936="","",$K936+(5002-ROW())/10000)</f>
        <v/>
      </c>
    </row>
    <row r="937" ht="14.25" customHeight="1">
      <c r="K937">
        <f>IF($A937="","",SUM($E937:$J937))</f>
        <v/>
      </c>
      <c r="M937">
        <f>IF($A937="","",MAX(0,ROUNDUP(DASHBOARD!$F$3-$D937,0)))</f>
        <v/>
      </c>
      <c r="N937">
        <f>IF($A937="","",$K937+(5002-ROW())/10000)</f>
        <v/>
      </c>
    </row>
    <row r="938" ht="14.25" customHeight="1">
      <c r="K938">
        <f>IF($A938="","",SUM($E938:$J938))</f>
        <v/>
      </c>
      <c r="M938">
        <f>IF($A938="","",MAX(0,ROUNDUP(DASHBOARD!$F$3-$D938,0)))</f>
        <v/>
      </c>
      <c r="N938">
        <f>IF($A938="","",$K938+(5002-ROW())/10000)</f>
        <v/>
      </c>
    </row>
    <row r="939" ht="14.25" customHeight="1">
      <c r="K939">
        <f>IF($A939="","",SUM($E939:$J939))</f>
        <v/>
      </c>
      <c r="M939">
        <f>IF($A939="","",MAX(0,ROUNDUP(DASHBOARD!$F$3-$D939,0)))</f>
        <v/>
      </c>
      <c r="N939">
        <f>IF($A939="","",$K939+(5002-ROW())/10000)</f>
        <v/>
      </c>
    </row>
    <row r="940" ht="14.25" customHeight="1">
      <c r="K940">
        <f>IF($A940="","",SUM($E940:$J940))</f>
        <v/>
      </c>
      <c r="M940">
        <f>IF($A940="","",MAX(0,ROUNDUP(DASHBOARD!$F$3-$D940,0)))</f>
        <v/>
      </c>
      <c r="N940">
        <f>IF($A940="","",$K940+(5002-ROW())/10000)</f>
        <v/>
      </c>
    </row>
    <row r="941" ht="14.25" customHeight="1">
      <c r="K941">
        <f>IF($A941="","",SUM($E941:$J941))</f>
        <v/>
      </c>
      <c r="M941">
        <f>IF($A941="","",MAX(0,ROUNDUP(DASHBOARD!$F$3-$D941,0)))</f>
        <v/>
      </c>
      <c r="N941">
        <f>IF($A941="","",$K941+(5002-ROW())/10000)</f>
        <v/>
      </c>
    </row>
    <row r="942" ht="14.25" customHeight="1">
      <c r="K942">
        <f>IF($A942="","",SUM($E942:$J942))</f>
        <v/>
      </c>
      <c r="M942">
        <f>IF($A942="","",MAX(0,ROUNDUP(DASHBOARD!$F$3-$D942,0)))</f>
        <v/>
      </c>
      <c r="N942">
        <f>IF($A942="","",$K942+(5002-ROW())/10000)</f>
        <v/>
      </c>
    </row>
    <row r="943" ht="14.25" customHeight="1">
      <c r="K943">
        <f>IF($A943="","",SUM($E943:$J943))</f>
        <v/>
      </c>
      <c r="M943">
        <f>IF($A943="","",MAX(0,ROUNDUP(DASHBOARD!$F$3-$D943,0)))</f>
        <v/>
      </c>
      <c r="N943">
        <f>IF($A943="","",$K943+(5002-ROW())/10000)</f>
        <v/>
      </c>
    </row>
    <row r="944" ht="14.25" customHeight="1">
      <c r="K944">
        <f>IF($A944="","",SUM($E944:$J944))</f>
        <v/>
      </c>
      <c r="M944">
        <f>IF($A944="","",MAX(0,ROUNDUP(DASHBOARD!$F$3-$D944,0)))</f>
        <v/>
      </c>
      <c r="N944">
        <f>IF($A944="","",$K944+(5002-ROW())/10000)</f>
        <v/>
      </c>
    </row>
    <row r="945" ht="14.25" customHeight="1">
      <c r="K945">
        <f>IF($A945="","",SUM($E945:$J945))</f>
        <v/>
      </c>
      <c r="M945">
        <f>IF($A945="","",MAX(0,ROUNDUP(DASHBOARD!$F$3-$D945,0)))</f>
        <v/>
      </c>
      <c r="N945">
        <f>IF($A945="","",$K945+(5002-ROW())/10000)</f>
        <v/>
      </c>
    </row>
    <row r="946" ht="14.25" customHeight="1">
      <c r="K946">
        <f>IF($A946="","",SUM($E946:$J946))</f>
        <v/>
      </c>
      <c r="M946">
        <f>IF($A946="","",MAX(0,ROUNDUP(DASHBOARD!$F$3-$D946,0)))</f>
        <v/>
      </c>
      <c r="N946">
        <f>IF($A946="","",$K946+(5002-ROW())/10000)</f>
        <v/>
      </c>
    </row>
    <row r="947" ht="14.25" customHeight="1">
      <c r="K947">
        <f>IF($A947="","",SUM($E947:$J947))</f>
        <v/>
      </c>
      <c r="M947">
        <f>IF($A947="","",MAX(0,ROUNDUP(DASHBOARD!$F$3-$D947,0)))</f>
        <v/>
      </c>
      <c r="N947">
        <f>IF($A947="","",$K947+(5002-ROW())/10000)</f>
        <v/>
      </c>
    </row>
    <row r="948" ht="14.25" customHeight="1">
      <c r="K948">
        <f>IF($A948="","",SUM($E948:$J948))</f>
        <v/>
      </c>
      <c r="M948">
        <f>IF($A948="","",MAX(0,ROUNDUP(DASHBOARD!$F$3-$D948,0)))</f>
        <v/>
      </c>
      <c r="N948">
        <f>IF($A948="","",$K948+(5002-ROW())/10000)</f>
        <v/>
      </c>
    </row>
    <row r="949" ht="14.25" customHeight="1">
      <c r="K949">
        <f>IF($A949="","",SUM($E949:$J949))</f>
        <v/>
      </c>
      <c r="M949">
        <f>IF($A949="","",MAX(0,ROUNDUP(DASHBOARD!$F$3-$D949,0)))</f>
        <v/>
      </c>
      <c r="N949">
        <f>IF($A949="","",$K949+(5002-ROW())/10000)</f>
        <v/>
      </c>
    </row>
    <row r="950" ht="14.25" customHeight="1">
      <c r="K950">
        <f>IF($A950="","",SUM($E950:$J950))</f>
        <v/>
      </c>
      <c r="M950">
        <f>IF($A950="","",MAX(0,ROUNDUP(DASHBOARD!$F$3-$D950,0)))</f>
        <v/>
      </c>
      <c r="N950">
        <f>IF($A950="","",$K950+(5002-ROW())/10000)</f>
        <v/>
      </c>
    </row>
    <row r="951" ht="14.25" customHeight="1">
      <c r="K951">
        <f>IF($A951="","",SUM($E951:$J951))</f>
        <v/>
      </c>
      <c r="M951">
        <f>IF($A951="","",MAX(0,ROUNDUP(DASHBOARD!$F$3-$D951,0)))</f>
        <v/>
      </c>
      <c r="N951">
        <f>IF($A951="","",$K951+(5002-ROW())/10000)</f>
        <v/>
      </c>
    </row>
    <row r="952" ht="14.25" customHeight="1">
      <c r="K952">
        <f>IF($A952="","",SUM($E952:$J952))</f>
        <v/>
      </c>
      <c r="M952">
        <f>IF($A952="","",MAX(0,ROUNDUP(DASHBOARD!$F$3-$D952,0)))</f>
        <v/>
      </c>
      <c r="N952">
        <f>IF($A952="","",$K952+(5002-ROW())/10000)</f>
        <v/>
      </c>
    </row>
    <row r="953" ht="14.25" customHeight="1">
      <c r="K953">
        <f>IF($A953="","",SUM($E953:$J953))</f>
        <v/>
      </c>
      <c r="M953">
        <f>IF($A953="","",MAX(0,ROUNDUP(DASHBOARD!$F$3-$D953,0)))</f>
        <v/>
      </c>
      <c r="N953">
        <f>IF($A953="","",$K953+(5002-ROW())/10000)</f>
        <v/>
      </c>
    </row>
    <row r="954" ht="14.25" customHeight="1">
      <c r="K954">
        <f>IF($A954="","",SUM($E954:$J954))</f>
        <v/>
      </c>
      <c r="M954">
        <f>IF($A954="","",MAX(0,ROUNDUP(DASHBOARD!$F$3-$D954,0)))</f>
        <v/>
      </c>
      <c r="N954">
        <f>IF($A954="","",$K954+(5002-ROW())/10000)</f>
        <v/>
      </c>
    </row>
    <row r="955" ht="14.25" customHeight="1">
      <c r="K955">
        <f>IF($A955="","",SUM($E955:$J955))</f>
        <v/>
      </c>
      <c r="M955">
        <f>IF($A955="","",MAX(0,ROUNDUP(DASHBOARD!$F$3-$D955,0)))</f>
        <v/>
      </c>
      <c r="N955">
        <f>IF($A955="","",$K955+(5002-ROW())/10000)</f>
        <v/>
      </c>
    </row>
    <row r="956" ht="14.25" customHeight="1">
      <c r="K956">
        <f>IF($A956="","",SUM($E956:$J956))</f>
        <v/>
      </c>
      <c r="M956">
        <f>IF($A956="","",MAX(0,ROUNDUP(DASHBOARD!$F$3-$D956,0)))</f>
        <v/>
      </c>
      <c r="N956">
        <f>IF($A956="","",$K956+(5002-ROW())/10000)</f>
        <v/>
      </c>
    </row>
    <row r="957" ht="14.25" customHeight="1">
      <c r="K957">
        <f>IF($A957="","",SUM($E957:$J957))</f>
        <v/>
      </c>
      <c r="M957">
        <f>IF($A957="","",MAX(0,ROUNDUP(DASHBOARD!$F$3-$D957,0)))</f>
        <v/>
      </c>
      <c r="N957">
        <f>IF($A957="","",$K957+(5002-ROW())/10000)</f>
        <v/>
      </c>
    </row>
    <row r="958" ht="14.25" customHeight="1">
      <c r="K958">
        <f>IF($A958="","",SUM($E958:$J958))</f>
        <v/>
      </c>
      <c r="M958">
        <f>IF($A958="","",MAX(0,ROUNDUP(DASHBOARD!$F$3-$D958,0)))</f>
        <v/>
      </c>
      <c r="N958">
        <f>IF($A958="","",$K958+(5002-ROW())/10000)</f>
        <v/>
      </c>
    </row>
    <row r="959" ht="14.25" customHeight="1">
      <c r="K959">
        <f>IF($A959="","",SUM($E959:$J959))</f>
        <v/>
      </c>
      <c r="M959">
        <f>IF($A959="","",MAX(0,ROUNDUP(DASHBOARD!$F$3-$D959,0)))</f>
        <v/>
      </c>
      <c r="N959">
        <f>IF($A959="","",$K959+(5002-ROW())/10000)</f>
        <v/>
      </c>
    </row>
    <row r="960" ht="14.25" customHeight="1">
      <c r="K960">
        <f>IF($A960="","",SUM($E960:$J960))</f>
        <v/>
      </c>
      <c r="M960">
        <f>IF($A960="","",MAX(0,ROUNDUP(DASHBOARD!$F$3-$D960,0)))</f>
        <v/>
      </c>
      <c r="N960">
        <f>IF($A960="","",$K960+(5002-ROW())/10000)</f>
        <v/>
      </c>
    </row>
    <row r="961" ht="14.25" customHeight="1">
      <c r="K961">
        <f>IF($A961="","",SUM($E961:$J961))</f>
        <v/>
      </c>
      <c r="M961">
        <f>IF($A961="","",MAX(0,ROUNDUP(DASHBOARD!$F$3-$D961,0)))</f>
        <v/>
      </c>
      <c r="N961">
        <f>IF($A961="","",$K961+(5002-ROW())/10000)</f>
        <v/>
      </c>
    </row>
    <row r="962" ht="14.25" customHeight="1">
      <c r="K962">
        <f>IF($A962="","",SUM($E962:$J962))</f>
        <v/>
      </c>
      <c r="M962">
        <f>IF($A962="","",MAX(0,ROUNDUP(DASHBOARD!$F$3-$D962,0)))</f>
        <v/>
      </c>
      <c r="N962">
        <f>IF($A962="","",$K962+(5002-ROW())/10000)</f>
        <v/>
      </c>
    </row>
    <row r="963" ht="14.25" customHeight="1">
      <c r="K963">
        <f>IF($A963="","",SUM($E963:$J963))</f>
        <v/>
      </c>
      <c r="M963">
        <f>IF($A963="","",MAX(0,ROUNDUP(DASHBOARD!$F$3-$D963,0)))</f>
        <v/>
      </c>
      <c r="N963">
        <f>IF($A963="","",$K963+(5002-ROW())/10000)</f>
        <v/>
      </c>
    </row>
    <row r="964" ht="14.25" customHeight="1">
      <c r="K964">
        <f>IF($A964="","",SUM($E964:$J964))</f>
        <v/>
      </c>
      <c r="M964">
        <f>IF($A964="","",MAX(0,ROUNDUP(DASHBOARD!$F$3-$D964,0)))</f>
        <v/>
      </c>
      <c r="N964">
        <f>IF($A964="","",$K964+(5002-ROW())/10000)</f>
        <v/>
      </c>
    </row>
    <row r="965" ht="14.25" customHeight="1">
      <c r="K965">
        <f>IF($A965="","",SUM($E965:$J965))</f>
        <v/>
      </c>
      <c r="M965">
        <f>IF($A965="","",MAX(0,ROUNDUP(DASHBOARD!$F$3-$D965,0)))</f>
        <v/>
      </c>
      <c r="N965">
        <f>IF($A965="","",$K965+(5002-ROW())/10000)</f>
        <v/>
      </c>
    </row>
    <row r="966" ht="14.25" customHeight="1">
      <c r="K966">
        <f>IF($A966="","",SUM($E966:$J966))</f>
        <v/>
      </c>
      <c r="M966">
        <f>IF($A966="","",MAX(0,ROUNDUP(DASHBOARD!$F$3-$D966,0)))</f>
        <v/>
      </c>
      <c r="N966">
        <f>IF($A966="","",$K966+(5002-ROW())/10000)</f>
        <v/>
      </c>
    </row>
    <row r="967" ht="14.25" customHeight="1">
      <c r="K967">
        <f>IF($A967="","",SUM($E967:$J967))</f>
        <v/>
      </c>
      <c r="M967">
        <f>IF($A967="","",MAX(0,ROUNDUP(DASHBOARD!$F$3-$D967,0)))</f>
        <v/>
      </c>
      <c r="N967">
        <f>IF($A967="","",$K967+(5002-ROW())/10000)</f>
        <v/>
      </c>
    </row>
    <row r="968" ht="14.25" customHeight="1">
      <c r="K968">
        <f>IF($A968="","",SUM($E968:$J968))</f>
        <v/>
      </c>
      <c r="M968">
        <f>IF($A968="","",MAX(0,ROUNDUP(DASHBOARD!$F$3-$D968,0)))</f>
        <v/>
      </c>
      <c r="N968">
        <f>IF($A968="","",$K968+(5002-ROW())/10000)</f>
        <v/>
      </c>
    </row>
    <row r="969" ht="14.25" customHeight="1">
      <c r="K969">
        <f>IF($A969="","",SUM($E969:$J969))</f>
        <v/>
      </c>
      <c r="M969">
        <f>IF($A969="","",MAX(0,ROUNDUP(DASHBOARD!$F$3-$D969,0)))</f>
        <v/>
      </c>
      <c r="N969">
        <f>IF($A969="","",$K969+(5002-ROW())/10000)</f>
        <v/>
      </c>
    </row>
    <row r="970" ht="14.25" customHeight="1">
      <c r="K970">
        <f>IF($A970="","",SUM($E970:$J970))</f>
        <v/>
      </c>
      <c r="M970">
        <f>IF($A970="","",MAX(0,ROUNDUP(DASHBOARD!$F$3-$D970,0)))</f>
        <v/>
      </c>
      <c r="N970">
        <f>IF($A970="","",$K970+(5002-ROW())/10000)</f>
        <v/>
      </c>
    </row>
    <row r="971" ht="14.25" customHeight="1">
      <c r="K971">
        <f>IF($A971="","",SUM($E971:$J971))</f>
        <v/>
      </c>
      <c r="M971">
        <f>IF($A971="","",MAX(0,ROUNDUP(DASHBOARD!$F$3-$D971,0)))</f>
        <v/>
      </c>
      <c r="N971">
        <f>IF($A971="","",$K971+(5002-ROW())/10000)</f>
        <v/>
      </c>
    </row>
    <row r="972" ht="14.25" customHeight="1">
      <c r="K972">
        <f>IF($A972="","",SUM($E972:$J972))</f>
        <v/>
      </c>
      <c r="M972">
        <f>IF($A972="","",MAX(0,ROUNDUP(DASHBOARD!$F$3-$D972,0)))</f>
        <v/>
      </c>
      <c r="N972">
        <f>IF($A972="","",$K972+(5002-ROW())/10000)</f>
        <v/>
      </c>
    </row>
    <row r="973" ht="14.25" customHeight="1">
      <c r="K973">
        <f>IF($A973="","",SUM($E973:$J973))</f>
        <v/>
      </c>
      <c r="M973">
        <f>IF($A973="","",MAX(0,ROUNDUP(DASHBOARD!$F$3-$D973,0)))</f>
        <v/>
      </c>
      <c r="N973">
        <f>IF($A973="","",$K973+(5002-ROW())/10000)</f>
        <v/>
      </c>
    </row>
    <row r="974" ht="14.25" customHeight="1">
      <c r="K974">
        <f>IF($A974="","",SUM($E974:$J974))</f>
        <v/>
      </c>
      <c r="M974">
        <f>IF($A974="","",MAX(0,ROUNDUP(DASHBOARD!$F$3-$D974,0)))</f>
        <v/>
      </c>
      <c r="N974">
        <f>IF($A974="","",$K974+(5002-ROW())/10000)</f>
        <v/>
      </c>
    </row>
    <row r="975" ht="14.25" customHeight="1">
      <c r="K975">
        <f>IF($A975="","",SUM($E975:$J975))</f>
        <v/>
      </c>
      <c r="M975">
        <f>IF($A975="","",MAX(0,ROUNDUP(DASHBOARD!$F$3-$D975,0)))</f>
        <v/>
      </c>
      <c r="N975">
        <f>IF($A975="","",$K975+(5002-ROW())/10000)</f>
        <v/>
      </c>
    </row>
    <row r="976" ht="14.25" customHeight="1">
      <c r="K976">
        <f>IF($A976="","",SUM($E976:$J976))</f>
        <v/>
      </c>
      <c r="M976">
        <f>IF($A976="","",MAX(0,ROUNDUP(DASHBOARD!$F$3-$D976,0)))</f>
        <v/>
      </c>
      <c r="N976">
        <f>IF($A976="","",$K976+(5002-ROW())/10000)</f>
        <v/>
      </c>
    </row>
    <row r="977" ht="14.25" customHeight="1">
      <c r="K977">
        <f>IF($A977="","",SUM($E977:$J977))</f>
        <v/>
      </c>
      <c r="M977">
        <f>IF($A977="","",MAX(0,ROUNDUP(DASHBOARD!$F$3-$D977,0)))</f>
        <v/>
      </c>
      <c r="N977">
        <f>IF($A977="","",$K977+(5002-ROW())/10000)</f>
        <v/>
      </c>
    </row>
    <row r="978" ht="14.25" customHeight="1">
      <c r="K978">
        <f>IF($A978="","",SUM($E978:$J978))</f>
        <v/>
      </c>
      <c r="M978">
        <f>IF($A978="","",MAX(0,ROUNDUP(DASHBOARD!$F$3-$D978,0)))</f>
        <v/>
      </c>
      <c r="N978">
        <f>IF($A978="","",$K978+(5002-ROW())/10000)</f>
        <v/>
      </c>
    </row>
    <row r="979" ht="14.25" customHeight="1">
      <c r="K979">
        <f>IF($A979="","",SUM($E979:$J979))</f>
        <v/>
      </c>
      <c r="M979">
        <f>IF($A979="","",MAX(0,ROUNDUP(DASHBOARD!$F$3-$D979,0)))</f>
        <v/>
      </c>
      <c r="N979">
        <f>IF($A979="","",$K979+(5002-ROW())/10000)</f>
        <v/>
      </c>
    </row>
    <row r="980" ht="14.25" customHeight="1">
      <c r="K980">
        <f>IF($A980="","",SUM($E980:$J980))</f>
        <v/>
      </c>
      <c r="M980">
        <f>IF($A980="","",MAX(0,ROUNDUP(DASHBOARD!$F$3-$D980,0)))</f>
        <v/>
      </c>
      <c r="N980">
        <f>IF($A980="","",$K980+(5002-ROW())/10000)</f>
        <v/>
      </c>
    </row>
    <row r="981" ht="14.25" customHeight="1">
      <c r="K981">
        <f>IF($A981="","",SUM($E981:$J981))</f>
        <v/>
      </c>
      <c r="M981">
        <f>IF($A981="","",MAX(0,ROUNDUP(DASHBOARD!$F$3-$D981,0)))</f>
        <v/>
      </c>
      <c r="N981">
        <f>IF($A981="","",$K981+(5002-ROW())/10000)</f>
        <v/>
      </c>
    </row>
    <row r="982" ht="14.25" customHeight="1">
      <c r="K982">
        <f>IF($A982="","",SUM($E982:$J982))</f>
        <v/>
      </c>
      <c r="M982">
        <f>IF($A982="","",MAX(0,ROUNDUP(DASHBOARD!$F$3-$D982,0)))</f>
        <v/>
      </c>
      <c r="N982">
        <f>IF($A982="","",$K982+(5002-ROW())/10000)</f>
        <v/>
      </c>
    </row>
    <row r="983" ht="14.25" customHeight="1">
      <c r="K983">
        <f>IF($A983="","",SUM($E983:$J983))</f>
        <v/>
      </c>
      <c r="M983">
        <f>IF($A983="","",MAX(0,ROUNDUP(DASHBOARD!$F$3-$D983,0)))</f>
        <v/>
      </c>
      <c r="N983">
        <f>IF($A983="","",$K983+(5002-ROW())/10000)</f>
        <v/>
      </c>
    </row>
    <row r="984" ht="14.25" customHeight="1">
      <c r="K984">
        <f>IF($A984="","",SUM($E984:$J984))</f>
        <v/>
      </c>
      <c r="M984">
        <f>IF($A984="","",MAX(0,ROUNDUP(DASHBOARD!$F$3-$D984,0)))</f>
        <v/>
      </c>
      <c r="N984">
        <f>IF($A984="","",$K984+(5002-ROW())/10000)</f>
        <v/>
      </c>
    </row>
    <row r="985" ht="14.25" customHeight="1">
      <c r="K985">
        <f>IF($A985="","",SUM($E985:$J985))</f>
        <v/>
      </c>
      <c r="M985">
        <f>IF($A985="","",MAX(0,ROUNDUP(DASHBOARD!$F$3-$D985,0)))</f>
        <v/>
      </c>
      <c r="N985">
        <f>IF($A985="","",$K985+(5002-ROW())/10000)</f>
        <v/>
      </c>
    </row>
    <row r="986" ht="14.25" customHeight="1">
      <c r="K986">
        <f>IF($A986="","",SUM($E986:$J986))</f>
        <v/>
      </c>
      <c r="M986">
        <f>IF($A986="","",MAX(0,ROUNDUP(DASHBOARD!$F$3-$D986,0)))</f>
        <v/>
      </c>
      <c r="N986">
        <f>IF($A986="","",$K986+(5002-ROW())/10000)</f>
        <v/>
      </c>
    </row>
    <row r="987" ht="14.25" customHeight="1">
      <c r="K987">
        <f>IF($A987="","",SUM($E987:$J987))</f>
        <v/>
      </c>
      <c r="M987">
        <f>IF($A987="","",MAX(0,ROUNDUP(DASHBOARD!$F$3-$D987,0)))</f>
        <v/>
      </c>
      <c r="N987">
        <f>IF($A987="","",$K987+(5002-ROW())/10000)</f>
        <v/>
      </c>
    </row>
    <row r="988" ht="14.25" customHeight="1">
      <c r="K988">
        <f>IF($A988="","",SUM($E988:$J988))</f>
        <v/>
      </c>
      <c r="M988">
        <f>IF($A988="","",MAX(0,ROUNDUP(DASHBOARD!$F$3-$D988,0)))</f>
        <v/>
      </c>
      <c r="N988">
        <f>IF($A988="","",$K988+(5002-ROW())/10000)</f>
        <v/>
      </c>
    </row>
    <row r="989" ht="14.25" customHeight="1">
      <c r="K989">
        <f>IF($A989="","",SUM($E989:$J989))</f>
        <v/>
      </c>
      <c r="M989">
        <f>IF($A989="","",MAX(0,ROUNDUP(DASHBOARD!$F$3-$D989,0)))</f>
        <v/>
      </c>
      <c r="N989">
        <f>IF($A989="","",$K989+(5002-ROW())/10000)</f>
        <v/>
      </c>
    </row>
    <row r="990" ht="14.25" customHeight="1">
      <c r="K990">
        <f>IF($A990="","",SUM($E990:$J990))</f>
        <v/>
      </c>
      <c r="M990">
        <f>IF($A990="","",MAX(0,ROUNDUP(DASHBOARD!$F$3-$D990,0)))</f>
        <v/>
      </c>
      <c r="N990">
        <f>IF($A990="","",$K990+(5002-ROW())/10000)</f>
        <v/>
      </c>
    </row>
    <row r="991" ht="14.25" customHeight="1">
      <c r="K991">
        <f>IF($A991="","",SUM($E991:$J991))</f>
        <v/>
      </c>
      <c r="M991">
        <f>IF($A991="","",MAX(0,ROUNDUP(DASHBOARD!$F$3-$D991,0)))</f>
        <v/>
      </c>
      <c r="N991">
        <f>IF($A991="","",$K991+(5002-ROW())/10000)</f>
        <v/>
      </c>
    </row>
    <row r="992" ht="14.25" customHeight="1">
      <c r="K992">
        <f>IF($A992="","",SUM($E992:$J992))</f>
        <v/>
      </c>
      <c r="M992">
        <f>IF($A992="","",MAX(0,ROUNDUP(DASHBOARD!$F$3-$D992,0)))</f>
        <v/>
      </c>
      <c r="N992">
        <f>IF($A992="","",$K992+(5002-ROW())/10000)</f>
        <v/>
      </c>
    </row>
    <row r="993" ht="14.25" customHeight="1">
      <c r="K993">
        <f>IF($A993="","",SUM($E993:$J993))</f>
        <v/>
      </c>
      <c r="M993">
        <f>IF($A993="","",MAX(0,ROUNDUP(DASHBOARD!$F$3-$D993,0)))</f>
        <v/>
      </c>
      <c r="N993">
        <f>IF($A993="","",$K993+(5002-ROW())/10000)</f>
        <v/>
      </c>
    </row>
    <row r="994" ht="14.25" customHeight="1">
      <c r="K994">
        <f>IF($A994="","",SUM($E994:$J994))</f>
        <v/>
      </c>
      <c r="M994">
        <f>IF($A994="","",MAX(0,ROUNDUP(DASHBOARD!$F$3-$D994,0)))</f>
        <v/>
      </c>
      <c r="N994">
        <f>IF($A994="","",$K994+(5002-ROW())/10000)</f>
        <v/>
      </c>
    </row>
    <row r="995" ht="14.25" customHeight="1">
      <c r="K995">
        <f>IF($A995="","",SUM($E995:$J995))</f>
        <v/>
      </c>
      <c r="M995">
        <f>IF($A995="","",MAX(0,ROUNDUP(DASHBOARD!$F$3-$D995,0)))</f>
        <v/>
      </c>
      <c r="N995">
        <f>IF($A995="","",$K995+(5002-ROW())/10000)</f>
        <v/>
      </c>
    </row>
    <row r="996" ht="14.25" customHeight="1">
      <c r="K996">
        <f>IF($A996="","",SUM($E996:$J996))</f>
        <v/>
      </c>
      <c r="M996">
        <f>IF($A996="","",MAX(0,ROUNDUP(DASHBOARD!$F$3-$D996,0)))</f>
        <v/>
      </c>
      <c r="N996">
        <f>IF($A996="","",$K996+(5002-ROW())/10000)</f>
        <v/>
      </c>
    </row>
    <row r="997" ht="14.25" customHeight="1">
      <c r="K997">
        <f>IF($A997="","",SUM($E997:$J997))</f>
        <v/>
      </c>
      <c r="M997">
        <f>IF($A997="","",MAX(0,ROUNDUP(DASHBOARD!$F$3-$D997,0)))</f>
        <v/>
      </c>
      <c r="N997">
        <f>IF($A997="","",$K997+(5002-ROW())/10000)</f>
        <v/>
      </c>
    </row>
    <row r="998" ht="14.25" customHeight="1">
      <c r="K998">
        <f>IF($A998="","",SUM($E998:$J998))</f>
        <v/>
      </c>
      <c r="M998">
        <f>IF($A998="","",MAX(0,ROUNDUP(DASHBOARD!$F$3-$D998,0)))</f>
        <v/>
      </c>
      <c r="N998">
        <f>IF($A998="","",$K998+(5002-ROW())/10000)</f>
        <v/>
      </c>
    </row>
    <row r="999" ht="14.25" customHeight="1">
      <c r="K999">
        <f>IF($A999="","",SUM($E999:$J999))</f>
        <v/>
      </c>
      <c r="M999">
        <f>IF($A999="","",MAX(0,ROUNDUP(DASHBOARD!$F$3-$D999,0)))</f>
        <v/>
      </c>
      <c r="N999">
        <f>IF($A999="","",$K999+(5002-ROW())/10000)</f>
        <v/>
      </c>
    </row>
    <row r="1000" ht="14.25" customHeight="1">
      <c r="K1000">
        <f>IF($A1000="","",SUM($E1000:$J1000))</f>
        <v/>
      </c>
      <c r="M1000">
        <f>IF($A1000="","",MAX(0,ROUNDUP(DASHBOARD!$F$3-$D1000,0)))</f>
        <v/>
      </c>
      <c r="N1000">
        <f>IF($A1000="","",$K1000+(5002-ROW())/10000)</f>
        <v/>
      </c>
    </row>
    <row r="1001">
      <c r="K1001">
        <f>IF($A1001="","",SUM($E1001:$J1001))</f>
        <v/>
      </c>
      <c r="M1001">
        <f>IF($A1001="","",MAX(0,ROUNDUP(DASHBOARD!$F$3-$D1001,0)))</f>
        <v/>
      </c>
      <c r="N1001">
        <f>IF($A1001="","",$K1001+(5002-ROW())/10000)</f>
        <v/>
      </c>
    </row>
    <row r="1002">
      <c r="K1002">
        <f>IF($A1002="","",SUM($E1002:$J1002))</f>
        <v/>
      </c>
      <c r="M1002">
        <f>IF($A1002="","",MAX(0,ROUNDUP(DASHBOARD!$F$3-$D1002,0)))</f>
        <v/>
      </c>
      <c r="N1002">
        <f>IF($A1002="","",$K1002+(5002-ROW())/10000)</f>
        <v/>
      </c>
    </row>
    <row r="1003">
      <c r="K1003">
        <f>IF($A1003="","",SUM($E1003:$J1003))</f>
        <v/>
      </c>
      <c r="M1003">
        <f>IF($A1003="","",MAX(0,ROUNDUP(DASHBOARD!$F$3-$D1003,0)))</f>
        <v/>
      </c>
      <c r="N1003">
        <f>IF($A1003="","",$K1003+(5002-ROW())/10000)</f>
        <v/>
      </c>
    </row>
    <row r="1004">
      <c r="K1004">
        <f>IF($A1004="","",SUM($E1004:$J1004))</f>
        <v/>
      </c>
      <c r="M1004">
        <f>IF($A1004="","",MAX(0,ROUNDUP(DASHBOARD!$F$3-$D1004,0)))</f>
        <v/>
      </c>
      <c r="N1004">
        <f>IF($A1004="","",$K1004+(5002-ROW())/10000)</f>
        <v/>
      </c>
    </row>
    <row r="1005">
      <c r="K1005">
        <f>IF($A1005="","",SUM($E1005:$J1005))</f>
        <v/>
      </c>
      <c r="M1005">
        <f>IF($A1005="","",MAX(0,ROUNDUP(DASHBOARD!$F$3-$D1005,0)))</f>
        <v/>
      </c>
      <c r="N1005">
        <f>IF($A1005="","",$K1005+(5002-ROW())/10000)</f>
        <v/>
      </c>
    </row>
    <row r="1006">
      <c r="K1006">
        <f>IF($A1006="","",SUM($E1006:$J1006))</f>
        <v/>
      </c>
      <c r="M1006">
        <f>IF($A1006="","",MAX(0,ROUNDUP(DASHBOARD!$F$3-$D1006,0)))</f>
        <v/>
      </c>
      <c r="N1006">
        <f>IF($A1006="","",$K1006+(5002-ROW())/10000)</f>
        <v/>
      </c>
    </row>
    <row r="1007">
      <c r="K1007">
        <f>IF($A1007="","",SUM($E1007:$J1007))</f>
        <v/>
      </c>
      <c r="M1007">
        <f>IF($A1007="","",MAX(0,ROUNDUP(DASHBOARD!$F$3-$D1007,0)))</f>
        <v/>
      </c>
      <c r="N1007">
        <f>IF($A1007="","",$K1007+(5002-ROW())/10000)</f>
        <v/>
      </c>
    </row>
    <row r="1008">
      <c r="K1008">
        <f>IF($A1008="","",SUM($E1008:$J1008))</f>
        <v/>
      </c>
      <c r="M1008">
        <f>IF($A1008="","",MAX(0,ROUNDUP(DASHBOARD!$F$3-$D1008,0)))</f>
        <v/>
      </c>
      <c r="N1008">
        <f>IF($A1008="","",$K1008+(5002-ROW())/10000)</f>
        <v/>
      </c>
    </row>
    <row r="1009">
      <c r="K1009">
        <f>IF($A1009="","",SUM($E1009:$J1009))</f>
        <v/>
      </c>
      <c r="M1009">
        <f>IF($A1009="","",MAX(0,ROUNDUP(DASHBOARD!$F$3-$D1009,0)))</f>
        <v/>
      </c>
      <c r="N1009">
        <f>IF($A1009="","",$K1009+(5002-ROW())/10000)</f>
        <v/>
      </c>
    </row>
    <row r="1010">
      <c r="K1010">
        <f>IF($A1010="","",SUM($E1010:$J1010))</f>
        <v/>
      </c>
      <c r="M1010">
        <f>IF($A1010="","",MAX(0,ROUNDUP(DASHBOARD!$F$3-$D1010,0)))</f>
        <v/>
      </c>
      <c r="N1010">
        <f>IF($A1010="","",$K1010+(5002-ROW())/10000)</f>
        <v/>
      </c>
    </row>
    <row r="1011">
      <c r="K1011">
        <f>IF($A1011="","",SUM($E1011:$J1011))</f>
        <v/>
      </c>
      <c r="M1011">
        <f>IF($A1011="","",MAX(0,ROUNDUP(DASHBOARD!$F$3-$D1011,0)))</f>
        <v/>
      </c>
      <c r="N1011">
        <f>IF($A1011="","",$K1011+(5002-ROW())/10000)</f>
        <v/>
      </c>
    </row>
    <row r="1012">
      <c r="K1012">
        <f>IF($A1012="","",SUM($E1012:$J1012))</f>
        <v/>
      </c>
      <c r="M1012">
        <f>IF($A1012="","",MAX(0,ROUNDUP(DASHBOARD!$F$3-$D1012,0)))</f>
        <v/>
      </c>
      <c r="N1012">
        <f>IF($A1012="","",$K1012+(5002-ROW())/10000)</f>
        <v/>
      </c>
    </row>
    <row r="1013">
      <c r="K1013">
        <f>IF($A1013="","",SUM($E1013:$J1013))</f>
        <v/>
      </c>
      <c r="M1013">
        <f>IF($A1013="","",MAX(0,ROUNDUP(DASHBOARD!$F$3-$D1013,0)))</f>
        <v/>
      </c>
      <c r="N1013">
        <f>IF($A1013="","",$K1013+(5002-ROW())/10000)</f>
        <v/>
      </c>
    </row>
    <row r="1014">
      <c r="K1014">
        <f>IF($A1014="","",SUM($E1014:$J1014))</f>
        <v/>
      </c>
      <c r="M1014">
        <f>IF($A1014="","",MAX(0,ROUNDUP(DASHBOARD!$F$3-$D1014,0)))</f>
        <v/>
      </c>
      <c r="N1014">
        <f>IF($A1014="","",$K1014+(5002-ROW())/10000)</f>
        <v/>
      </c>
    </row>
    <row r="1015">
      <c r="K1015">
        <f>IF($A1015="","",SUM($E1015:$J1015))</f>
        <v/>
      </c>
      <c r="M1015">
        <f>IF($A1015="","",MAX(0,ROUNDUP(DASHBOARD!$F$3-$D1015,0)))</f>
        <v/>
      </c>
      <c r="N1015">
        <f>IF($A1015="","",$K1015+(5002-ROW())/10000)</f>
        <v/>
      </c>
    </row>
    <row r="1016">
      <c r="K1016">
        <f>IF($A1016="","",SUM($E1016:$J1016))</f>
        <v/>
      </c>
      <c r="M1016">
        <f>IF($A1016="","",MAX(0,ROUNDUP(DASHBOARD!$F$3-$D1016,0)))</f>
        <v/>
      </c>
      <c r="N1016">
        <f>IF($A1016="","",$K1016+(5002-ROW())/10000)</f>
        <v/>
      </c>
    </row>
    <row r="1017">
      <c r="K1017">
        <f>IF($A1017="","",SUM($E1017:$J1017))</f>
        <v/>
      </c>
      <c r="M1017">
        <f>IF($A1017="","",MAX(0,ROUNDUP(DASHBOARD!$F$3-$D1017,0)))</f>
        <v/>
      </c>
      <c r="N1017">
        <f>IF($A1017="","",$K1017+(5002-ROW())/10000)</f>
        <v/>
      </c>
    </row>
    <row r="1018">
      <c r="K1018">
        <f>IF($A1018="","",SUM($E1018:$J1018))</f>
        <v/>
      </c>
      <c r="M1018">
        <f>IF($A1018="","",MAX(0,ROUNDUP(DASHBOARD!$F$3-$D1018,0)))</f>
        <v/>
      </c>
      <c r="N1018">
        <f>IF($A1018="","",$K1018+(5002-ROW())/10000)</f>
        <v/>
      </c>
    </row>
    <row r="1019">
      <c r="K1019">
        <f>IF($A1019="","",SUM($E1019:$J1019))</f>
        <v/>
      </c>
      <c r="M1019">
        <f>IF($A1019="","",MAX(0,ROUNDUP(DASHBOARD!$F$3-$D1019,0)))</f>
        <v/>
      </c>
      <c r="N1019">
        <f>IF($A1019="","",$K1019+(5002-ROW())/10000)</f>
        <v/>
      </c>
    </row>
    <row r="1020">
      <c r="K1020">
        <f>IF($A1020="","",SUM($E1020:$J1020))</f>
        <v/>
      </c>
      <c r="M1020">
        <f>IF($A1020="","",MAX(0,ROUNDUP(DASHBOARD!$F$3-$D1020,0)))</f>
        <v/>
      </c>
      <c r="N1020">
        <f>IF($A1020="","",$K1020+(5002-ROW())/10000)</f>
        <v/>
      </c>
    </row>
    <row r="1021">
      <c r="K1021">
        <f>IF($A1021="","",SUM($E1021:$J1021))</f>
        <v/>
      </c>
      <c r="M1021">
        <f>IF($A1021="","",MAX(0,ROUNDUP(DASHBOARD!$F$3-$D1021,0)))</f>
        <v/>
      </c>
      <c r="N1021">
        <f>IF($A1021="","",$K1021+(5002-ROW())/10000)</f>
        <v/>
      </c>
    </row>
    <row r="1022">
      <c r="K1022">
        <f>IF($A1022="","",SUM($E1022:$J1022))</f>
        <v/>
      </c>
      <c r="M1022">
        <f>IF($A1022="","",MAX(0,ROUNDUP(DASHBOARD!$F$3-$D1022,0)))</f>
        <v/>
      </c>
      <c r="N1022">
        <f>IF($A1022="","",$K1022+(5002-ROW())/10000)</f>
        <v/>
      </c>
    </row>
    <row r="1023">
      <c r="K1023">
        <f>IF($A1023="","",SUM($E1023:$J1023))</f>
        <v/>
      </c>
      <c r="M1023">
        <f>IF($A1023="","",MAX(0,ROUNDUP(DASHBOARD!$F$3-$D1023,0)))</f>
        <v/>
      </c>
      <c r="N1023">
        <f>IF($A1023="","",$K1023+(5002-ROW())/10000)</f>
        <v/>
      </c>
    </row>
    <row r="1024">
      <c r="K1024">
        <f>IF($A1024="","",SUM($E1024:$J1024))</f>
        <v/>
      </c>
      <c r="M1024">
        <f>IF($A1024="","",MAX(0,ROUNDUP(DASHBOARD!$F$3-$D1024,0)))</f>
        <v/>
      </c>
      <c r="N1024">
        <f>IF($A1024="","",$K1024+(5002-ROW())/10000)</f>
        <v/>
      </c>
    </row>
    <row r="1025">
      <c r="K1025">
        <f>IF($A1025="","",SUM($E1025:$J1025))</f>
        <v/>
      </c>
      <c r="M1025">
        <f>IF($A1025="","",MAX(0,ROUNDUP(DASHBOARD!$F$3-$D1025,0)))</f>
        <v/>
      </c>
      <c r="N1025">
        <f>IF($A1025="","",$K1025+(5002-ROW())/10000)</f>
        <v/>
      </c>
    </row>
    <row r="1026">
      <c r="K1026">
        <f>IF($A1026="","",SUM($E1026:$J1026))</f>
        <v/>
      </c>
      <c r="M1026">
        <f>IF($A1026="","",MAX(0,ROUNDUP(DASHBOARD!$F$3-$D1026,0)))</f>
        <v/>
      </c>
      <c r="N1026">
        <f>IF($A1026="","",$K1026+(5002-ROW())/10000)</f>
        <v/>
      </c>
    </row>
    <row r="1027">
      <c r="K1027">
        <f>IF($A1027="","",SUM($E1027:$J1027))</f>
        <v/>
      </c>
      <c r="M1027">
        <f>IF($A1027="","",MAX(0,ROUNDUP(DASHBOARD!$F$3-$D1027,0)))</f>
        <v/>
      </c>
      <c r="N1027">
        <f>IF($A1027="","",$K1027+(5002-ROW())/10000)</f>
        <v/>
      </c>
    </row>
    <row r="1028">
      <c r="K1028">
        <f>IF($A1028="","",SUM($E1028:$J1028))</f>
        <v/>
      </c>
      <c r="M1028">
        <f>IF($A1028="","",MAX(0,ROUNDUP(DASHBOARD!$F$3-$D1028,0)))</f>
        <v/>
      </c>
      <c r="N1028">
        <f>IF($A1028="","",$K1028+(5002-ROW())/10000)</f>
        <v/>
      </c>
    </row>
    <row r="1029">
      <c r="K1029">
        <f>IF($A1029="","",SUM($E1029:$J1029))</f>
        <v/>
      </c>
      <c r="M1029">
        <f>IF($A1029="","",MAX(0,ROUNDUP(DASHBOARD!$F$3-$D1029,0)))</f>
        <v/>
      </c>
      <c r="N1029">
        <f>IF($A1029="","",$K1029+(5002-ROW())/10000)</f>
        <v/>
      </c>
    </row>
    <row r="1030">
      <c r="K1030">
        <f>IF($A1030="","",SUM($E1030:$J1030))</f>
        <v/>
      </c>
      <c r="M1030">
        <f>IF($A1030="","",MAX(0,ROUNDUP(DASHBOARD!$F$3-$D1030,0)))</f>
        <v/>
      </c>
      <c r="N1030">
        <f>IF($A1030="","",$K1030+(5002-ROW())/10000)</f>
        <v/>
      </c>
    </row>
    <row r="1031">
      <c r="K1031">
        <f>IF($A1031="","",SUM($E1031:$J1031))</f>
        <v/>
      </c>
      <c r="M1031">
        <f>IF($A1031="","",MAX(0,ROUNDUP(DASHBOARD!$F$3-$D1031,0)))</f>
        <v/>
      </c>
      <c r="N1031">
        <f>IF($A1031="","",$K1031+(5002-ROW())/10000)</f>
        <v/>
      </c>
    </row>
    <row r="1032">
      <c r="K1032">
        <f>IF($A1032="","",SUM($E1032:$J1032))</f>
        <v/>
      </c>
      <c r="M1032">
        <f>IF($A1032="","",MAX(0,ROUNDUP(DASHBOARD!$F$3-$D1032,0)))</f>
        <v/>
      </c>
      <c r="N1032">
        <f>IF($A1032="","",$K1032+(5002-ROW())/10000)</f>
        <v/>
      </c>
    </row>
    <row r="1033">
      <c r="K1033">
        <f>IF($A1033="","",SUM($E1033:$J1033))</f>
        <v/>
      </c>
      <c r="M1033">
        <f>IF($A1033="","",MAX(0,ROUNDUP(DASHBOARD!$F$3-$D1033,0)))</f>
        <v/>
      </c>
      <c r="N1033">
        <f>IF($A1033="","",$K1033+(5002-ROW())/10000)</f>
        <v/>
      </c>
    </row>
    <row r="1034">
      <c r="K1034">
        <f>IF($A1034="","",SUM($E1034:$J1034))</f>
        <v/>
      </c>
      <c r="M1034">
        <f>IF($A1034="","",MAX(0,ROUNDUP(DASHBOARD!$F$3-$D1034,0)))</f>
        <v/>
      </c>
      <c r="N1034">
        <f>IF($A1034="","",$K1034+(5002-ROW())/10000)</f>
        <v/>
      </c>
    </row>
    <row r="1035">
      <c r="K1035">
        <f>IF($A1035="","",SUM($E1035:$J1035))</f>
        <v/>
      </c>
      <c r="M1035">
        <f>IF($A1035="","",MAX(0,ROUNDUP(DASHBOARD!$F$3-$D1035,0)))</f>
        <v/>
      </c>
      <c r="N1035">
        <f>IF($A1035="","",$K1035+(5002-ROW())/10000)</f>
        <v/>
      </c>
    </row>
    <row r="1036">
      <c r="K1036">
        <f>IF($A1036="","",SUM($E1036:$J1036))</f>
        <v/>
      </c>
      <c r="M1036">
        <f>IF($A1036="","",MAX(0,ROUNDUP(DASHBOARD!$F$3-$D1036,0)))</f>
        <v/>
      </c>
      <c r="N1036">
        <f>IF($A1036="","",$K1036+(5002-ROW())/10000)</f>
        <v/>
      </c>
    </row>
    <row r="1037">
      <c r="K1037">
        <f>IF($A1037="","",SUM($E1037:$J1037))</f>
        <v/>
      </c>
      <c r="M1037">
        <f>IF($A1037="","",MAX(0,ROUNDUP(DASHBOARD!$F$3-$D1037,0)))</f>
        <v/>
      </c>
      <c r="N1037">
        <f>IF($A1037="","",$K1037+(5002-ROW())/10000)</f>
        <v/>
      </c>
    </row>
    <row r="1038">
      <c r="K1038">
        <f>IF($A1038="","",SUM($E1038:$J1038))</f>
        <v/>
      </c>
      <c r="M1038">
        <f>IF($A1038="","",MAX(0,ROUNDUP(DASHBOARD!$F$3-$D1038,0)))</f>
        <v/>
      </c>
      <c r="N1038">
        <f>IF($A1038="","",$K1038+(5002-ROW())/10000)</f>
        <v/>
      </c>
    </row>
    <row r="1039">
      <c r="K1039">
        <f>IF($A1039="","",SUM($E1039:$J1039))</f>
        <v/>
      </c>
      <c r="M1039">
        <f>IF($A1039="","",MAX(0,ROUNDUP(DASHBOARD!$F$3-$D1039,0)))</f>
        <v/>
      </c>
      <c r="N1039">
        <f>IF($A1039="","",$K1039+(5002-ROW())/10000)</f>
        <v/>
      </c>
    </row>
    <row r="1040">
      <c r="K1040">
        <f>IF($A1040="","",SUM($E1040:$J1040))</f>
        <v/>
      </c>
      <c r="M1040">
        <f>IF($A1040="","",MAX(0,ROUNDUP(DASHBOARD!$F$3-$D1040,0)))</f>
        <v/>
      </c>
      <c r="N1040">
        <f>IF($A1040="","",$K1040+(5002-ROW())/10000)</f>
        <v/>
      </c>
    </row>
    <row r="1041">
      <c r="K1041">
        <f>IF($A1041="","",SUM($E1041:$J1041))</f>
        <v/>
      </c>
      <c r="M1041">
        <f>IF($A1041="","",MAX(0,ROUNDUP(DASHBOARD!$F$3-$D1041,0)))</f>
        <v/>
      </c>
      <c r="N1041">
        <f>IF($A1041="","",$K1041+(5002-ROW())/10000)</f>
        <v/>
      </c>
    </row>
    <row r="1042">
      <c r="K1042">
        <f>IF($A1042="","",SUM($E1042:$J1042))</f>
        <v/>
      </c>
      <c r="M1042">
        <f>IF($A1042="","",MAX(0,ROUNDUP(DASHBOARD!$F$3-$D1042,0)))</f>
        <v/>
      </c>
      <c r="N1042">
        <f>IF($A1042="","",$K1042+(5002-ROW())/10000)</f>
        <v/>
      </c>
    </row>
    <row r="1043">
      <c r="K1043">
        <f>IF($A1043="","",SUM($E1043:$J1043))</f>
        <v/>
      </c>
      <c r="M1043">
        <f>IF($A1043="","",MAX(0,ROUNDUP(DASHBOARD!$F$3-$D1043,0)))</f>
        <v/>
      </c>
      <c r="N1043">
        <f>IF($A1043="","",$K1043+(5002-ROW())/10000)</f>
        <v/>
      </c>
    </row>
    <row r="1044">
      <c r="K1044">
        <f>IF($A1044="","",SUM($E1044:$J1044))</f>
        <v/>
      </c>
      <c r="M1044">
        <f>IF($A1044="","",MAX(0,ROUNDUP(DASHBOARD!$F$3-$D1044,0)))</f>
        <v/>
      </c>
      <c r="N1044">
        <f>IF($A1044="","",$K1044+(5002-ROW())/10000)</f>
        <v/>
      </c>
    </row>
    <row r="1045">
      <c r="K1045">
        <f>IF($A1045="","",SUM($E1045:$J1045))</f>
        <v/>
      </c>
      <c r="M1045">
        <f>IF($A1045="","",MAX(0,ROUNDUP(DASHBOARD!$F$3-$D1045,0)))</f>
        <v/>
      </c>
      <c r="N1045">
        <f>IF($A1045="","",$K1045+(5002-ROW())/10000)</f>
        <v/>
      </c>
    </row>
    <row r="1046">
      <c r="K1046">
        <f>IF($A1046="","",SUM($E1046:$J1046))</f>
        <v/>
      </c>
      <c r="M1046">
        <f>IF($A1046="","",MAX(0,ROUNDUP(DASHBOARD!$F$3-$D1046,0)))</f>
        <v/>
      </c>
      <c r="N1046">
        <f>IF($A1046="","",$K1046+(5002-ROW())/10000)</f>
        <v/>
      </c>
    </row>
    <row r="1047">
      <c r="K1047">
        <f>IF($A1047="","",SUM($E1047:$J1047))</f>
        <v/>
      </c>
      <c r="M1047">
        <f>IF($A1047="","",MAX(0,ROUNDUP(DASHBOARD!$F$3-$D1047,0)))</f>
        <v/>
      </c>
      <c r="N1047">
        <f>IF($A1047="","",$K1047+(5002-ROW())/10000)</f>
        <v/>
      </c>
    </row>
    <row r="1048">
      <c r="K1048">
        <f>IF($A1048="","",SUM($E1048:$J1048))</f>
        <v/>
      </c>
      <c r="M1048">
        <f>IF($A1048="","",MAX(0,ROUNDUP(DASHBOARD!$F$3-$D1048,0)))</f>
        <v/>
      </c>
      <c r="N1048">
        <f>IF($A1048="","",$K1048+(5002-ROW())/10000)</f>
        <v/>
      </c>
    </row>
    <row r="1049">
      <c r="K1049">
        <f>IF($A1049="","",SUM($E1049:$J1049))</f>
        <v/>
      </c>
      <c r="M1049">
        <f>IF($A1049="","",MAX(0,ROUNDUP(DASHBOARD!$F$3-$D1049,0)))</f>
        <v/>
      </c>
      <c r="N1049">
        <f>IF($A1049="","",$K1049+(5002-ROW())/10000)</f>
        <v/>
      </c>
    </row>
    <row r="1050">
      <c r="K1050">
        <f>IF($A1050="","",SUM($E1050:$J1050))</f>
        <v/>
      </c>
      <c r="M1050">
        <f>IF($A1050="","",MAX(0,ROUNDUP(DASHBOARD!$F$3-$D1050,0)))</f>
        <v/>
      </c>
      <c r="N1050">
        <f>IF($A1050="","",$K1050+(5002-ROW())/10000)</f>
        <v/>
      </c>
    </row>
    <row r="1051">
      <c r="K1051">
        <f>IF($A1051="","",SUM($E1051:$J1051))</f>
        <v/>
      </c>
      <c r="M1051">
        <f>IF($A1051="","",MAX(0,ROUNDUP(DASHBOARD!$F$3-$D1051,0)))</f>
        <v/>
      </c>
      <c r="N1051">
        <f>IF($A1051="","",$K1051+(5002-ROW())/10000)</f>
        <v/>
      </c>
    </row>
    <row r="1052">
      <c r="K1052">
        <f>IF($A1052="","",SUM($E1052:$J1052))</f>
        <v/>
      </c>
      <c r="M1052">
        <f>IF($A1052="","",MAX(0,ROUNDUP(DASHBOARD!$F$3-$D1052,0)))</f>
        <v/>
      </c>
      <c r="N1052">
        <f>IF($A1052="","",$K1052+(5002-ROW())/10000)</f>
        <v/>
      </c>
    </row>
    <row r="1053">
      <c r="K1053">
        <f>IF($A1053="","",SUM($E1053:$J1053))</f>
        <v/>
      </c>
      <c r="M1053">
        <f>IF($A1053="","",MAX(0,ROUNDUP(DASHBOARD!$F$3-$D1053,0)))</f>
        <v/>
      </c>
      <c r="N1053">
        <f>IF($A1053="","",$K1053+(5002-ROW())/10000)</f>
        <v/>
      </c>
    </row>
    <row r="1054">
      <c r="K1054">
        <f>IF($A1054="","",SUM($E1054:$J1054))</f>
        <v/>
      </c>
      <c r="M1054">
        <f>IF($A1054="","",MAX(0,ROUNDUP(DASHBOARD!$F$3-$D1054,0)))</f>
        <v/>
      </c>
      <c r="N1054">
        <f>IF($A1054="","",$K1054+(5002-ROW())/10000)</f>
        <v/>
      </c>
    </row>
    <row r="1055">
      <c r="K1055">
        <f>IF($A1055="","",SUM($E1055:$J1055))</f>
        <v/>
      </c>
      <c r="M1055">
        <f>IF($A1055="","",MAX(0,ROUNDUP(DASHBOARD!$F$3-$D1055,0)))</f>
        <v/>
      </c>
      <c r="N1055">
        <f>IF($A1055="","",$K1055+(5002-ROW())/10000)</f>
        <v/>
      </c>
    </row>
    <row r="1056">
      <c r="K1056">
        <f>IF($A1056="","",SUM($E1056:$J1056))</f>
        <v/>
      </c>
      <c r="M1056">
        <f>IF($A1056="","",MAX(0,ROUNDUP(DASHBOARD!$F$3-$D1056,0)))</f>
        <v/>
      </c>
      <c r="N1056">
        <f>IF($A1056="","",$K1056+(5002-ROW())/10000)</f>
        <v/>
      </c>
    </row>
    <row r="1057">
      <c r="K1057">
        <f>IF($A1057="","",SUM($E1057:$J1057))</f>
        <v/>
      </c>
      <c r="M1057">
        <f>IF($A1057="","",MAX(0,ROUNDUP(DASHBOARD!$F$3-$D1057,0)))</f>
        <v/>
      </c>
      <c r="N1057">
        <f>IF($A1057="","",$K1057+(5002-ROW())/10000)</f>
        <v/>
      </c>
    </row>
    <row r="1058">
      <c r="K1058">
        <f>IF($A1058="","",SUM($E1058:$J1058))</f>
        <v/>
      </c>
      <c r="M1058">
        <f>IF($A1058="","",MAX(0,ROUNDUP(DASHBOARD!$F$3-$D1058,0)))</f>
        <v/>
      </c>
      <c r="N1058">
        <f>IF($A1058="","",$K1058+(5002-ROW())/10000)</f>
        <v/>
      </c>
    </row>
    <row r="1059">
      <c r="K1059">
        <f>IF($A1059="","",SUM($E1059:$J1059))</f>
        <v/>
      </c>
      <c r="M1059">
        <f>IF($A1059="","",MAX(0,ROUNDUP(DASHBOARD!$F$3-$D1059,0)))</f>
        <v/>
      </c>
      <c r="N1059">
        <f>IF($A1059="","",$K1059+(5002-ROW())/10000)</f>
        <v/>
      </c>
    </row>
    <row r="1060">
      <c r="K1060">
        <f>IF($A1060="","",SUM($E1060:$J1060))</f>
        <v/>
      </c>
      <c r="M1060">
        <f>IF($A1060="","",MAX(0,ROUNDUP(DASHBOARD!$F$3-$D1060,0)))</f>
        <v/>
      </c>
      <c r="N1060">
        <f>IF($A1060="","",$K1060+(5002-ROW())/10000)</f>
        <v/>
      </c>
    </row>
    <row r="1061">
      <c r="K1061">
        <f>IF($A1061="","",SUM($E1061:$J1061))</f>
        <v/>
      </c>
      <c r="M1061">
        <f>IF($A1061="","",MAX(0,ROUNDUP(DASHBOARD!$F$3-$D1061,0)))</f>
        <v/>
      </c>
      <c r="N1061">
        <f>IF($A1061="","",$K1061+(5002-ROW())/10000)</f>
        <v/>
      </c>
    </row>
    <row r="1062">
      <c r="K1062">
        <f>IF($A1062="","",SUM($E1062:$J1062))</f>
        <v/>
      </c>
      <c r="M1062">
        <f>IF($A1062="","",MAX(0,ROUNDUP(DASHBOARD!$F$3-$D1062,0)))</f>
        <v/>
      </c>
      <c r="N1062">
        <f>IF($A1062="","",$K1062+(5002-ROW())/10000)</f>
        <v/>
      </c>
    </row>
    <row r="1063">
      <c r="K1063">
        <f>IF($A1063="","",SUM($E1063:$J1063))</f>
        <v/>
      </c>
      <c r="M1063">
        <f>IF($A1063="","",MAX(0,ROUNDUP(DASHBOARD!$F$3-$D1063,0)))</f>
        <v/>
      </c>
      <c r="N1063">
        <f>IF($A1063="","",$K1063+(5002-ROW())/10000)</f>
        <v/>
      </c>
    </row>
    <row r="1064">
      <c r="K1064">
        <f>IF($A1064="","",SUM($E1064:$J1064))</f>
        <v/>
      </c>
      <c r="M1064">
        <f>IF($A1064="","",MAX(0,ROUNDUP(DASHBOARD!$F$3-$D1064,0)))</f>
        <v/>
      </c>
      <c r="N1064">
        <f>IF($A1064="","",$K1064+(5002-ROW())/10000)</f>
        <v/>
      </c>
    </row>
    <row r="1065">
      <c r="K1065">
        <f>IF($A1065="","",SUM($E1065:$J1065))</f>
        <v/>
      </c>
      <c r="M1065">
        <f>IF($A1065="","",MAX(0,ROUNDUP(DASHBOARD!$F$3-$D1065,0)))</f>
        <v/>
      </c>
      <c r="N1065">
        <f>IF($A1065="","",$K1065+(5002-ROW())/10000)</f>
        <v/>
      </c>
    </row>
    <row r="1066">
      <c r="K1066">
        <f>IF($A1066="","",SUM($E1066:$J1066))</f>
        <v/>
      </c>
      <c r="M1066">
        <f>IF($A1066="","",MAX(0,ROUNDUP(DASHBOARD!$F$3-$D1066,0)))</f>
        <v/>
      </c>
      <c r="N1066">
        <f>IF($A1066="","",$K1066+(5002-ROW())/10000)</f>
        <v/>
      </c>
    </row>
    <row r="1067">
      <c r="K1067">
        <f>IF($A1067="","",SUM($E1067:$J1067))</f>
        <v/>
      </c>
      <c r="M1067">
        <f>IF($A1067="","",MAX(0,ROUNDUP(DASHBOARD!$F$3-$D1067,0)))</f>
        <v/>
      </c>
      <c r="N1067">
        <f>IF($A1067="","",$K1067+(5002-ROW())/10000)</f>
        <v/>
      </c>
    </row>
    <row r="1068">
      <c r="K1068">
        <f>IF($A1068="","",SUM($E1068:$J1068))</f>
        <v/>
      </c>
      <c r="M1068">
        <f>IF($A1068="","",MAX(0,ROUNDUP(DASHBOARD!$F$3-$D1068,0)))</f>
        <v/>
      </c>
      <c r="N1068">
        <f>IF($A1068="","",$K1068+(5002-ROW())/10000)</f>
        <v/>
      </c>
    </row>
    <row r="1069">
      <c r="K1069">
        <f>IF($A1069="","",SUM($E1069:$J1069))</f>
        <v/>
      </c>
      <c r="M1069">
        <f>IF($A1069="","",MAX(0,ROUNDUP(DASHBOARD!$F$3-$D1069,0)))</f>
        <v/>
      </c>
      <c r="N1069">
        <f>IF($A1069="","",$K1069+(5002-ROW())/10000)</f>
        <v/>
      </c>
    </row>
    <row r="1070">
      <c r="K1070">
        <f>IF($A1070="","",SUM($E1070:$J1070))</f>
        <v/>
      </c>
      <c r="M1070">
        <f>IF($A1070="","",MAX(0,ROUNDUP(DASHBOARD!$F$3-$D1070,0)))</f>
        <v/>
      </c>
      <c r="N1070">
        <f>IF($A1070="","",$K1070+(5002-ROW())/10000)</f>
        <v/>
      </c>
    </row>
    <row r="1071">
      <c r="K1071">
        <f>IF($A1071="","",SUM($E1071:$J1071))</f>
        <v/>
      </c>
      <c r="M1071">
        <f>IF($A1071="","",MAX(0,ROUNDUP(DASHBOARD!$F$3-$D1071,0)))</f>
        <v/>
      </c>
      <c r="N1071">
        <f>IF($A1071="","",$K1071+(5002-ROW())/10000)</f>
        <v/>
      </c>
    </row>
    <row r="1072">
      <c r="K1072">
        <f>IF($A1072="","",SUM($E1072:$J1072))</f>
        <v/>
      </c>
      <c r="M1072">
        <f>IF($A1072="","",MAX(0,ROUNDUP(DASHBOARD!$F$3-$D1072,0)))</f>
        <v/>
      </c>
      <c r="N1072">
        <f>IF($A1072="","",$K1072+(5002-ROW())/10000)</f>
        <v/>
      </c>
    </row>
    <row r="1073">
      <c r="K1073">
        <f>IF($A1073="","",SUM($E1073:$J1073))</f>
        <v/>
      </c>
      <c r="M1073">
        <f>IF($A1073="","",MAX(0,ROUNDUP(DASHBOARD!$F$3-$D1073,0)))</f>
        <v/>
      </c>
      <c r="N1073">
        <f>IF($A1073="","",$K1073+(5002-ROW())/10000)</f>
        <v/>
      </c>
    </row>
    <row r="1074">
      <c r="K1074">
        <f>IF($A1074="","",SUM($E1074:$J1074))</f>
        <v/>
      </c>
      <c r="M1074">
        <f>IF($A1074="","",MAX(0,ROUNDUP(DASHBOARD!$F$3-$D1074,0)))</f>
        <v/>
      </c>
      <c r="N1074">
        <f>IF($A1074="","",$K1074+(5002-ROW())/10000)</f>
        <v/>
      </c>
    </row>
    <row r="1075">
      <c r="K1075">
        <f>IF($A1075="","",SUM($E1075:$J1075))</f>
        <v/>
      </c>
      <c r="M1075">
        <f>IF($A1075="","",MAX(0,ROUNDUP(DASHBOARD!$F$3-$D1075,0)))</f>
        <v/>
      </c>
      <c r="N1075">
        <f>IF($A1075="","",$K1075+(5002-ROW())/10000)</f>
        <v/>
      </c>
    </row>
    <row r="1076">
      <c r="K1076">
        <f>IF($A1076="","",SUM($E1076:$J1076))</f>
        <v/>
      </c>
      <c r="M1076">
        <f>IF($A1076="","",MAX(0,ROUNDUP(DASHBOARD!$F$3-$D1076,0)))</f>
        <v/>
      </c>
      <c r="N1076">
        <f>IF($A1076="","",$K1076+(5002-ROW())/10000)</f>
        <v/>
      </c>
    </row>
    <row r="1077">
      <c r="K1077">
        <f>IF($A1077="","",SUM($E1077:$J1077))</f>
        <v/>
      </c>
      <c r="M1077">
        <f>IF($A1077="","",MAX(0,ROUNDUP(DASHBOARD!$F$3-$D1077,0)))</f>
        <v/>
      </c>
      <c r="N1077">
        <f>IF($A1077="","",$K1077+(5002-ROW())/10000)</f>
        <v/>
      </c>
    </row>
    <row r="1078">
      <c r="K1078">
        <f>IF($A1078="","",SUM($E1078:$J1078))</f>
        <v/>
      </c>
      <c r="M1078">
        <f>IF($A1078="","",MAX(0,ROUNDUP(DASHBOARD!$F$3-$D1078,0)))</f>
        <v/>
      </c>
      <c r="N1078">
        <f>IF($A1078="","",$K1078+(5002-ROW())/10000)</f>
        <v/>
      </c>
    </row>
    <row r="1079">
      <c r="K1079">
        <f>IF($A1079="","",SUM($E1079:$J1079))</f>
        <v/>
      </c>
      <c r="M1079">
        <f>IF($A1079="","",MAX(0,ROUNDUP(DASHBOARD!$F$3-$D1079,0)))</f>
        <v/>
      </c>
      <c r="N1079">
        <f>IF($A1079="","",$K1079+(5002-ROW())/10000)</f>
        <v/>
      </c>
    </row>
    <row r="1080">
      <c r="K1080">
        <f>IF($A1080="","",SUM($E1080:$J1080))</f>
        <v/>
      </c>
      <c r="M1080">
        <f>IF($A1080="","",MAX(0,ROUNDUP(DASHBOARD!$F$3-$D1080,0)))</f>
        <v/>
      </c>
      <c r="N1080">
        <f>IF($A1080="","",$K1080+(5002-ROW())/10000)</f>
        <v/>
      </c>
    </row>
    <row r="1081">
      <c r="K1081">
        <f>IF($A1081="","",SUM($E1081:$J1081))</f>
        <v/>
      </c>
      <c r="M1081">
        <f>IF($A1081="","",MAX(0,ROUNDUP(DASHBOARD!$F$3-$D1081,0)))</f>
        <v/>
      </c>
      <c r="N1081">
        <f>IF($A1081="","",$K1081+(5002-ROW())/10000)</f>
        <v/>
      </c>
    </row>
    <row r="1082">
      <c r="K1082">
        <f>IF($A1082="","",SUM($E1082:$J1082))</f>
        <v/>
      </c>
      <c r="M1082">
        <f>IF($A1082="","",MAX(0,ROUNDUP(DASHBOARD!$F$3-$D1082,0)))</f>
        <v/>
      </c>
      <c r="N1082">
        <f>IF($A1082="","",$K1082+(5002-ROW())/10000)</f>
        <v/>
      </c>
    </row>
    <row r="1083">
      <c r="K1083">
        <f>IF($A1083="","",SUM($E1083:$J1083))</f>
        <v/>
      </c>
      <c r="M1083">
        <f>IF($A1083="","",MAX(0,ROUNDUP(DASHBOARD!$F$3-$D1083,0)))</f>
        <v/>
      </c>
      <c r="N1083">
        <f>IF($A1083="","",$K1083+(5002-ROW())/10000)</f>
        <v/>
      </c>
    </row>
    <row r="1084">
      <c r="K1084">
        <f>IF($A1084="","",SUM($E1084:$J1084))</f>
        <v/>
      </c>
      <c r="M1084">
        <f>IF($A1084="","",MAX(0,ROUNDUP(DASHBOARD!$F$3-$D1084,0)))</f>
        <v/>
      </c>
      <c r="N1084">
        <f>IF($A1084="","",$K1084+(5002-ROW())/10000)</f>
        <v/>
      </c>
    </row>
    <row r="1085">
      <c r="K1085">
        <f>IF($A1085="","",SUM($E1085:$J1085))</f>
        <v/>
      </c>
      <c r="M1085">
        <f>IF($A1085="","",MAX(0,ROUNDUP(DASHBOARD!$F$3-$D1085,0)))</f>
        <v/>
      </c>
      <c r="N1085">
        <f>IF($A1085="","",$K1085+(5002-ROW())/10000)</f>
        <v/>
      </c>
    </row>
    <row r="1086">
      <c r="K1086">
        <f>IF($A1086="","",SUM($E1086:$J1086))</f>
        <v/>
      </c>
      <c r="M1086">
        <f>IF($A1086="","",MAX(0,ROUNDUP(DASHBOARD!$F$3-$D1086,0)))</f>
        <v/>
      </c>
      <c r="N1086">
        <f>IF($A1086="","",$K1086+(5002-ROW())/10000)</f>
        <v/>
      </c>
    </row>
    <row r="1087">
      <c r="K1087">
        <f>IF($A1087="","",SUM($E1087:$J1087))</f>
        <v/>
      </c>
      <c r="M1087">
        <f>IF($A1087="","",MAX(0,ROUNDUP(DASHBOARD!$F$3-$D1087,0)))</f>
        <v/>
      </c>
      <c r="N1087">
        <f>IF($A1087="","",$K1087+(5002-ROW())/10000)</f>
        <v/>
      </c>
    </row>
    <row r="1088">
      <c r="K1088">
        <f>IF($A1088="","",SUM($E1088:$J1088))</f>
        <v/>
      </c>
      <c r="M1088">
        <f>IF($A1088="","",MAX(0,ROUNDUP(DASHBOARD!$F$3-$D1088,0)))</f>
        <v/>
      </c>
      <c r="N1088">
        <f>IF($A1088="","",$K1088+(5002-ROW())/10000)</f>
        <v/>
      </c>
    </row>
    <row r="1089">
      <c r="K1089">
        <f>IF($A1089="","",SUM($E1089:$J1089))</f>
        <v/>
      </c>
      <c r="M1089">
        <f>IF($A1089="","",MAX(0,ROUNDUP(DASHBOARD!$F$3-$D1089,0)))</f>
        <v/>
      </c>
      <c r="N1089">
        <f>IF($A1089="","",$K1089+(5002-ROW())/10000)</f>
        <v/>
      </c>
    </row>
    <row r="1090">
      <c r="K1090">
        <f>IF($A1090="","",SUM($E1090:$J1090))</f>
        <v/>
      </c>
      <c r="M1090">
        <f>IF($A1090="","",MAX(0,ROUNDUP(DASHBOARD!$F$3-$D1090,0)))</f>
        <v/>
      </c>
      <c r="N1090">
        <f>IF($A1090="","",$K1090+(5002-ROW())/10000)</f>
        <v/>
      </c>
    </row>
    <row r="1091">
      <c r="K1091">
        <f>IF($A1091="","",SUM($E1091:$J1091))</f>
        <v/>
      </c>
      <c r="M1091">
        <f>IF($A1091="","",MAX(0,ROUNDUP(DASHBOARD!$F$3-$D1091,0)))</f>
        <v/>
      </c>
      <c r="N1091">
        <f>IF($A1091="","",$K1091+(5002-ROW())/10000)</f>
        <v/>
      </c>
    </row>
    <row r="1092">
      <c r="K1092">
        <f>IF($A1092="","",SUM($E1092:$J1092))</f>
        <v/>
      </c>
      <c r="M1092">
        <f>IF($A1092="","",MAX(0,ROUNDUP(DASHBOARD!$F$3-$D1092,0)))</f>
        <v/>
      </c>
      <c r="N1092">
        <f>IF($A1092="","",$K1092+(5002-ROW())/10000)</f>
        <v/>
      </c>
    </row>
    <row r="1093">
      <c r="K1093">
        <f>IF($A1093="","",SUM($E1093:$J1093))</f>
        <v/>
      </c>
      <c r="M1093">
        <f>IF($A1093="","",MAX(0,ROUNDUP(DASHBOARD!$F$3-$D1093,0)))</f>
        <v/>
      </c>
      <c r="N1093">
        <f>IF($A1093="","",$K1093+(5002-ROW())/10000)</f>
        <v/>
      </c>
    </row>
    <row r="1094">
      <c r="K1094">
        <f>IF($A1094="","",SUM($E1094:$J1094))</f>
        <v/>
      </c>
      <c r="M1094">
        <f>IF($A1094="","",MAX(0,ROUNDUP(DASHBOARD!$F$3-$D1094,0)))</f>
        <v/>
      </c>
      <c r="N1094">
        <f>IF($A1094="","",$K1094+(5002-ROW())/10000)</f>
        <v/>
      </c>
    </row>
    <row r="1095">
      <c r="K1095">
        <f>IF($A1095="","",SUM($E1095:$J1095))</f>
        <v/>
      </c>
      <c r="M1095">
        <f>IF($A1095="","",MAX(0,ROUNDUP(DASHBOARD!$F$3-$D1095,0)))</f>
        <v/>
      </c>
      <c r="N1095">
        <f>IF($A1095="","",$K1095+(5002-ROW())/10000)</f>
        <v/>
      </c>
    </row>
    <row r="1096">
      <c r="K1096">
        <f>IF($A1096="","",SUM($E1096:$J1096))</f>
        <v/>
      </c>
      <c r="M1096">
        <f>IF($A1096="","",MAX(0,ROUNDUP(DASHBOARD!$F$3-$D1096,0)))</f>
        <v/>
      </c>
      <c r="N1096">
        <f>IF($A1096="","",$K1096+(5002-ROW())/10000)</f>
        <v/>
      </c>
    </row>
    <row r="1097">
      <c r="K1097">
        <f>IF($A1097="","",SUM($E1097:$J1097))</f>
        <v/>
      </c>
      <c r="M1097">
        <f>IF($A1097="","",MAX(0,ROUNDUP(DASHBOARD!$F$3-$D1097,0)))</f>
        <v/>
      </c>
      <c r="N1097">
        <f>IF($A1097="","",$K1097+(5002-ROW())/10000)</f>
        <v/>
      </c>
    </row>
    <row r="1098">
      <c r="K1098">
        <f>IF($A1098="","",SUM($E1098:$J1098))</f>
        <v/>
      </c>
      <c r="M1098">
        <f>IF($A1098="","",MAX(0,ROUNDUP(DASHBOARD!$F$3-$D1098,0)))</f>
        <v/>
      </c>
      <c r="N1098">
        <f>IF($A1098="","",$K1098+(5002-ROW())/10000)</f>
        <v/>
      </c>
    </row>
    <row r="1099">
      <c r="K1099">
        <f>IF($A1099="","",SUM($E1099:$J1099))</f>
        <v/>
      </c>
      <c r="M1099">
        <f>IF($A1099="","",MAX(0,ROUNDUP(DASHBOARD!$F$3-$D1099,0)))</f>
        <v/>
      </c>
      <c r="N1099">
        <f>IF($A1099="","",$K1099+(5002-ROW())/10000)</f>
        <v/>
      </c>
    </row>
    <row r="1100">
      <c r="K1100">
        <f>IF($A1100="","",SUM($E1100:$J1100))</f>
        <v/>
      </c>
      <c r="M1100">
        <f>IF($A1100="","",MAX(0,ROUNDUP(DASHBOARD!$F$3-$D1100,0)))</f>
        <v/>
      </c>
      <c r="N1100">
        <f>IF($A1100="","",$K1100+(5002-ROW())/10000)</f>
        <v/>
      </c>
    </row>
    <row r="1101">
      <c r="K1101">
        <f>IF($A1101="","",SUM($E1101:$J1101))</f>
        <v/>
      </c>
      <c r="M1101">
        <f>IF($A1101="","",MAX(0,ROUNDUP(DASHBOARD!$F$3-$D1101,0)))</f>
        <v/>
      </c>
      <c r="N1101">
        <f>IF($A1101="","",$K1101+(5002-ROW())/10000)</f>
        <v/>
      </c>
    </row>
    <row r="1102">
      <c r="K1102">
        <f>IF($A1102="","",SUM($E1102:$J1102))</f>
        <v/>
      </c>
      <c r="M1102">
        <f>IF($A1102="","",MAX(0,ROUNDUP(DASHBOARD!$F$3-$D1102,0)))</f>
        <v/>
      </c>
      <c r="N1102">
        <f>IF($A1102="","",$K1102+(5002-ROW())/10000)</f>
        <v/>
      </c>
    </row>
    <row r="1103">
      <c r="K1103">
        <f>IF($A1103="","",SUM($E1103:$J1103))</f>
        <v/>
      </c>
      <c r="M1103">
        <f>IF($A1103="","",MAX(0,ROUNDUP(DASHBOARD!$F$3-$D1103,0)))</f>
        <v/>
      </c>
      <c r="N1103">
        <f>IF($A1103="","",$K1103+(5002-ROW())/10000)</f>
        <v/>
      </c>
    </row>
    <row r="1104">
      <c r="K1104">
        <f>IF($A1104="","",SUM($E1104:$J1104))</f>
        <v/>
      </c>
      <c r="M1104">
        <f>IF($A1104="","",MAX(0,ROUNDUP(DASHBOARD!$F$3-$D1104,0)))</f>
        <v/>
      </c>
      <c r="N1104">
        <f>IF($A1104="","",$K1104+(5002-ROW())/10000)</f>
        <v/>
      </c>
    </row>
    <row r="1105">
      <c r="K1105">
        <f>IF($A1105="","",SUM($E1105:$J1105))</f>
        <v/>
      </c>
      <c r="M1105">
        <f>IF($A1105="","",MAX(0,ROUNDUP(DASHBOARD!$F$3-$D1105,0)))</f>
        <v/>
      </c>
      <c r="N1105">
        <f>IF($A1105="","",$K1105+(5002-ROW())/10000)</f>
        <v/>
      </c>
    </row>
    <row r="1106">
      <c r="K1106">
        <f>IF($A1106="","",SUM($E1106:$J1106))</f>
        <v/>
      </c>
      <c r="M1106">
        <f>IF($A1106="","",MAX(0,ROUNDUP(DASHBOARD!$F$3-$D1106,0)))</f>
        <v/>
      </c>
      <c r="N1106">
        <f>IF($A1106="","",$K1106+(5002-ROW())/10000)</f>
        <v/>
      </c>
    </row>
    <row r="1107">
      <c r="K1107">
        <f>IF($A1107="","",SUM($E1107:$J1107))</f>
        <v/>
      </c>
      <c r="M1107">
        <f>IF($A1107="","",MAX(0,ROUNDUP(DASHBOARD!$F$3-$D1107,0)))</f>
        <v/>
      </c>
      <c r="N1107">
        <f>IF($A1107="","",$K1107+(5002-ROW())/10000)</f>
        <v/>
      </c>
    </row>
    <row r="1108">
      <c r="K1108">
        <f>IF($A1108="","",SUM($E1108:$J1108))</f>
        <v/>
      </c>
      <c r="M1108">
        <f>IF($A1108="","",MAX(0,ROUNDUP(DASHBOARD!$F$3-$D1108,0)))</f>
        <v/>
      </c>
      <c r="N1108">
        <f>IF($A1108="","",$K1108+(5002-ROW())/10000)</f>
        <v/>
      </c>
    </row>
    <row r="1109">
      <c r="K1109">
        <f>IF($A1109="","",SUM($E1109:$J1109))</f>
        <v/>
      </c>
      <c r="M1109">
        <f>IF($A1109="","",MAX(0,ROUNDUP(DASHBOARD!$F$3-$D1109,0)))</f>
        <v/>
      </c>
      <c r="N1109">
        <f>IF($A1109="","",$K1109+(5002-ROW())/10000)</f>
        <v/>
      </c>
    </row>
    <row r="1110">
      <c r="K1110">
        <f>IF($A1110="","",SUM($E1110:$J1110))</f>
        <v/>
      </c>
      <c r="M1110">
        <f>IF($A1110="","",MAX(0,ROUNDUP(DASHBOARD!$F$3-$D1110,0)))</f>
        <v/>
      </c>
      <c r="N1110">
        <f>IF($A1110="","",$K1110+(5002-ROW())/10000)</f>
        <v/>
      </c>
    </row>
    <row r="1111">
      <c r="K1111">
        <f>IF($A1111="","",SUM($E1111:$J1111))</f>
        <v/>
      </c>
      <c r="M1111">
        <f>IF($A1111="","",MAX(0,ROUNDUP(DASHBOARD!$F$3-$D1111,0)))</f>
        <v/>
      </c>
      <c r="N1111">
        <f>IF($A1111="","",$K1111+(5002-ROW())/10000)</f>
        <v/>
      </c>
    </row>
    <row r="1112">
      <c r="K1112">
        <f>IF($A1112="","",SUM($E1112:$J1112))</f>
        <v/>
      </c>
      <c r="M1112">
        <f>IF($A1112="","",MAX(0,ROUNDUP(DASHBOARD!$F$3-$D1112,0)))</f>
        <v/>
      </c>
      <c r="N1112">
        <f>IF($A1112="","",$K1112+(5002-ROW())/10000)</f>
        <v/>
      </c>
    </row>
    <row r="1113">
      <c r="K1113">
        <f>IF($A1113="","",SUM($E1113:$J1113))</f>
        <v/>
      </c>
      <c r="M1113">
        <f>IF($A1113="","",MAX(0,ROUNDUP(DASHBOARD!$F$3-$D1113,0)))</f>
        <v/>
      </c>
      <c r="N1113">
        <f>IF($A1113="","",$K1113+(5002-ROW())/10000)</f>
        <v/>
      </c>
    </row>
    <row r="1114">
      <c r="K1114">
        <f>IF($A1114="","",SUM($E1114:$J1114))</f>
        <v/>
      </c>
      <c r="M1114">
        <f>IF($A1114="","",MAX(0,ROUNDUP(DASHBOARD!$F$3-$D1114,0)))</f>
        <v/>
      </c>
      <c r="N1114">
        <f>IF($A1114="","",$K1114+(5002-ROW())/10000)</f>
        <v/>
      </c>
    </row>
    <row r="1115">
      <c r="K1115">
        <f>IF($A1115="","",SUM($E1115:$J1115))</f>
        <v/>
      </c>
      <c r="M1115">
        <f>IF($A1115="","",MAX(0,ROUNDUP(DASHBOARD!$F$3-$D1115,0)))</f>
        <v/>
      </c>
      <c r="N1115">
        <f>IF($A1115="","",$K1115+(5002-ROW())/10000)</f>
        <v/>
      </c>
    </row>
    <row r="1116">
      <c r="K1116">
        <f>IF($A1116="","",SUM($E1116:$J1116))</f>
        <v/>
      </c>
      <c r="M1116">
        <f>IF($A1116="","",MAX(0,ROUNDUP(DASHBOARD!$F$3-$D1116,0)))</f>
        <v/>
      </c>
      <c r="N1116">
        <f>IF($A1116="","",$K1116+(5002-ROW())/10000)</f>
        <v/>
      </c>
    </row>
    <row r="1117">
      <c r="K1117">
        <f>IF($A1117="","",SUM($E1117:$J1117))</f>
        <v/>
      </c>
      <c r="M1117">
        <f>IF($A1117="","",MAX(0,ROUNDUP(DASHBOARD!$F$3-$D1117,0)))</f>
        <v/>
      </c>
      <c r="N1117">
        <f>IF($A1117="","",$K1117+(5002-ROW())/10000)</f>
        <v/>
      </c>
    </row>
    <row r="1118">
      <c r="K1118">
        <f>IF($A1118="","",SUM($E1118:$J1118))</f>
        <v/>
      </c>
      <c r="M1118">
        <f>IF($A1118="","",MAX(0,ROUNDUP(DASHBOARD!$F$3-$D1118,0)))</f>
        <v/>
      </c>
      <c r="N1118">
        <f>IF($A1118="","",$K1118+(5002-ROW())/10000)</f>
        <v/>
      </c>
    </row>
    <row r="1119">
      <c r="K1119">
        <f>IF($A1119="","",SUM($E1119:$J1119))</f>
        <v/>
      </c>
      <c r="M1119">
        <f>IF($A1119="","",MAX(0,ROUNDUP(DASHBOARD!$F$3-$D1119,0)))</f>
        <v/>
      </c>
      <c r="N1119">
        <f>IF($A1119="","",$K1119+(5002-ROW())/10000)</f>
        <v/>
      </c>
    </row>
    <row r="1120">
      <c r="K1120">
        <f>IF($A1120="","",SUM($E1120:$J1120))</f>
        <v/>
      </c>
      <c r="M1120">
        <f>IF($A1120="","",MAX(0,ROUNDUP(DASHBOARD!$F$3-$D1120,0)))</f>
        <v/>
      </c>
      <c r="N1120">
        <f>IF($A1120="","",$K1120+(5002-ROW())/10000)</f>
        <v/>
      </c>
    </row>
    <row r="1121">
      <c r="K1121">
        <f>IF($A1121="","",SUM($E1121:$J1121))</f>
        <v/>
      </c>
      <c r="M1121">
        <f>IF($A1121="","",MAX(0,ROUNDUP(DASHBOARD!$F$3-$D1121,0)))</f>
        <v/>
      </c>
      <c r="N1121">
        <f>IF($A1121="","",$K1121+(5002-ROW())/10000)</f>
        <v/>
      </c>
    </row>
    <row r="1122">
      <c r="K1122">
        <f>IF($A1122="","",SUM($E1122:$J1122))</f>
        <v/>
      </c>
      <c r="M1122">
        <f>IF($A1122="","",MAX(0,ROUNDUP(DASHBOARD!$F$3-$D1122,0)))</f>
        <v/>
      </c>
      <c r="N1122">
        <f>IF($A1122="","",$K1122+(5002-ROW())/10000)</f>
        <v/>
      </c>
    </row>
    <row r="1123">
      <c r="K1123">
        <f>IF($A1123="","",SUM($E1123:$J1123))</f>
        <v/>
      </c>
      <c r="M1123">
        <f>IF($A1123="","",MAX(0,ROUNDUP(DASHBOARD!$F$3-$D1123,0)))</f>
        <v/>
      </c>
      <c r="N1123">
        <f>IF($A1123="","",$K1123+(5002-ROW())/10000)</f>
        <v/>
      </c>
    </row>
    <row r="1124">
      <c r="K1124">
        <f>IF($A1124="","",SUM($E1124:$J1124))</f>
        <v/>
      </c>
      <c r="M1124">
        <f>IF($A1124="","",MAX(0,ROUNDUP(DASHBOARD!$F$3-$D1124,0)))</f>
        <v/>
      </c>
      <c r="N1124">
        <f>IF($A1124="","",$K1124+(5002-ROW())/10000)</f>
        <v/>
      </c>
    </row>
    <row r="1125">
      <c r="K1125">
        <f>IF($A1125="","",SUM($E1125:$J1125))</f>
        <v/>
      </c>
      <c r="M1125">
        <f>IF($A1125="","",MAX(0,ROUNDUP(DASHBOARD!$F$3-$D1125,0)))</f>
        <v/>
      </c>
      <c r="N1125">
        <f>IF($A1125="","",$K1125+(5002-ROW())/10000)</f>
        <v/>
      </c>
    </row>
    <row r="1126">
      <c r="K1126">
        <f>IF($A1126="","",SUM($E1126:$J1126))</f>
        <v/>
      </c>
      <c r="M1126">
        <f>IF($A1126="","",MAX(0,ROUNDUP(DASHBOARD!$F$3-$D1126,0)))</f>
        <v/>
      </c>
      <c r="N1126">
        <f>IF($A1126="","",$K1126+(5002-ROW())/10000)</f>
        <v/>
      </c>
    </row>
    <row r="1127">
      <c r="K1127">
        <f>IF($A1127="","",SUM($E1127:$J1127))</f>
        <v/>
      </c>
      <c r="M1127">
        <f>IF($A1127="","",MAX(0,ROUNDUP(DASHBOARD!$F$3-$D1127,0)))</f>
        <v/>
      </c>
      <c r="N1127">
        <f>IF($A1127="","",$K1127+(5002-ROW())/10000)</f>
        <v/>
      </c>
    </row>
    <row r="1128">
      <c r="K1128">
        <f>IF($A1128="","",SUM($E1128:$J1128))</f>
        <v/>
      </c>
      <c r="M1128">
        <f>IF($A1128="","",MAX(0,ROUNDUP(DASHBOARD!$F$3-$D1128,0)))</f>
        <v/>
      </c>
      <c r="N1128">
        <f>IF($A1128="","",$K1128+(5002-ROW())/10000)</f>
        <v/>
      </c>
    </row>
    <row r="1129">
      <c r="K1129">
        <f>IF($A1129="","",SUM($E1129:$J1129))</f>
        <v/>
      </c>
      <c r="M1129">
        <f>IF($A1129="","",MAX(0,ROUNDUP(DASHBOARD!$F$3-$D1129,0)))</f>
        <v/>
      </c>
      <c r="N1129">
        <f>IF($A1129="","",$K1129+(5002-ROW())/10000)</f>
        <v/>
      </c>
    </row>
    <row r="1130">
      <c r="K1130">
        <f>IF($A1130="","",SUM($E1130:$J1130))</f>
        <v/>
      </c>
      <c r="M1130">
        <f>IF($A1130="","",MAX(0,ROUNDUP(DASHBOARD!$F$3-$D1130,0)))</f>
        <v/>
      </c>
      <c r="N1130">
        <f>IF($A1130="","",$K1130+(5002-ROW())/10000)</f>
        <v/>
      </c>
    </row>
    <row r="1131">
      <c r="K1131">
        <f>IF($A1131="","",SUM($E1131:$J1131))</f>
        <v/>
      </c>
      <c r="M1131">
        <f>IF($A1131="","",MAX(0,ROUNDUP(DASHBOARD!$F$3-$D1131,0)))</f>
        <v/>
      </c>
      <c r="N1131">
        <f>IF($A1131="","",$K1131+(5002-ROW())/10000)</f>
        <v/>
      </c>
    </row>
    <row r="1132">
      <c r="K1132">
        <f>IF($A1132="","",SUM($E1132:$J1132))</f>
        <v/>
      </c>
      <c r="M1132">
        <f>IF($A1132="","",MAX(0,ROUNDUP(DASHBOARD!$F$3-$D1132,0)))</f>
        <v/>
      </c>
      <c r="N1132">
        <f>IF($A1132="","",$K1132+(5002-ROW())/10000)</f>
        <v/>
      </c>
    </row>
    <row r="1133">
      <c r="K1133">
        <f>IF($A1133="","",SUM($E1133:$J1133))</f>
        <v/>
      </c>
      <c r="M1133">
        <f>IF($A1133="","",MAX(0,ROUNDUP(DASHBOARD!$F$3-$D1133,0)))</f>
        <v/>
      </c>
      <c r="N1133">
        <f>IF($A1133="","",$K1133+(5002-ROW())/10000)</f>
        <v/>
      </c>
    </row>
    <row r="1134">
      <c r="K1134">
        <f>IF($A1134="","",SUM($E1134:$J1134))</f>
        <v/>
      </c>
      <c r="M1134">
        <f>IF($A1134="","",MAX(0,ROUNDUP(DASHBOARD!$F$3-$D1134,0)))</f>
        <v/>
      </c>
      <c r="N1134">
        <f>IF($A1134="","",$K1134+(5002-ROW())/10000)</f>
        <v/>
      </c>
    </row>
    <row r="1135">
      <c r="K1135">
        <f>IF($A1135="","",SUM($E1135:$J1135))</f>
        <v/>
      </c>
      <c r="M1135">
        <f>IF($A1135="","",MAX(0,ROUNDUP(DASHBOARD!$F$3-$D1135,0)))</f>
        <v/>
      </c>
      <c r="N1135">
        <f>IF($A1135="","",$K1135+(5002-ROW())/10000)</f>
        <v/>
      </c>
    </row>
    <row r="1136">
      <c r="K1136">
        <f>IF($A1136="","",SUM($E1136:$J1136))</f>
        <v/>
      </c>
      <c r="M1136">
        <f>IF($A1136="","",MAX(0,ROUNDUP(DASHBOARD!$F$3-$D1136,0)))</f>
        <v/>
      </c>
      <c r="N1136">
        <f>IF($A1136="","",$K1136+(5002-ROW())/10000)</f>
        <v/>
      </c>
    </row>
    <row r="1137">
      <c r="K1137">
        <f>IF($A1137="","",SUM($E1137:$J1137))</f>
        <v/>
      </c>
      <c r="M1137">
        <f>IF($A1137="","",MAX(0,ROUNDUP(DASHBOARD!$F$3-$D1137,0)))</f>
        <v/>
      </c>
      <c r="N1137">
        <f>IF($A1137="","",$K1137+(5002-ROW())/10000)</f>
        <v/>
      </c>
    </row>
    <row r="1138">
      <c r="K1138">
        <f>IF($A1138="","",SUM($E1138:$J1138))</f>
        <v/>
      </c>
      <c r="M1138">
        <f>IF($A1138="","",MAX(0,ROUNDUP(DASHBOARD!$F$3-$D1138,0)))</f>
        <v/>
      </c>
      <c r="N1138">
        <f>IF($A1138="","",$K1138+(5002-ROW())/10000)</f>
        <v/>
      </c>
    </row>
    <row r="1139">
      <c r="K1139">
        <f>IF($A1139="","",SUM($E1139:$J1139))</f>
        <v/>
      </c>
      <c r="M1139">
        <f>IF($A1139="","",MAX(0,ROUNDUP(DASHBOARD!$F$3-$D1139,0)))</f>
        <v/>
      </c>
      <c r="N1139">
        <f>IF($A1139="","",$K1139+(5002-ROW())/10000)</f>
        <v/>
      </c>
    </row>
    <row r="1140">
      <c r="K1140">
        <f>IF($A1140="","",SUM($E1140:$J1140))</f>
        <v/>
      </c>
      <c r="M1140">
        <f>IF($A1140="","",MAX(0,ROUNDUP(DASHBOARD!$F$3-$D1140,0)))</f>
        <v/>
      </c>
      <c r="N1140">
        <f>IF($A1140="","",$K1140+(5002-ROW())/10000)</f>
        <v/>
      </c>
    </row>
    <row r="1141">
      <c r="K1141">
        <f>IF($A1141="","",SUM($E1141:$J1141))</f>
        <v/>
      </c>
      <c r="M1141">
        <f>IF($A1141="","",MAX(0,ROUNDUP(DASHBOARD!$F$3-$D1141,0)))</f>
        <v/>
      </c>
      <c r="N1141">
        <f>IF($A1141="","",$K1141+(5002-ROW())/10000)</f>
        <v/>
      </c>
    </row>
    <row r="1142">
      <c r="K1142">
        <f>IF($A1142="","",SUM($E1142:$J1142))</f>
        <v/>
      </c>
      <c r="M1142">
        <f>IF($A1142="","",MAX(0,ROUNDUP(DASHBOARD!$F$3-$D1142,0)))</f>
        <v/>
      </c>
      <c r="N1142">
        <f>IF($A1142="","",$K1142+(5002-ROW())/10000)</f>
        <v/>
      </c>
    </row>
    <row r="1143">
      <c r="K1143">
        <f>IF($A1143="","",SUM($E1143:$J1143))</f>
        <v/>
      </c>
      <c r="M1143">
        <f>IF($A1143="","",MAX(0,ROUNDUP(DASHBOARD!$F$3-$D1143,0)))</f>
        <v/>
      </c>
      <c r="N1143">
        <f>IF($A1143="","",$K1143+(5002-ROW())/10000)</f>
        <v/>
      </c>
    </row>
    <row r="1144">
      <c r="K1144">
        <f>IF($A1144="","",SUM($E1144:$J1144))</f>
        <v/>
      </c>
      <c r="M1144">
        <f>IF($A1144="","",MAX(0,ROUNDUP(DASHBOARD!$F$3-$D1144,0)))</f>
        <v/>
      </c>
      <c r="N1144">
        <f>IF($A1144="","",$K1144+(5002-ROW())/10000)</f>
        <v/>
      </c>
    </row>
    <row r="1145">
      <c r="K1145">
        <f>IF($A1145="","",SUM($E1145:$J1145))</f>
        <v/>
      </c>
      <c r="M1145">
        <f>IF($A1145="","",MAX(0,ROUNDUP(DASHBOARD!$F$3-$D1145,0)))</f>
        <v/>
      </c>
      <c r="N1145">
        <f>IF($A1145="","",$K1145+(5002-ROW())/10000)</f>
        <v/>
      </c>
    </row>
    <row r="1146">
      <c r="K1146">
        <f>IF($A1146="","",SUM($E1146:$J1146))</f>
        <v/>
      </c>
      <c r="M1146">
        <f>IF($A1146="","",MAX(0,ROUNDUP(DASHBOARD!$F$3-$D1146,0)))</f>
        <v/>
      </c>
      <c r="N1146">
        <f>IF($A1146="","",$K1146+(5002-ROW())/10000)</f>
        <v/>
      </c>
    </row>
    <row r="1147">
      <c r="K1147">
        <f>IF($A1147="","",SUM($E1147:$J1147))</f>
        <v/>
      </c>
      <c r="M1147">
        <f>IF($A1147="","",MAX(0,ROUNDUP(DASHBOARD!$F$3-$D1147,0)))</f>
        <v/>
      </c>
      <c r="N1147">
        <f>IF($A1147="","",$K1147+(5002-ROW())/10000)</f>
        <v/>
      </c>
    </row>
    <row r="1148">
      <c r="K1148">
        <f>IF($A1148="","",SUM($E1148:$J1148))</f>
        <v/>
      </c>
      <c r="M1148">
        <f>IF($A1148="","",MAX(0,ROUNDUP(DASHBOARD!$F$3-$D1148,0)))</f>
        <v/>
      </c>
      <c r="N1148">
        <f>IF($A1148="","",$K1148+(5002-ROW())/10000)</f>
        <v/>
      </c>
    </row>
    <row r="1149">
      <c r="K1149">
        <f>IF($A1149="","",SUM($E1149:$J1149))</f>
        <v/>
      </c>
      <c r="M1149">
        <f>IF($A1149="","",MAX(0,ROUNDUP(DASHBOARD!$F$3-$D1149,0)))</f>
        <v/>
      </c>
      <c r="N1149">
        <f>IF($A1149="","",$K1149+(5002-ROW())/10000)</f>
        <v/>
      </c>
    </row>
    <row r="1150">
      <c r="K1150">
        <f>IF($A1150="","",SUM($E1150:$J1150))</f>
        <v/>
      </c>
      <c r="M1150">
        <f>IF($A1150="","",MAX(0,ROUNDUP(DASHBOARD!$F$3-$D1150,0)))</f>
        <v/>
      </c>
      <c r="N1150">
        <f>IF($A1150="","",$K1150+(5002-ROW())/10000)</f>
        <v/>
      </c>
    </row>
    <row r="1151">
      <c r="K1151">
        <f>IF($A1151="","",SUM($E1151:$J1151))</f>
        <v/>
      </c>
      <c r="M1151">
        <f>IF($A1151="","",MAX(0,ROUNDUP(DASHBOARD!$F$3-$D1151,0)))</f>
        <v/>
      </c>
      <c r="N1151">
        <f>IF($A1151="","",$K1151+(5002-ROW())/10000)</f>
        <v/>
      </c>
    </row>
    <row r="1152">
      <c r="K1152">
        <f>IF($A1152="","",SUM($E1152:$J1152))</f>
        <v/>
      </c>
      <c r="M1152">
        <f>IF($A1152="","",MAX(0,ROUNDUP(DASHBOARD!$F$3-$D1152,0)))</f>
        <v/>
      </c>
      <c r="N1152">
        <f>IF($A1152="","",$K1152+(5002-ROW())/10000)</f>
        <v/>
      </c>
    </row>
    <row r="1153">
      <c r="K1153">
        <f>IF($A1153="","",SUM($E1153:$J1153))</f>
        <v/>
      </c>
      <c r="M1153">
        <f>IF($A1153="","",MAX(0,ROUNDUP(DASHBOARD!$F$3-$D1153,0)))</f>
        <v/>
      </c>
      <c r="N1153">
        <f>IF($A1153="","",$K1153+(5002-ROW())/10000)</f>
        <v/>
      </c>
    </row>
    <row r="1154">
      <c r="K1154">
        <f>IF($A1154="","",SUM($E1154:$J1154))</f>
        <v/>
      </c>
      <c r="M1154">
        <f>IF($A1154="","",MAX(0,ROUNDUP(DASHBOARD!$F$3-$D1154,0)))</f>
        <v/>
      </c>
      <c r="N1154">
        <f>IF($A1154="","",$K1154+(5002-ROW())/10000)</f>
        <v/>
      </c>
    </row>
    <row r="1155">
      <c r="K1155">
        <f>IF($A1155="","",SUM($E1155:$J1155))</f>
        <v/>
      </c>
      <c r="M1155">
        <f>IF($A1155="","",MAX(0,ROUNDUP(DASHBOARD!$F$3-$D1155,0)))</f>
        <v/>
      </c>
      <c r="N1155">
        <f>IF($A1155="","",$K1155+(5002-ROW())/10000)</f>
        <v/>
      </c>
    </row>
    <row r="1156">
      <c r="K1156">
        <f>IF($A1156="","",SUM($E1156:$J1156))</f>
        <v/>
      </c>
      <c r="M1156">
        <f>IF($A1156="","",MAX(0,ROUNDUP(DASHBOARD!$F$3-$D1156,0)))</f>
        <v/>
      </c>
      <c r="N1156">
        <f>IF($A1156="","",$K1156+(5002-ROW())/10000)</f>
        <v/>
      </c>
    </row>
    <row r="1157">
      <c r="K1157">
        <f>IF($A1157="","",SUM($E1157:$J1157))</f>
        <v/>
      </c>
      <c r="M1157">
        <f>IF($A1157="","",MAX(0,ROUNDUP(DASHBOARD!$F$3-$D1157,0)))</f>
        <v/>
      </c>
      <c r="N1157">
        <f>IF($A1157="","",$K1157+(5002-ROW())/10000)</f>
        <v/>
      </c>
    </row>
    <row r="1158">
      <c r="K1158">
        <f>IF($A1158="","",SUM($E1158:$J1158))</f>
        <v/>
      </c>
      <c r="M1158">
        <f>IF($A1158="","",MAX(0,ROUNDUP(DASHBOARD!$F$3-$D1158,0)))</f>
        <v/>
      </c>
      <c r="N1158">
        <f>IF($A1158="","",$K1158+(5002-ROW())/10000)</f>
        <v/>
      </c>
    </row>
    <row r="1159">
      <c r="K1159">
        <f>IF($A1159="","",SUM($E1159:$J1159))</f>
        <v/>
      </c>
      <c r="M1159">
        <f>IF($A1159="","",MAX(0,ROUNDUP(DASHBOARD!$F$3-$D1159,0)))</f>
        <v/>
      </c>
      <c r="N1159">
        <f>IF($A1159="","",$K1159+(5002-ROW())/10000)</f>
        <v/>
      </c>
    </row>
    <row r="1160">
      <c r="K1160">
        <f>IF($A1160="","",SUM($E1160:$J1160))</f>
        <v/>
      </c>
      <c r="M1160">
        <f>IF($A1160="","",MAX(0,ROUNDUP(DASHBOARD!$F$3-$D1160,0)))</f>
        <v/>
      </c>
      <c r="N1160">
        <f>IF($A1160="","",$K1160+(5002-ROW())/10000)</f>
        <v/>
      </c>
    </row>
    <row r="1161">
      <c r="K1161">
        <f>IF($A1161="","",SUM($E1161:$J1161))</f>
        <v/>
      </c>
      <c r="M1161">
        <f>IF($A1161="","",MAX(0,ROUNDUP(DASHBOARD!$F$3-$D1161,0)))</f>
        <v/>
      </c>
      <c r="N1161">
        <f>IF($A1161="","",$K1161+(5002-ROW())/10000)</f>
        <v/>
      </c>
    </row>
    <row r="1162">
      <c r="K1162">
        <f>IF($A1162="","",SUM($E1162:$J1162))</f>
        <v/>
      </c>
      <c r="M1162">
        <f>IF($A1162="","",MAX(0,ROUNDUP(DASHBOARD!$F$3-$D1162,0)))</f>
        <v/>
      </c>
      <c r="N1162">
        <f>IF($A1162="","",$K1162+(5002-ROW())/10000)</f>
        <v/>
      </c>
    </row>
    <row r="1163">
      <c r="K1163">
        <f>IF($A1163="","",SUM($E1163:$J1163))</f>
        <v/>
      </c>
      <c r="M1163">
        <f>IF($A1163="","",MAX(0,ROUNDUP(DASHBOARD!$F$3-$D1163,0)))</f>
        <v/>
      </c>
      <c r="N1163">
        <f>IF($A1163="","",$K1163+(5002-ROW())/10000)</f>
        <v/>
      </c>
    </row>
    <row r="1164">
      <c r="K1164">
        <f>IF($A1164="","",SUM($E1164:$J1164))</f>
        <v/>
      </c>
      <c r="M1164">
        <f>IF($A1164="","",MAX(0,ROUNDUP(DASHBOARD!$F$3-$D1164,0)))</f>
        <v/>
      </c>
      <c r="N1164">
        <f>IF($A1164="","",$K1164+(5002-ROW())/10000)</f>
        <v/>
      </c>
    </row>
    <row r="1165">
      <c r="K1165">
        <f>IF($A1165="","",SUM($E1165:$J1165))</f>
        <v/>
      </c>
      <c r="M1165">
        <f>IF($A1165="","",MAX(0,ROUNDUP(DASHBOARD!$F$3-$D1165,0)))</f>
        <v/>
      </c>
      <c r="N1165">
        <f>IF($A1165="","",$K1165+(5002-ROW())/10000)</f>
        <v/>
      </c>
    </row>
    <row r="1166">
      <c r="K1166">
        <f>IF($A1166="","",SUM($E1166:$J1166))</f>
        <v/>
      </c>
      <c r="M1166">
        <f>IF($A1166="","",MAX(0,ROUNDUP(DASHBOARD!$F$3-$D1166,0)))</f>
        <v/>
      </c>
      <c r="N1166">
        <f>IF($A1166="","",$K1166+(5002-ROW())/10000)</f>
        <v/>
      </c>
    </row>
    <row r="1167">
      <c r="K1167">
        <f>IF($A1167="","",SUM($E1167:$J1167))</f>
        <v/>
      </c>
      <c r="M1167">
        <f>IF($A1167="","",MAX(0,ROUNDUP(DASHBOARD!$F$3-$D1167,0)))</f>
        <v/>
      </c>
      <c r="N1167">
        <f>IF($A1167="","",$K1167+(5002-ROW())/10000)</f>
        <v/>
      </c>
    </row>
    <row r="1168">
      <c r="K1168">
        <f>IF($A1168="","",SUM($E1168:$J1168))</f>
        <v/>
      </c>
      <c r="M1168">
        <f>IF($A1168="","",MAX(0,ROUNDUP(DASHBOARD!$F$3-$D1168,0)))</f>
        <v/>
      </c>
      <c r="N1168">
        <f>IF($A1168="","",$K1168+(5002-ROW())/10000)</f>
        <v/>
      </c>
    </row>
    <row r="1169">
      <c r="K1169">
        <f>IF($A1169="","",SUM($E1169:$J1169))</f>
        <v/>
      </c>
      <c r="M1169">
        <f>IF($A1169="","",MAX(0,ROUNDUP(DASHBOARD!$F$3-$D1169,0)))</f>
        <v/>
      </c>
      <c r="N1169">
        <f>IF($A1169="","",$K1169+(5002-ROW())/10000)</f>
        <v/>
      </c>
    </row>
    <row r="1170">
      <c r="K1170">
        <f>IF($A1170="","",SUM($E1170:$J1170))</f>
        <v/>
      </c>
      <c r="M1170">
        <f>IF($A1170="","",MAX(0,ROUNDUP(DASHBOARD!$F$3-$D1170,0)))</f>
        <v/>
      </c>
      <c r="N1170">
        <f>IF($A1170="","",$K1170+(5002-ROW())/10000)</f>
        <v/>
      </c>
    </row>
    <row r="1171">
      <c r="K1171">
        <f>IF($A1171="","",SUM($E1171:$J1171))</f>
        <v/>
      </c>
      <c r="M1171">
        <f>IF($A1171="","",MAX(0,ROUNDUP(DASHBOARD!$F$3-$D1171,0)))</f>
        <v/>
      </c>
      <c r="N1171">
        <f>IF($A1171="","",$K1171+(5002-ROW())/10000)</f>
        <v/>
      </c>
    </row>
    <row r="1172">
      <c r="K1172">
        <f>IF($A1172="","",SUM($E1172:$J1172))</f>
        <v/>
      </c>
      <c r="M1172">
        <f>IF($A1172="","",MAX(0,ROUNDUP(DASHBOARD!$F$3-$D1172,0)))</f>
        <v/>
      </c>
      <c r="N1172">
        <f>IF($A1172="","",$K1172+(5002-ROW())/10000)</f>
        <v/>
      </c>
    </row>
    <row r="1173">
      <c r="K1173">
        <f>IF($A1173="","",SUM($E1173:$J1173))</f>
        <v/>
      </c>
      <c r="M1173">
        <f>IF($A1173="","",MAX(0,ROUNDUP(DASHBOARD!$F$3-$D1173,0)))</f>
        <v/>
      </c>
      <c r="N1173">
        <f>IF($A1173="","",$K1173+(5002-ROW())/10000)</f>
        <v/>
      </c>
    </row>
    <row r="1174">
      <c r="K1174">
        <f>IF($A1174="","",SUM($E1174:$J1174))</f>
        <v/>
      </c>
      <c r="M1174">
        <f>IF($A1174="","",MAX(0,ROUNDUP(DASHBOARD!$F$3-$D1174,0)))</f>
        <v/>
      </c>
      <c r="N1174">
        <f>IF($A1174="","",$K1174+(5002-ROW())/10000)</f>
        <v/>
      </c>
    </row>
    <row r="1175">
      <c r="K1175">
        <f>IF($A1175="","",SUM($E1175:$J1175))</f>
        <v/>
      </c>
      <c r="M1175">
        <f>IF($A1175="","",MAX(0,ROUNDUP(DASHBOARD!$F$3-$D1175,0)))</f>
        <v/>
      </c>
      <c r="N1175">
        <f>IF($A1175="","",$K1175+(5002-ROW())/10000)</f>
        <v/>
      </c>
    </row>
    <row r="1176">
      <c r="K1176">
        <f>IF($A1176="","",SUM($E1176:$J1176))</f>
        <v/>
      </c>
      <c r="M1176">
        <f>IF($A1176="","",MAX(0,ROUNDUP(DASHBOARD!$F$3-$D1176,0)))</f>
        <v/>
      </c>
      <c r="N1176">
        <f>IF($A1176="","",$K1176+(5002-ROW())/10000)</f>
        <v/>
      </c>
    </row>
    <row r="1177">
      <c r="K1177">
        <f>IF($A1177="","",SUM($E1177:$J1177))</f>
        <v/>
      </c>
      <c r="M1177">
        <f>IF($A1177="","",MAX(0,ROUNDUP(DASHBOARD!$F$3-$D1177,0)))</f>
        <v/>
      </c>
      <c r="N1177">
        <f>IF($A1177="","",$K1177+(5002-ROW())/10000)</f>
        <v/>
      </c>
    </row>
    <row r="1178">
      <c r="K1178">
        <f>IF($A1178="","",SUM($E1178:$J1178))</f>
        <v/>
      </c>
      <c r="M1178">
        <f>IF($A1178="","",MAX(0,ROUNDUP(DASHBOARD!$F$3-$D1178,0)))</f>
        <v/>
      </c>
      <c r="N1178">
        <f>IF($A1178="","",$K1178+(5002-ROW())/10000)</f>
        <v/>
      </c>
    </row>
    <row r="1179">
      <c r="K1179">
        <f>IF($A1179="","",SUM($E1179:$J1179))</f>
        <v/>
      </c>
      <c r="M1179">
        <f>IF($A1179="","",MAX(0,ROUNDUP(DASHBOARD!$F$3-$D1179,0)))</f>
        <v/>
      </c>
      <c r="N1179">
        <f>IF($A1179="","",$K1179+(5002-ROW())/10000)</f>
        <v/>
      </c>
    </row>
    <row r="1180">
      <c r="K1180">
        <f>IF($A1180="","",SUM($E1180:$J1180))</f>
        <v/>
      </c>
      <c r="M1180">
        <f>IF($A1180="","",MAX(0,ROUNDUP(DASHBOARD!$F$3-$D1180,0)))</f>
        <v/>
      </c>
      <c r="N1180">
        <f>IF($A1180="","",$K1180+(5002-ROW())/10000)</f>
        <v/>
      </c>
    </row>
    <row r="1181">
      <c r="K1181">
        <f>IF($A1181="","",SUM($E1181:$J1181))</f>
        <v/>
      </c>
      <c r="M1181">
        <f>IF($A1181="","",MAX(0,ROUNDUP(DASHBOARD!$F$3-$D1181,0)))</f>
        <v/>
      </c>
      <c r="N1181">
        <f>IF($A1181="","",$K1181+(5002-ROW())/10000)</f>
        <v/>
      </c>
    </row>
    <row r="1182">
      <c r="K1182">
        <f>IF($A1182="","",SUM($E1182:$J1182))</f>
        <v/>
      </c>
      <c r="M1182">
        <f>IF($A1182="","",MAX(0,ROUNDUP(DASHBOARD!$F$3-$D1182,0)))</f>
        <v/>
      </c>
      <c r="N1182">
        <f>IF($A1182="","",$K1182+(5002-ROW())/10000)</f>
        <v/>
      </c>
    </row>
    <row r="1183">
      <c r="K1183">
        <f>IF($A1183="","",SUM($E1183:$J1183))</f>
        <v/>
      </c>
      <c r="M1183">
        <f>IF($A1183="","",MAX(0,ROUNDUP(DASHBOARD!$F$3-$D1183,0)))</f>
        <v/>
      </c>
      <c r="N1183">
        <f>IF($A1183="","",$K1183+(5002-ROW())/10000)</f>
        <v/>
      </c>
    </row>
    <row r="1184">
      <c r="K1184">
        <f>IF($A1184="","",SUM($E1184:$J1184))</f>
        <v/>
      </c>
      <c r="M1184">
        <f>IF($A1184="","",MAX(0,ROUNDUP(DASHBOARD!$F$3-$D1184,0)))</f>
        <v/>
      </c>
      <c r="N1184">
        <f>IF($A1184="","",$K1184+(5002-ROW())/10000)</f>
        <v/>
      </c>
    </row>
    <row r="1185">
      <c r="K1185">
        <f>IF($A1185="","",SUM($E1185:$J1185))</f>
        <v/>
      </c>
      <c r="M1185">
        <f>IF($A1185="","",MAX(0,ROUNDUP(DASHBOARD!$F$3-$D1185,0)))</f>
        <v/>
      </c>
      <c r="N1185">
        <f>IF($A1185="","",$K1185+(5002-ROW())/10000)</f>
        <v/>
      </c>
    </row>
    <row r="1186">
      <c r="K1186">
        <f>IF($A1186="","",SUM($E1186:$J1186))</f>
        <v/>
      </c>
      <c r="M1186">
        <f>IF($A1186="","",MAX(0,ROUNDUP(DASHBOARD!$F$3-$D1186,0)))</f>
        <v/>
      </c>
      <c r="N1186">
        <f>IF($A1186="","",$K1186+(5002-ROW())/10000)</f>
        <v/>
      </c>
    </row>
    <row r="1187">
      <c r="K1187">
        <f>IF($A1187="","",SUM($E1187:$J1187))</f>
        <v/>
      </c>
      <c r="M1187">
        <f>IF($A1187="","",MAX(0,ROUNDUP(DASHBOARD!$F$3-$D1187,0)))</f>
        <v/>
      </c>
      <c r="N1187">
        <f>IF($A1187="","",$K1187+(5002-ROW())/10000)</f>
        <v/>
      </c>
    </row>
    <row r="1188">
      <c r="K1188">
        <f>IF($A1188="","",SUM($E1188:$J1188))</f>
        <v/>
      </c>
      <c r="M1188">
        <f>IF($A1188="","",MAX(0,ROUNDUP(DASHBOARD!$F$3-$D1188,0)))</f>
        <v/>
      </c>
      <c r="N1188">
        <f>IF($A1188="","",$K1188+(5002-ROW())/10000)</f>
        <v/>
      </c>
    </row>
    <row r="1189">
      <c r="K1189">
        <f>IF($A1189="","",SUM($E1189:$J1189))</f>
        <v/>
      </c>
      <c r="M1189">
        <f>IF($A1189="","",MAX(0,ROUNDUP(DASHBOARD!$F$3-$D1189,0)))</f>
        <v/>
      </c>
      <c r="N1189">
        <f>IF($A1189="","",$K1189+(5002-ROW())/10000)</f>
        <v/>
      </c>
    </row>
    <row r="1190">
      <c r="K1190">
        <f>IF($A1190="","",SUM($E1190:$J1190))</f>
        <v/>
      </c>
      <c r="M1190">
        <f>IF($A1190="","",MAX(0,ROUNDUP(DASHBOARD!$F$3-$D1190,0)))</f>
        <v/>
      </c>
      <c r="N1190">
        <f>IF($A1190="","",$K1190+(5002-ROW())/10000)</f>
        <v/>
      </c>
    </row>
    <row r="1191">
      <c r="K1191">
        <f>IF($A1191="","",SUM($E1191:$J1191))</f>
        <v/>
      </c>
      <c r="M1191">
        <f>IF($A1191="","",MAX(0,ROUNDUP(DASHBOARD!$F$3-$D1191,0)))</f>
        <v/>
      </c>
      <c r="N1191">
        <f>IF($A1191="","",$K1191+(5002-ROW())/10000)</f>
        <v/>
      </c>
    </row>
    <row r="1192">
      <c r="K1192">
        <f>IF($A1192="","",SUM($E1192:$J1192))</f>
        <v/>
      </c>
      <c r="M1192">
        <f>IF($A1192="","",MAX(0,ROUNDUP(DASHBOARD!$F$3-$D1192,0)))</f>
        <v/>
      </c>
      <c r="N1192">
        <f>IF($A1192="","",$K1192+(5002-ROW())/10000)</f>
        <v/>
      </c>
    </row>
    <row r="1193">
      <c r="K1193">
        <f>IF($A1193="","",SUM($E1193:$J1193))</f>
        <v/>
      </c>
      <c r="M1193">
        <f>IF($A1193="","",MAX(0,ROUNDUP(DASHBOARD!$F$3-$D1193,0)))</f>
        <v/>
      </c>
      <c r="N1193">
        <f>IF($A1193="","",$K1193+(5002-ROW())/10000)</f>
        <v/>
      </c>
    </row>
    <row r="1194">
      <c r="K1194">
        <f>IF($A1194="","",SUM($E1194:$J1194))</f>
        <v/>
      </c>
      <c r="M1194">
        <f>IF($A1194="","",MAX(0,ROUNDUP(DASHBOARD!$F$3-$D1194,0)))</f>
        <v/>
      </c>
      <c r="N1194">
        <f>IF($A1194="","",$K1194+(5002-ROW())/10000)</f>
        <v/>
      </c>
    </row>
    <row r="1195">
      <c r="K1195">
        <f>IF($A1195="","",SUM($E1195:$J1195))</f>
        <v/>
      </c>
      <c r="M1195">
        <f>IF($A1195="","",MAX(0,ROUNDUP(DASHBOARD!$F$3-$D1195,0)))</f>
        <v/>
      </c>
      <c r="N1195">
        <f>IF($A1195="","",$K1195+(5002-ROW())/10000)</f>
        <v/>
      </c>
    </row>
    <row r="1196">
      <c r="K1196">
        <f>IF($A1196="","",SUM($E1196:$J1196))</f>
        <v/>
      </c>
      <c r="M1196">
        <f>IF($A1196="","",MAX(0,ROUNDUP(DASHBOARD!$F$3-$D1196,0)))</f>
        <v/>
      </c>
      <c r="N1196">
        <f>IF($A1196="","",$K1196+(5002-ROW())/10000)</f>
        <v/>
      </c>
    </row>
    <row r="1197">
      <c r="K1197">
        <f>IF($A1197="","",SUM($E1197:$J1197))</f>
        <v/>
      </c>
      <c r="M1197">
        <f>IF($A1197="","",MAX(0,ROUNDUP(DASHBOARD!$F$3-$D1197,0)))</f>
        <v/>
      </c>
      <c r="N1197">
        <f>IF($A1197="","",$K1197+(5002-ROW())/10000)</f>
        <v/>
      </c>
    </row>
    <row r="1198">
      <c r="K1198">
        <f>IF($A1198="","",SUM($E1198:$J1198))</f>
        <v/>
      </c>
      <c r="M1198">
        <f>IF($A1198="","",MAX(0,ROUNDUP(DASHBOARD!$F$3-$D1198,0)))</f>
        <v/>
      </c>
      <c r="N1198">
        <f>IF($A1198="","",$K1198+(5002-ROW())/10000)</f>
        <v/>
      </c>
    </row>
    <row r="1199">
      <c r="K1199">
        <f>IF($A1199="","",SUM($E1199:$J1199))</f>
        <v/>
      </c>
      <c r="M1199">
        <f>IF($A1199="","",MAX(0,ROUNDUP(DASHBOARD!$F$3-$D1199,0)))</f>
        <v/>
      </c>
      <c r="N1199">
        <f>IF($A1199="","",$K1199+(5002-ROW())/10000)</f>
        <v/>
      </c>
    </row>
    <row r="1200">
      <c r="K1200">
        <f>IF($A1200="","",SUM($E1200:$J1200))</f>
        <v/>
      </c>
      <c r="M1200">
        <f>IF($A1200="","",MAX(0,ROUNDUP(DASHBOARD!$F$3-$D1200,0)))</f>
        <v/>
      </c>
      <c r="N1200">
        <f>IF($A1200="","",$K1200+(5002-ROW())/10000)</f>
        <v/>
      </c>
    </row>
    <row r="1201">
      <c r="K1201">
        <f>IF($A1201="","",SUM($E1201:$J1201))</f>
        <v/>
      </c>
      <c r="M1201">
        <f>IF($A1201="","",MAX(0,ROUNDUP(DASHBOARD!$F$3-$D1201,0)))</f>
        <v/>
      </c>
      <c r="N1201">
        <f>IF($A1201="","",$K1201+(5002-ROW())/10000)</f>
        <v/>
      </c>
    </row>
    <row r="1202">
      <c r="K1202">
        <f>IF($A1202="","",SUM($E1202:$J1202))</f>
        <v/>
      </c>
      <c r="M1202">
        <f>IF($A1202="","",MAX(0,ROUNDUP(DASHBOARD!$F$3-$D1202,0)))</f>
        <v/>
      </c>
      <c r="N1202">
        <f>IF($A1202="","",$K1202+(5002-ROW())/10000)</f>
        <v/>
      </c>
    </row>
    <row r="1203">
      <c r="K1203">
        <f>IF($A1203="","",SUM($E1203:$J1203))</f>
        <v/>
      </c>
      <c r="M1203">
        <f>IF($A1203="","",MAX(0,ROUNDUP(DASHBOARD!$F$3-$D1203,0)))</f>
        <v/>
      </c>
      <c r="N1203">
        <f>IF($A1203="","",$K1203+(5002-ROW())/10000)</f>
        <v/>
      </c>
    </row>
    <row r="1204">
      <c r="K1204">
        <f>IF($A1204="","",SUM($E1204:$J1204))</f>
        <v/>
      </c>
      <c r="M1204">
        <f>IF($A1204="","",MAX(0,ROUNDUP(DASHBOARD!$F$3-$D1204,0)))</f>
        <v/>
      </c>
      <c r="N1204">
        <f>IF($A1204="","",$K1204+(5002-ROW())/10000)</f>
        <v/>
      </c>
    </row>
    <row r="1205">
      <c r="K1205">
        <f>IF($A1205="","",SUM($E1205:$J1205))</f>
        <v/>
      </c>
      <c r="M1205">
        <f>IF($A1205="","",MAX(0,ROUNDUP(DASHBOARD!$F$3-$D1205,0)))</f>
        <v/>
      </c>
      <c r="N1205">
        <f>IF($A1205="","",$K1205+(5002-ROW())/10000)</f>
        <v/>
      </c>
    </row>
    <row r="1206">
      <c r="K1206">
        <f>IF($A1206="","",SUM($E1206:$J1206))</f>
        <v/>
      </c>
      <c r="M1206">
        <f>IF($A1206="","",MAX(0,ROUNDUP(DASHBOARD!$F$3-$D1206,0)))</f>
        <v/>
      </c>
      <c r="N1206">
        <f>IF($A1206="","",$K1206+(5002-ROW())/10000)</f>
        <v/>
      </c>
    </row>
    <row r="1207">
      <c r="K1207">
        <f>IF($A1207="","",SUM($E1207:$J1207))</f>
        <v/>
      </c>
      <c r="M1207">
        <f>IF($A1207="","",MAX(0,ROUNDUP(DASHBOARD!$F$3-$D1207,0)))</f>
        <v/>
      </c>
      <c r="N1207">
        <f>IF($A1207="","",$K1207+(5002-ROW())/10000)</f>
        <v/>
      </c>
    </row>
    <row r="1208">
      <c r="K1208">
        <f>IF($A1208="","",SUM($E1208:$J1208))</f>
        <v/>
      </c>
      <c r="M1208">
        <f>IF($A1208="","",MAX(0,ROUNDUP(DASHBOARD!$F$3-$D1208,0)))</f>
        <v/>
      </c>
      <c r="N1208">
        <f>IF($A1208="","",$K1208+(5002-ROW())/10000)</f>
        <v/>
      </c>
    </row>
    <row r="1209">
      <c r="K1209">
        <f>IF($A1209="","",SUM($E1209:$J1209))</f>
        <v/>
      </c>
      <c r="M1209">
        <f>IF($A1209="","",MAX(0,ROUNDUP(DASHBOARD!$F$3-$D1209,0)))</f>
        <v/>
      </c>
      <c r="N1209">
        <f>IF($A1209="","",$K1209+(5002-ROW())/10000)</f>
        <v/>
      </c>
    </row>
    <row r="1210">
      <c r="K1210">
        <f>IF($A1210="","",SUM($E1210:$J1210))</f>
        <v/>
      </c>
      <c r="M1210">
        <f>IF($A1210="","",MAX(0,ROUNDUP(DASHBOARD!$F$3-$D1210,0)))</f>
        <v/>
      </c>
      <c r="N1210">
        <f>IF($A1210="","",$K1210+(5002-ROW())/10000)</f>
        <v/>
      </c>
    </row>
    <row r="1211">
      <c r="K1211">
        <f>IF($A1211="","",SUM($E1211:$J1211))</f>
        <v/>
      </c>
      <c r="M1211">
        <f>IF($A1211="","",MAX(0,ROUNDUP(DASHBOARD!$F$3-$D1211,0)))</f>
        <v/>
      </c>
      <c r="N1211">
        <f>IF($A1211="","",$K1211+(5002-ROW())/10000)</f>
        <v/>
      </c>
    </row>
    <row r="1212">
      <c r="K1212">
        <f>IF($A1212="","",SUM($E1212:$J1212))</f>
        <v/>
      </c>
      <c r="M1212">
        <f>IF($A1212="","",MAX(0,ROUNDUP(DASHBOARD!$F$3-$D1212,0)))</f>
        <v/>
      </c>
      <c r="N1212">
        <f>IF($A1212="","",$K1212+(5002-ROW())/10000)</f>
        <v/>
      </c>
    </row>
    <row r="1213">
      <c r="K1213">
        <f>IF($A1213="","",SUM($E1213:$J1213))</f>
        <v/>
      </c>
      <c r="M1213">
        <f>IF($A1213="","",MAX(0,ROUNDUP(DASHBOARD!$F$3-$D1213,0)))</f>
        <v/>
      </c>
      <c r="N1213">
        <f>IF($A1213="","",$K1213+(5002-ROW())/10000)</f>
        <v/>
      </c>
    </row>
    <row r="1214">
      <c r="K1214">
        <f>IF($A1214="","",SUM($E1214:$J1214))</f>
        <v/>
      </c>
      <c r="M1214">
        <f>IF($A1214="","",MAX(0,ROUNDUP(DASHBOARD!$F$3-$D1214,0)))</f>
        <v/>
      </c>
      <c r="N1214">
        <f>IF($A1214="","",$K1214+(5002-ROW())/10000)</f>
        <v/>
      </c>
    </row>
    <row r="1215">
      <c r="K1215">
        <f>IF($A1215="","",SUM($E1215:$J1215))</f>
        <v/>
      </c>
      <c r="M1215">
        <f>IF($A1215="","",MAX(0,ROUNDUP(DASHBOARD!$F$3-$D1215,0)))</f>
        <v/>
      </c>
      <c r="N1215">
        <f>IF($A1215="","",$K1215+(5002-ROW())/10000)</f>
        <v/>
      </c>
    </row>
    <row r="1216">
      <c r="K1216">
        <f>IF($A1216="","",SUM($E1216:$J1216))</f>
        <v/>
      </c>
      <c r="M1216">
        <f>IF($A1216="","",MAX(0,ROUNDUP(DASHBOARD!$F$3-$D1216,0)))</f>
        <v/>
      </c>
      <c r="N1216">
        <f>IF($A1216="","",$K1216+(5002-ROW())/10000)</f>
        <v/>
      </c>
    </row>
    <row r="1217">
      <c r="K1217">
        <f>IF($A1217="","",SUM($E1217:$J1217))</f>
        <v/>
      </c>
      <c r="M1217">
        <f>IF($A1217="","",MAX(0,ROUNDUP(DASHBOARD!$F$3-$D1217,0)))</f>
        <v/>
      </c>
      <c r="N1217">
        <f>IF($A1217="","",$K1217+(5002-ROW())/10000)</f>
        <v/>
      </c>
    </row>
    <row r="1218">
      <c r="K1218">
        <f>IF($A1218="","",SUM($E1218:$J1218))</f>
        <v/>
      </c>
      <c r="M1218">
        <f>IF($A1218="","",MAX(0,ROUNDUP(DASHBOARD!$F$3-$D1218,0)))</f>
        <v/>
      </c>
      <c r="N1218">
        <f>IF($A1218="","",$K1218+(5002-ROW())/10000)</f>
        <v/>
      </c>
    </row>
    <row r="1219">
      <c r="K1219">
        <f>IF($A1219="","",SUM($E1219:$J1219))</f>
        <v/>
      </c>
      <c r="M1219">
        <f>IF($A1219="","",MAX(0,ROUNDUP(DASHBOARD!$F$3-$D1219,0)))</f>
        <v/>
      </c>
      <c r="N1219">
        <f>IF($A1219="","",$K1219+(5002-ROW())/10000)</f>
        <v/>
      </c>
    </row>
    <row r="1220">
      <c r="K1220">
        <f>IF($A1220="","",SUM($E1220:$J1220))</f>
        <v/>
      </c>
      <c r="M1220">
        <f>IF($A1220="","",MAX(0,ROUNDUP(DASHBOARD!$F$3-$D1220,0)))</f>
        <v/>
      </c>
      <c r="N1220">
        <f>IF($A1220="","",$K1220+(5002-ROW())/10000)</f>
        <v/>
      </c>
    </row>
    <row r="1221">
      <c r="K1221">
        <f>IF($A1221="","",SUM($E1221:$J1221))</f>
        <v/>
      </c>
      <c r="M1221">
        <f>IF($A1221="","",MAX(0,ROUNDUP(DASHBOARD!$F$3-$D1221,0)))</f>
        <v/>
      </c>
      <c r="N1221">
        <f>IF($A1221="","",$K1221+(5002-ROW())/10000)</f>
        <v/>
      </c>
    </row>
    <row r="1222">
      <c r="K1222">
        <f>IF($A1222="","",SUM($E1222:$J1222))</f>
        <v/>
      </c>
      <c r="M1222">
        <f>IF($A1222="","",MAX(0,ROUNDUP(DASHBOARD!$F$3-$D1222,0)))</f>
        <v/>
      </c>
      <c r="N1222">
        <f>IF($A1222="","",$K1222+(5002-ROW())/10000)</f>
        <v/>
      </c>
    </row>
    <row r="1223">
      <c r="K1223">
        <f>IF($A1223="","",SUM($E1223:$J1223))</f>
        <v/>
      </c>
      <c r="M1223">
        <f>IF($A1223="","",MAX(0,ROUNDUP(DASHBOARD!$F$3-$D1223,0)))</f>
        <v/>
      </c>
      <c r="N1223">
        <f>IF($A1223="","",$K1223+(5002-ROW())/10000)</f>
        <v/>
      </c>
    </row>
    <row r="1224">
      <c r="K1224">
        <f>IF($A1224="","",SUM($E1224:$J1224))</f>
        <v/>
      </c>
      <c r="M1224">
        <f>IF($A1224="","",MAX(0,ROUNDUP(DASHBOARD!$F$3-$D1224,0)))</f>
        <v/>
      </c>
      <c r="N1224">
        <f>IF($A1224="","",$K1224+(5002-ROW())/10000)</f>
        <v/>
      </c>
    </row>
    <row r="1225">
      <c r="K1225">
        <f>IF($A1225="","",SUM($E1225:$J1225))</f>
        <v/>
      </c>
      <c r="M1225">
        <f>IF($A1225="","",MAX(0,ROUNDUP(DASHBOARD!$F$3-$D1225,0)))</f>
        <v/>
      </c>
      <c r="N1225">
        <f>IF($A1225="","",$K1225+(5002-ROW())/10000)</f>
        <v/>
      </c>
    </row>
    <row r="1226">
      <c r="K1226">
        <f>IF($A1226="","",SUM($E1226:$J1226))</f>
        <v/>
      </c>
      <c r="M1226">
        <f>IF($A1226="","",MAX(0,ROUNDUP(DASHBOARD!$F$3-$D1226,0)))</f>
        <v/>
      </c>
      <c r="N1226">
        <f>IF($A1226="","",$K1226+(5002-ROW())/10000)</f>
        <v/>
      </c>
    </row>
    <row r="1227">
      <c r="K1227">
        <f>IF($A1227="","",SUM($E1227:$J1227))</f>
        <v/>
      </c>
      <c r="M1227">
        <f>IF($A1227="","",MAX(0,ROUNDUP(DASHBOARD!$F$3-$D1227,0)))</f>
        <v/>
      </c>
      <c r="N1227">
        <f>IF($A1227="","",$K1227+(5002-ROW())/10000)</f>
        <v/>
      </c>
    </row>
    <row r="1228">
      <c r="K1228">
        <f>IF($A1228="","",SUM($E1228:$J1228))</f>
        <v/>
      </c>
      <c r="M1228">
        <f>IF($A1228="","",MAX(0,ROUNDUP(DASHBOARD!$F$3-$D1228,0)))</f>
        <v/>
      </c>
      <c r="N1228">
        <f>IF($A1228="","",$K1228+(5002-ROW())/10000)</f>
        <v/>
      </c>
    </row>
    <row r="1229">
      <c r="K1229">
        <f>IF($A1229="","",SUM($E1229:$J1229))</f>
        <v/>
      </c>
      <c r="M1229">
        <f>IF($A1229="","",MAX(0,ROUNDUP(DASHBOARD!$F$3-$D1229,0)))</f>
        <v/>
      </c>
      <c r="N1229">
        <f>IF($A1229="","",$K1229+(5002-ROW())/10000)</f>
        <v/>
      </c>
    </row>
    <row r="1230">
      <c r="K1230">
        <f>IF($A1230="","",SUM($E1230:$J1230))</f>
        <v/>
      </c>
      <c r="M1230">
        <f>IF($A1230="","",MAX(0,ROUNDUP(DASHBOARD!$F$3-$D1230,0)))</f>
        <v/>
      </c>
      <c r="N1230">
        <f>IF($A1230="","",$K1230+(5002-ROW())/10000)</f>
        <v/>
      </c>
    </row>
    <row r="1231">
      <c r="K1231">
        <f>IF($A1231="","",SUM($E1231:$J1231))</f>
        <v/>
      </c>
      <c r="M1231">
        <f>IF($A1231="","",MAX(0,ROUNDUP(DASHBOARD!$F$3-$D1231,0)))</f>
        <v/>
      </c>
      <c r="N1231">
        <f>IF($A1231="","",$K1231+(5002-ROW())/10000)</f>
        <v/>
      </c>
    </row>
    <row r="1232">
      <c r="K1232">
        <f>IF($A1232="","",SUM($E1232:$J1232))</f>
        <v/>
      </c>
      <c r="M1232">
        <f>IF($A1232="","",MAX(0,ROUNDUP(DASHBOARD!$F$3-$D1232,0)))</f>
        <v/>
      </c>
      <c r="N1232">
        <f>IF($A1232="","",$K1232+(5002-ROW())/10000)</f>
        <v/>
      </c>
    </row>
    <row r="1233">
      <c r="K1233">
        <f>IF($A1233="","",SUM($E1233:$J1233))</f>
        <v/>
      </c>
      <c r="M1233">
        <f>IF($A1233="","",MAX(0,ROUNDUP(DASHBOARD!$F$3-$D1233,0)))</f>
        <v/>
      </c>
      <c r="N1233">
        <f>IF($A1233="","",$K1233+(5002-ROW())/10000)</f>
        <v/>
      </c>
    </row>
    <row r="1234">
      <c r="K1234">
        <f>IF($A1234="","",SUM($E1234:$J1234))</f>
        <v/>
      </c>
      <c r="M1234">
        <f>IF($A1234="","",MAX(0,ROUNDUP(DASHBOARD!$F$3-$D1234,0)))</f>
        <v/>
      </c>
      <c r="N1234">
        <f>IF($A1234="","",$K1234+(5002-ROW())/10000)</f>
        <v/>
      </c>
    </row>
    <row r="1235">
      <c r="K1235">
        <f>IF($A1235="","",SUM($E1235:$J1235))</f>
        <v/>
      </c>
      <c r="M1235">
        <f>IF($A1235="","",MAX(0,ROUNDUP(DASHBOARD!$F$3-$D1235,0)))</f>
        <v/>
      </c>
      <c r="N1235">
        <f>IF($A1235="","",$K1235+(5002-ROW())/10000)</f>
        <v/>
      </c>
    </row>
    <row r="1236">
      <c r="K1236">
        <f>IF($A1236="","",SUM($E1236:$J1236))</f>
        <v/>
      </c>
      <c r="M1236">
        <f>IF($A1236="","",MAX(0,ROUNDUP(DASHBOARD!$F$3-$D1236,0)))</f>
        <v/>
      </c>
      <c r="N1236">
        <f>IF($A1236="","",$K1236+(5002-ROW())/10000)</f>
        <v/>
      </c>
    </row>
    <row r="1237">
      <c r="K1237">
        <f>IF($A1237="","",SUM($E1237:$J1237))</f>
        <v/>
      </c>
      <c r="M1237">
        <f>IF($A1237="","",MAX(0,ROUNDUP(DASHBOARD!$F$3-$D1237,0)))</f>
        <v/>
      </c>
      <c r="N1237">
        <f>IF($A1237="","",$K1237+(5002-ROW())/10000)</f>
        <v/>
      </c>
    </row>
    <row r="1238">
      <c r="K1238">
        <f>IF($A1238="","",SUM($E1238:$J1238))</f>
        <v/>
      </c>
      <c r="M1238">
        <f>IF($A1238="","",MAX(0,ROUNDUP(DASHBOARD!$F$3-$D1238,0)))</f>
        <v/>
      </c>
      <c r="N1238">
        <f>IF($A1238="","",$K1238+(5002-ROW())/10000)</f>
        <v/>
      </c>
    </row>
    <row r="1239">
      <c r="K1239">
        <f>IF($A1239="","",SUM($E1239:$J1239))</f>
        <v/>
      </c>
      <c r="M1239">
        <f>IF($A1239="","",MAX(0,ROUNDUP(DASHBOARD!$F$3-$D1239,0)))</f>
        <v/>
      </c>
      <c r="N1239">
        <f>IF($A1239="","",$K1239+(5002-ROW())/10000)</f>
        <v/>
      </c>
    </row>
    <row r="1240">
      <c r="K1240">
        <f>IF($A1240="","",SUM($E1240:$J1240))</f>
        <v/>
      </c>
      <c r="M1240">
        <f>IF($A1240="","",MAX(0,ROUNDUP(DASHBOARD!$F$3-$D1240,0)))</f>
        <v/>
      </c>
      <c r="N1240">
        <f>IF($A1240="","",$K1240+(5002-ROW())/10000)</f>
        <v/>
      </c>
    </row>
    <row r="1241">
      <c r="K1241">
        <f>IF($A1241="","",SUM($E1241:$J1241))</f>
        <v/>
      </c>
      <c r="M1241">
        <f>IF($A1241="","",MAX(0,ROUNDUP(DASHBOARD!$F$3-$D1241,0)))</f>
        <v/>
      </c>
      <c r="N1241">
        <f>IF($A1241="","",$K1241+(5002-ROW())/10000)</f>
        <v/>
      </c>
    </row>
    <row r="1242">
      <c r="K1242">
        <f>IF($A1242="","",SUM($E1242:$J1242))</f>
        <v/>
      </c>
      <c r="M1242">
        <f>IF($A1242="","",MAX(0,ROUNDUP(DASHBOARD!$F$3-$D1242,0)))</f>
        <v/>
      </c>
      <c r="N1242">
        <f>IF($A1242="","",$K1242+(5002-ROW())/10000)</f>
        <v/>
      </c>
    </row>
    <row r="1243">
      <c r="K1243">
        <f>IF($A1243="","",SUM($E1243:$J1243))</f>
        <v/>
      </c>
      <c r="M1243">
        <f>IF($A1243="","",MAX(0,ROUNDUP(DASHBOARD!$F$3-$D1243,0)))</f>
        <v/>
      </c>
      <c r="N1243">
        <f>IF($A1243="","",$K1243+(5002-ROW())/10000)</f>
        <v/>
      </c>
    </row>
    <row r="1244">
      <c r="K1244">
        <f>IF($A1244="","",SUM($E1244:$J1244))</f>
        <v/>
      </c>
      <c r="M1244">
        <f>IF($A1244="","",MAX(0,ROUNDUP(DASHBOARD!$F$3-$D1244,0)))</f>
        <v/>
      </c>
      <c r="N1244">
        <f>IF($A1244="","",$K1244+(5002-ROW())/10000)</f>
        <v/>
      </c>
    </row>
    <row r="1245">
      <c r="K1245">
        <f>IF($A1245="","",SUM($E1245:$J1245))</f>
        <v/>
      </c>
      <c r="M1245">
        <f>IF($A1245="","",MAX(0,ROUNDUP(DASHBOARD!$F$3-$D1245,0)))</f>
        <v/>
      </c>
      <c r="N1245">
        <f>IF($A1245="","",$K1245+(5002-ROW())/10000)</f>
        <v/>
      </c>
    </row>
    <row r="1246">
      <c r="K1246">
        <f>IF($A1246="","",SUM($E1246:$J1246))</f>
        <v/>
      </c>
      <c r="M1246">
        <f>IF($A1246="","",MAX(0,ROUNDUP(DASHBOARD!$F$3-$D1246,0)))</f>
        <v/>
      </c>
      <c r="N1246">
        <f>IF($A1246="","",$K1246+(5002-ROW())/10000)</f>
        <v/>
      </c>
    </row>
    <row r="1247">
      <c r="K1247">
        <f>IF($A1247="","",SUM($E1247:$J1247))</f>
        <v/>
      </c>
      <c r="M1247">
        <f>IF($A1247="","",MAX(0,ROUNDUP(DASHBOARD!$F$3-$D1247,0)))</f>
        <v/>
      </c>
      <c r="N1247">
        <f>IF($A1247="","",$K1247+(5002-ROW())/10000)</f>
        <v/>
      </c>
    </row>
    <row r="1248">
      <c r="K1248">
        <f>IF($A1248="","",SUM($E1248:$J1248))</f>
        <v/>
      </c>
      <c r="M1248">
        <f>IF($A1248="","",MAX(0,ROUNDUP(DASHBOARD!$F$3-$D1248,0)))</f>
        <v/>
      </c>
      <c r="N1248">
        <f>IF($A1248="","",$K1248+(5002-ROW())/10000)</f>
        <v/>
      </c>
    </row>
    <row r="1249">
      <c r="K1249">
        <f>IF($A1249="","",SUM($E1249:$J1249))</f>
        <v/>
      </c>
      <c r="M1249">
        <f>IF($A1249="","",MAX(0,ROUNDUP(DASHBOARD!$F$3-$D1249,0)))</f>
        <v/>
      </c>
      <c r="N1249">
        <f>IF($A1249="","",$K1249+(5002-ROW())/10000)</f>
        <v/>
      </c>
    </row>
    <row r="1250">
      <c r="K1250">
        <f>IF($A1250="","",SUM($E1250:$J1250))</f>
        <v/>
      </c>
      <c r="M1250">
        <f>IF($A1250="","",MAX(0,ROUNDUP(DASHBOARD!$F$3-$D1250,0)))</f>
        <v/>
      </c>
      <c r="N1250">
        <f>IF($A1250="","",$K1250+(5002-ROW())/10000)</f>
        <v/>
      </c>
    </row>
    <row r="1251">
      <c r="K1251">
        <f>IF($A1251="","",SUM($E1251:$J1251))</f>
        <v/>
      </c>
      <c r="M1251">
        <f>IF($A1251="","",MAX(0,ROUNDUP(DASHBOARD!$F$3-$D1251,0)))</f>
        <v/>
      </c>
      <c r="N1251">
        <f>IF($A1251="","",$K1251+(5002-ROW())/10000)</f>
        <v/>
      </c>
    </row>
    <row r="1252">
      <c r="K1252">
        <f>IF($A1252="","",SUM($E1252:$J1252))</f>
        <v/>
      </c>
      <c r="M1252">
        <f>IF($A1252="","",MAX(0,ROUNDUP(DASHBOARD!$F$3-$D1252,0)))</f>
        <v/>
      </c>
      <c r="N1252">
        <f>IF($A1252="","",$K1252+(5002-ROW())/10000)</f>
        <v/>
      </c>
    </row>
    <row r="1253">
      <c r="K1253">
        <f>IF($A1253="","",SUM($E1253:$J1253))</f>
        <v/>
      </c>
      <c r="M1253">
        <f>IF($A1253="","",MAX(0,ROUNDUP(DASHBOARD!$F$3-$D1253,0)))</f>
        <v/>
      </c>
      <c r="N1253">
        <f>IF($A1253="","",$K1253+(5002-ROW())/10000)</f>
        <v/>
      </c>
    </row>
    <row r="1254">
      <c r="K1254">
        <f>IF($A1254="","",SUM($E1254:$J1254))</f>
        <v/>
      </c>
      <c r="M1254">
        <f>IF($A1254="","",MAX(0,ROUNDUP(DASHBOARD!$F$3-$D1254,0)))</f>
        <v/>
      </c>
      <c r="N1254">
        <f>IF($A1254="","",$K1254+(5002-ROW())/10000)</f>
        <v/>
      </c>
    </row>
    <row r="1255">
      <c r="K1255">
        <f>IF($A1255="","",SUM($E1255:$J1255))</f>
        <v/>
      </c>
      <c r="M1255">
        <f>IF($A1255="","",MAX(0,ROUNDUP(DASHBOARD!$F$3-$D1255,0)))</f>
        <v/>
      </c>
      <c r="N1255">
        <f>IF($A1255="","",$K1255+(5002-ROW())/10000)</f>
        <v/>
      </c>
    </row>
    <row r="1256">
      <c r="K1256">
        <f>IF($A1256="","",SUM($E1256:$J1256))</f>
        <v/>
      </c>
      <c r="M1256">
        <f>IF($A1256="","",MAX(0,ROUNDUP(DASHBOARD!$F$3-$D1256,0)))</f>
        <v/>
      </c>
      <c r="N1256">
        <f>IF($A1256="","",$K1256+(5002-ROW())/10000)</f>
        <v/>
      </c>
    </row>
    <row r="1257">
      <c r="K1257">
        <f>IF($A1257="","",SUM($E1257:$J1257))</f>
        <v/>
      </c>
      <c r="M1257">
        <f>IF($A1257="","",MAX(0,ROUNDUP(DASHBOARD!$F$3-$D1257,0)))</f>
        <v/>
      </c>
      <c r="N1257">
        <f>IF($A1257="","",$K1257+(5002-ROW())/10000)</f>
        <v/>
      </c>
    </row>
    <row r="1258">
      <c r="K1258">
        <f>IF($A1258="","",SUM($E1258:$J1258))</f>
        <v/>
      </c>
      <c r="M1258">
        <f>IF($A1258="","",MAX(0,ROUNDUP(DASHBOARD!$F$3-$D1258,0)))</f>
        <v/>
      </c>
      <c r="N1258">
        <f>IF($A1258="","",$K1258+(5002-ROW())/10000)</f>
        <v/>
      </c>
    </row>
    <row r="1259">
      <c r="K1259">
        <f>IF($A1259="","",SUM($E1259:$J1259))</f>
        <v/>
      </c>
      <c r="M1259">
        <f>IF($A1259="","",MAX(0,ROUNDUP(DASHBOARD!$F$3-$D1259,0)))</f>
        <v/>
      </c>
      <c r="N1259">
        <f>IF($A1259="","",$K1259+(5002-ROW())/10000)</f>
        <v/>
      </c>
    </row>
    <row r="1260">
      <c r="K1260">
        <f>IF($A1260="","",SUM($E1260:$J1260))</f>
        <v/>
      </c>
      <c r="M1260">
        <f>IF($A1260="","",MAX(0,ROUNDUP(DASHBOARD!$F$3-$D1260,0)))</f>
        <v/>
      </c>
      <c r="N1260">
        <f>IF($A1260="","",$K1260+(5002-ROW())/10000)</f>
        <v/>
      </c>
    </row>
    <row r="1261">
      <c r="K1261">
        <f>IF($A1261="","",SUM($E1261:$J1261))</f>
        <v/>
      </c>
      <c r="M1261">
        <f>IF($A1261="","",MAX(0,ROUNDUP(DASHBOARD!$F$3-$D1261,0)))</f>
        <v/>
      </c>
      <c r="N1261">
        <f>IF($A1261="","",$K1261+(5002-ROW())/10000)</f>
        <v/>
      </c>
    </row>
    <row r="1262">
      <c r="K1262">
        <f>IF($A1262="","",SUM($E1262:$J1262))</f>
        <v/>
      </c>
      <c r="M1262">
        <f>IF($A1262="","",MAX(0,ROUNDUP(DASHBOARD!$F$3-$D1262,0)))</f>
        <v/>
      </c>
      <c r="N1262">
        <f>IF($A1262="","",$K1262+(5002-ROW())/10000)</f>
        <v/>
      </c>
    </row>
    <row r="1263">
      <c r="K1263">
        <f>IF($A1263="","",SUM($E1263:$J1263))</f>
        <v/>
      </c>
      <c r="M1263">
        <f>IF($A1263="","",MAX(0,ROUNDUP(DASHBOARD!$F$3-$D1263,0)))</f>
        <v/>
      </c>
      <c r="N1263">
        <f>IF($A1263="","",$K1263+(5002-ROW())/10000)</f>
        <v/>
      </c>
    </row>
    <row r="1264">
      <c r="K1264">
        <f>IF($A1264="","",SUM($E1264:$J1264))</f>
        <v/>
      </c>
      <c r="M1264">
        <f>IF($A1264="","",MAX(0,ROUNDUP(DASHBOARD!$F$3-$D1264,0)))</f>
        <v/>
      </c>
      <c r="N1264">
        <f>IF($A1264="","",$K1264+(5002-ROW())/10000)</f>
        <v/>
      </c>
    </row>
    <row r="1265">
      <c r="K1265">
        <f>IF($A1265="","",SUM($E1265:$J1265))</f>
        <v/>
      </c>
      <c r="M1265">
        <f>IF($A1265="","",MAX(0,ROUNDUP(DASHBOARD!$F$3-$D1265,0)))</f>
        <v/>
      </c>
      <c r="N1265">
        <f>IF($A1265="","",$K1265+(5002-ROW())/10000)</f>
        <v/>
      </c>
    </row>
    <row r="1266">
      <c r="K1266">
        <f>IF($A1266="","",SUM($E1266:$J1266))</f>
        <v/>
      </c>
      <c r="M1266">
        <f>IF($A1266="","",MAX(0,ROUNDUP(DASHBOARD!$F$3-$D1266,0)))</f>
        <v/>
      </c>
      <c r="N1266">
        <f>IF($A1266="","",$K1266+(5002-ROW())/10000)</f>
        <v/>
      </c>
    </row>
    <row r="1267">
      <c r="K1267">
        <f>IF($A1267="","",SUM($E1267:$J1267))</f>
        <v/>
      </c>
      <c r="M1267">
        <f>IF($A1267="","",MAX(0,ROUNDUP(DASHBOARD!$F$3-$D1267,0)))</f>
        <v/>
      </c>
      <c r="N1267">
        <f>IF($A1267="","",$K1267+(5002-ROW())/10000)</f>
        <v/>
      </c>
    </row>
    <row r="1268">
      <c r="K1268">
        <f>IF($A1268="","",SUM($E1268:$J1268))</f>
        <v/>
      </c>
      <c r="M1268">
        <f>IF($A1268="","",MAX(0,ROUNDUP(DASHBOARD!$F$3-$D1268,0)))</f>
        <v/>
      </c>
      <c r="N1268">
        <f>IF($A1268="","",$K1268+(5002-ROW())/10000)</f>
        <v/>
      </c>
    </row>
    <row r="1269">
      <c r="K1269">
        <f>IF($A1269="","",SUM($E1269:$J1269))</f>
        <v/>
      </c>
      <c r="M1269">
        <f>IF($A1269="","",MAX(0,ROUNDUP(DASHBOARD!$F$3-$D1269,0)))</f>
        <v/>
      </c>
      <c r="N1269">
        <f>IF($A1269="","",$K1269+(5002-ROW())/10000)</f>
        <v/>
      </c>
    </row>
    <row r="1270">
      <c r="K1270">
        <f>IF($A1270="","",SUM($E1270:$J1270))</f>
        <v/>
      </c>
      <c r="M1270">
        <f>IF($A1270="","",MAX(0,ROUNDUP(DASHBOARD!$F$3-$D1270,0)))</f>
        <v/>
      </c>
      <c r="N1270">
        <f>IF($A1270="","",$K1270+(5002-ROW())/10000)</f>
        <v/>
      </c>
    </row>
    <row r="1271">
      <c r="K1271">
        <f>IF($A1271="","",SUM($E1271:$J1271))</f>
        <v/>
      </c>
      <c r="M1271">
        <f>IF($A1271="","",MAX(0,ROUNDUP(DASHBOARD!$F$3-$D1271,0)))</f>
        <v/>
      </c>
      <c r="N1271">
        <f>IF($A1271="","",$K1271+(5002-ROW())/10000)</f>
        <v/>
      </c>
    </row>
    <row r="1272">
      <c r="K1272">
        <f>IF($A1272="","",SUM($E1272:$J1272))</f>
        <v/>
      </c>
      <c r="M1272">
        <f>IF($A1272="","",MAX(0,ROUNDUP(DASHBOARD!$F$3-$D1272,0)))</f>
        <v/>
      </c>
      <c r="N1272">
        <f>IF($A1272="","",$K1272+(5002-ROW())/10000)</f>
        <v/>
      </c>
    </row>
    <row r="1273">
      <c r="K1273">
        <f>IF($A1273="","",SUM($E1273:$J1273))</f>
        <v/>
      </c>
      <c r="M1273">
        <f>IF($A1273="","",MAX(0,ROUNDUP(DASHBOARD!$F$3-$D1273,0)))</f>
        <v/>
      </c>
      <c r="N1273">
        <f>IF($A1273="","",$K1273+(5002-ROW())/10000)</f>
        <v/>
      </c>
    </row>
    <row r="1274">
      <c r="K1274">
        <f>IF($A1274="","",SUM($E1274:$J1274))</f>
        <v/>
      </c>
      <c r="M1274">
        <f>IF($A1274="","",MAX(0,ROUNDUP(DASHBOARD!$F$3-$D1274,0)))</f>
        <v/>
      </c>
      <c r="N1274">
        <f>IF($A1274="","",$K1274+(5002-ROW())/10000)</f>
        <v/>
      </c>
    </row>
    <row r="1275">
      <c r="K1275">
        <f>IF($A1275="","",SUM($E1275:$J1275))</f>
        <v/>
      </c>
      <c r="M1275">
        <f>IF($A1275="","",MAX(0,ROUNDUP(DASHBOARD!$F$3-$D1275,0)))</f>
        <v/>
      </c>
      <c r="N1275">
        <f>IF($A1275="","",$K1275+(5002-ROW())/10000)</f>
        <v/>
      </c>
    </row>
    <row r="1276">
      <c r="K1276">
        <f>IF($A1276="","",SUM($E1276:$J1276))</f>
        <v/>
      </c>
      <c r="M1276">
        <f>IF($A1276="","",MAX(0,ROUNDUP(DASHBOARD!$F$3-$D1276,0)))</f>
        <v/>
      </c>
      <c r="N1276">
        <f>IF($A1276="","",$K1276+(5002-ROW())/10000)</f>
        <v/>
      </c>
    </row>
    <row r="1277">
      <c r="K1277">
        <f>IF($A1277="","",SUM($E1277:$J1277))</f>
        <v/>
      </c>
      <c r="M1277">
        <f>IF($A1277="","",MAX(0,ROUNDUP(DASHBOARD!$F$3-$D1277,0)))</f>
        <v/>
      </c>
      <c r="N1277">
        <f>IF($A1277="","",$K1277+(5002-ROW())/10000)</f>
        <v/>
      </c>
    </row>
    <row r="1278">
      <c r="K1278">
        <f>IF($A1278="","",SUM($E1278:$J1278))</f>
        <v/>
      </c>
      <c r="M1278">
        <f>IF($A1278="","",MAX(0,ROUNDUP(DASHBOARD!$F$3-$D1278,0)))</f>
        <v/>
      </c>
      <c r="N1278">
        <f>IF($A1278="","",$K1278+(5002-ROW())/10000)</f>
        <v/>
      </c>
    </row>
    <row r="1279">
      <c r="K1279">
        <f>IF($A1279="","",SUM($E1279:$J1279))</f>
        <v/>
      </c>
      <c r="M1279">
        <f>IF($A1279="","",MAX(0,ROUNDUP(DASHBOARD!$F$3-$D1279,0)))</f>
        <v/>
      </c>
      <c r="N1279">
        <f>IF($A1279="","",$K1279+(5002-ROW())/10000)</f>
        <v/>
      </c>
    </row>
    <row r="1280">
      <c r="K1280">
        <f>IF($A1280="","",SUM($E1280:$J1280))</f>
        <v/>
      </c>
      <c r="M1280">
        <f>IF($A1280="","",MAX(0,ROUNDUP(DASHBOARD!$F$3-$D1280,0)))</f>
        <v/>
      </c>
      <c r="N1280">
        <f>IF($A1280="","",$K1280+(5002-ROW())/10000)</f>
        <v/>
      </c>
    </row>
    <row r="1281">
      <c r="K1281">
        <f>IF($A1281="","",SUM($E1281:$J1281))</f>
        <v/>
      </c>
      <c r="M1281">
        <f>IF($A1281="","",MAX(0,ROUNDUP(DASHBOARD!$F$3-$D1281,0)))</f>
        <v/>
      </c>
      <c r="N1281">
        <f>IF($A1281="","",$K1281+(5002-ROW())/10000)</f>
        <v/>
      </c>
    </row>
    <row r="1282">
      <c r="K1282">
        <f>IF($A1282="","",SUM($E1282:$J1282))</f>
        <v/>
      </c>
      <c r="M1282">
        <f>IF($A1282="","",MAX(0,ROUNDUP(DASHBOARD!$F$3-$D1282,0)))</f>
        <v/>
      </c>
      <c r="N1282">
        <f>IF($A1282="","",$K1282+(5002-ROW())/10000)</f>
        <v/>
      </c>
    </row>
    <row r="1283">
      <c r="K1283">
        <f>IF($A1283="","",SUM($E1283:$J1283))</f>
        <v/>
      </c>
      <c r="M1283">
        <f>IF($A1283="","",MAX(0,ROUNDUP(DASHBOARD!$F$3-$D1283,0)))</f>
        <v/>
      </c>
      <c r="N1283">
        <f>IF($A1283="","",$K1283+(5002-ROW())/10000)</f>
        <v/>
      </c>
    </row>
    <row r="1284">
      <c r="K1284">
        <f>IF($A1284="","",SUM($E1284:$J1284))</f>
        <v/>
      </c>
      <c r="M1284">
        <f>IF($A1284="","",MAX(0,ROUNDUP(DASHBOARD!$F$3-$D1284,0)))</f>
        <v/>
      </c>
      <c r="N1284">
        <f>IF($A1284="","",$K1284+(5002-ROW())/10000)</f>
        <v/>
      </c>
    </row>
    <row r="1285">
      <c r="K1285">
        <f>IF($A1285="","",SUM($E1285:$J1285))</f>
        <v/>
      </c>
      <c r="M1285">
        <f>IF($A1285="","",MAX(0,ROUNDUP(DASHBOARD!$F$3-$D1285,0)))</f>
        <v/>
      </c>
      <c r="N1285">
        <f>IF($A1285="","",$K1285+(5002-ROW())/10000)</f>
        <v/>
      </c>
    </row>
    <row r="1286">
      <c r="K1286">
        <f>IF($A1286="","",SUM($E1286:$J1286))</f>
        <v/>
      </c>
      <c r="M1286">
        <f>IF($A1286="","",MAX(0,ROUNDUP(DASHBOARD!$F$3-$D1286,0)))</f>
        <v/>
      </c>
      <c r="N1286">
        <f>IF($A1286="","",$K1286+(5002-ROW())/10000)</f>
        <v/>
      </c>
    </row>
    <row r="1287">
      <c r="K1287">
        <f>IF($A1287="","",SUM($E1287:$J1287))</f>
        <v/>
      </c>
      <c r="M1287">
        <f>IF($A1287="","",MAX(0,ROUNDUP(DASHBOARD!$F$3-$D1287,0)))</f>
        <v/>
      </c>
      <c r="N1287">
        <f>IF($A1287="","",$K1287+(5002-ROW())/10000)</f>
        <v/>
      </c>
    </row>
    <row r="1288">
      <c r="K1288">
        <f>IF($A1288="","",SUM($E1288:$J1288))</f>
        <v/>
      </c>
      <c r="M1288">
        <f>IF($A1288="","",MAX(0,ROUNDUP(DASHBOARD!$F$3-$D1288,0)))</f>
        <v/>
      </c>
      <c r="N1288">
        <f>IF($A1288="","",$K1288+(5002-ROW())/10000)</f>
        <v/>
      </c>
    </row>
    <row r="1289">
      <c r="K1289">
        <f>IF($A1289="","",SUM($E1289:$J1289))</f>
        <v/>
      </c>
      <c r="M1289">
        <f>IF($A1289="","",MAX(0,ROUNDUP(DASHBOARD!$F$3-$D1289,0)))</f>
        <v/>
      </c>
      <c r="N1289">
        <f>IF($A1289="","",$K1289+(5002-ROW())/10000)</f>
        <v/>
      </c>
    </row>
    <row r="1290">
      <c r="K1290">
        <f>IF($A1290="","",SUM($E1290:$J1290))</f>
        <v/>
      </c>
      <c r="M1290">
        <f>IF($A1290="","",MAX(0,ROUNDUP(DASHBOARD!$F$3-$D1290,0)))</f>
        <v/>
      </c>
      <c r="N1290">
        <f>IF($A1290="","",$K1290+(5002-ROW())/10000)</f>
        <v/>
      </c>
    </row>
    <row r="1291">
      <c r="K1291">
        <f>IF($A1291="","",SUM($E1291:$J1291))</f>
        <v/>
      </c>
      <c r="M1291">
        <f>IF($A1291="","",MAX(0,ROUNDUP(DASHBOARD!$F$3-$D1291,0)))</f>
        <v/>
      </c>
      <c r="N1291">
        <f>IF($A1291="","",$K1291+(5002-ROW())/10000)</f>
        <v/>
      </c>
    </row>
    <row r="1292">
      <c r="K1292">
        <f>IF($A1292="","",SUM($E1292:$J1292))</f>
        <v/>
      </c>
      <c r="M1292">
        <f>IF($A1292="","",MAX(0,ROUNDUP(DASHBOARD!$F$3-$D1292,0)))</f>
        <v/>
      </c>
      <c r="N1292">
        <f>IF($A1292="","",$K1292+(5002-ROW())/10000)</f>
        <v/>
      </c>
    </row>
    <row r="1293">
      <c r="K1293">
        <f>IF($A1293="","",SUM($E1293:$J1293))</f>
        <v/>
      </c>
      <c r="M1293">
        <f>IF($A1293="","",MAX(0,ROUNDUP(DASHBOARD!$F$3-$D1293,0)))</f>
        <v/>
      </c>
      <c r="N1293">
        <f>IF($A1293="","",$K1293+(5002-ROW())/10000)</f>
        <v/>
      </c>
    </row>
    <row r="1294">
      <c r="K1294">
        <f>IF($A1294="","",SUM($E1294:$J1294))</f>
        <v/>
      </c>
      <c r="M1294">
        <f>IF($A1294="","",MAX(0,ROUNDUP(DASHBOARD!$F$3-$D1294,0)))</f>
        <v/>
      </c>
      <c r="N1294">
        <f>IF($A1294="","",$K1294+(5002-ROW())/10000)</f>
        <v/>
      </c>
    </row>
    <row r="1295">
      <c r="K1295">
        <f>IF($A1295="","",SUM($E1295:$J1295))</f>
        <v/>
      </c>
      <c r="M1295">
        <f>IF($A1295="","",MAX(0,ROUNDUP(DASHBOARD!$F$3-$D1295,0)))</f>
        <v/>
      </c>
      <c r="N1295">
        <f>IF($A1295="","",$K1295+(5002-ROW())/10000)</f>
        <v/>
      </c>
    </row>
    <row r="1296">
      <c r="K1296">
        <f>IF($A1296="","",SUM($E1296:$J1296))</f>
        <v/>
      </c>
      <c r="M1296">
        <f>IF($A1296="","",MAX(0,ROUNDUP(DASHBOARD!$F$3-$D1296,0)))</f>
        <v/>
      </c>
      <c r="N1296">
        <f>IF($A1296="","",$K1296+(5002-ROW())/10000)</f>
        <v/>
      </c>
    </row>
    <row r="1297">
      <c r="K1297">
        <f>IF($A1297="","",SUM($E1297:$J1297))</f>
        <v/>
      </c>
      <c r="M1297">
        <f>IF($A1297="","",MAX(0,ROUNDUP(DASHBOARD!$F$3-$D1297,0)))</f>
        <v/>
      </c>
      <c r="N1297">
        <f>IF($A1297="","",$K1297+(5002-ROW())/10000)</f>
        <v/>
      </c>
    </row>
    <row r="1298">
      <c r="K1298">
        <f>IF($A1298="","",SUM($E1298:$J1298))</f>
        <v/>
      </c>
      <c r="M1298">
        <f>IF($A1298="","",MAX(0,ROUNDUP(DASHBOARD!$F$3-$D1298,0)))</f>
        <v/>
      </c>
      <c r="N1298">
        <f>IF($A1298="","",$K1298+(5002-ROW())/10000)</f>
        <v/>
      </c>
    </row>
    <row r="1299">
      <c r="K1299">
        <f>IF($A1299="","",SUM($E1299:$J1299))</f>
        <v/>
      </c>
      <c r="M1299">
        <f>IF($A1299="","",MAX(0,ROUNDUP(DASHBOARD!$F$3-$D1299,0)))</f>
        <v/>
      </c>
      <c r="N1299">
        <f>IF($A1299="","",$K1299+(5002-ROW())/10000)</f>
        <v/>
      </c>
    </row>
    <row r="1300">
      <c r="K1300">
        <f>IF($A1300="","",SUM($E1300:$J1300))</f>
        <v/>
      </c>
      <c r="M1300">
        <f>IF($A1300="","",MAX(0,ROUNDUP(DASHBOARD!$F$3-$D1300,0)))</f>
        <v/>
      </c>
      <c r="N1300">
        <f>IF($A1300="","",$K1300+(5002-ROW())/10000)</f>
        <v/>
      </c>
    </row>
    <row r="1301">
      <c r="K1301">
        <f>IF($A1301="","",SUM($E1301:$J1301))</f>
        <v/>
      </c>
      <c r="M1301">
        <f>IF($A1301="","",MAX(0,ROUNDUP(DASHBOARD!$F$3-$D1301,0)))</f>
        <v/>
      </c>
      <c r="N1301">
        <f>IF($A1301="","",$K1301+(5002-ROW())/10000)</f>
        <v/>
      </c>
    </row>
    <row r="1302">
      <c r="K1302">
        <f>IF($A1302="","",SUM($E1302:$J1302))</f>
        <v/>
      </c>
      <c r="M1302">
        <f>IF($A1302="","",MAX(0,ROUNDUP(DASHBOARD!$F$3-$D1302,0)))</f>
        <v/>
      </c>
      <c r="N1302">
        <f>IF($A1302="","",$K1302+(5002-ROW())/10000)</f>
        <v/>
      </c>
    </row>
    <row r="1303">
      <c r="K1303">
        <f>IF($A1303="","",SUM($E1303:$J1303))</f>
        <v/>
      </c>
      <c r="M1303">
        <f>IF($A1303="","",MAX(0,ROUNDUP(DASHBOARD!$F$3-$D1303,0)))</f>
        <v/>
      </c>
      <c r="N1303">
        <f>IF($A1303="","",$K1303+(5002-ROW())/10000)</f>
        <v/>
      </c>
    </row>
    <row r="1304">
      <c r="K1304">
        <f>IF($A1304="","",SUM($E1304:$J1304))</f>
        <v/>
      </c>
      <c r="M1304">
        <f>IF($A1304="","",MAX(0,ROUNDUP(DASHBOARD!$F$3-$D1304,0)))</f>
        <v/>
      </c>
      <c r="N1304">
        <f>IF($A1304="","",$K1304+(5002-ROW())/10000)</f>
        <v/>
      </c>
    </row>
    <row r="1305">
      <c r="K1305">
        <f>IF($A1305="","",SUM($E1305:$J1305))</f>
        <v/>
      </c>
      <c r="M1305">
        <f>IF($A1305="","",MAX(0,ROUNDUP(DASHBOARD!$F$3-$D1305,0)))</f>
        <v/>
      </c>
      <c r="N1305">
        <f>IF($A1305="","",$K1305+(5002-ROW())/10000)</f>
        <v/>
      </c>
    </row>
    <row r="1306">
      <c r="K1306">
        <f>IF($A1306="","",SUM($E1306:$J1306))</f>
        <v/>
      </c>
      <c r="M1306">
        <f>IF($A1306="","",MAX(0,ROUNDUP(DASHBOARD!$F$3-$D1306,0)))</f>
        <v/>
      </c>
      <c r="N1306">
        <f>IF($A1306="","",$K1306+(5002-ROW())/10000)</f>
        <v/>
      </c>
    </row>
    <row r="1307">
      <c r="K1307">
        <f>IF($A1307="","",SUM($E1307:$J1307))</f>
        <v/>
      </c>
      <c r="M1307">
        <f>IF($A1307="","",MAX(0,ROUNDUP(DASHBOARD!$F$3-$D1307,0)))</f>
        <v/>
      </c>
      <c r="N1307">
        <f>IF($A1307="","",$K1307+(5002-ROW())/10000)</f>
        <v/>
      </c>
    </row>
    <row r="1308">
      <c r="K1308">
        <f>IF($A1308="","",SUM($E1308:$J1308))</f>
        <v/>
      </c>
      <c r="M1308">
        <f>IF($A1308="","",MAX(0,ROUNDUP(DASHBOARD!$F$3-$D1308,0)))</f>
        <v/>
      </c>
      <c r="N1308">
        <f>IF($A1308="","",$K1308+(5002-ROW())/10000)</f>
        <v/>
      </c>
    </row>
    <row r="1309">
      <c r="K1309">
        <f>IF($A1309="","",SUM($E1309:$J1309))</f>
        <v/>
      </c>
      <c r="M1309">
        <f>IF($A1309="","",MAX(0,ROUNDUP(DASHBOARD!$F$3-$D1309,0)))</f>
        <v/>
      </c>
      <c r="N1309">
        <f>IF($A1309="","",$K1309+(5002-ROW())/10000)</f>
        <v/>
      </c>
    </row>
    <row r="1310">
      <c r="K1310">
        <f>IF($A1310="","",SUM($E1310:$J1310))</f>
        <v/>
      </c>
      <c r="M1310">
        <f>IF($A1310="","",MAX(0,ROUNDUP(DASHBOARD!$F$3-$D1310,0)))</f>
        <v/>
      </c>
      <c r="N1310">
        <f>IF($A1310="","",$K1310+(5002-ROW())/10000)</f>
        <v/>
      </c>
    </row>
    <row r="1311">
      <c r="K1311">
        <f>IF($A1311="","",SUM($E1311:$J1311))</f>
        <v/>
      </c>
      <c r="M1311">
        <f>IF($A1311="","",MAX(0,ROUNDUP(DASHBOARD!$F$3-$D1311,0)))</f>
        <v/>
      </c>
      <c r="N1311">
        <f>IF($A1311="","",$K1311+(5002-ROW())/10000)</f>
        <v/>
      </c>
    </row>
    <row r="1312">
      <c r="K1312">
        <f>IF($A1312="","",SUM($E1312:$J1312))</f>
        <v/>
      </c>
      <c r="M1312">
        <f>IF($A1312="","",MAX(0,ROUNDUP(DASHBOARD!$F$3-$D1312,0)))</f>
        <v/>
      </c>
      <c r="N1312">
        <f>IF($A1312="","",$K1312+(5002-ROW())/10000)</f>
        <v/>
      </c>
    </row>
    <row r="1313">
      <c r="K1313">
        <f>IF($A1313="","",SUM($E1313:$J1313))</f>
        <v/>
      </c>
      <c r="M1313">
        <f>IF($A1313="","",MAX(0,ROUNDUP(DASHBOARD!$F$3-$D1313,0)))</f>
        <v/>
      </c>
      <c r="N1313">
        <f>IF($A1313="","",$K1313+(5002-ROW())/10000)</f>
        <v/>
      </c>
    </row>
    <row r="1314">
      <c r="K1314">
        <f>IF($A1314="","",SUM($E1314:$J1314))</f>
        <v/>
      </c>
      <c r="M1314">
        <f>IF($A1314="","",MAX(0,ROUNDUP(DASHBOARD!$F$3-$D1314,0)))</f>
        <v/>
      </c>
      <c r="N1314">
        <f>IF($A1314="","",$K1314+(5002-ROW())/10000)</f>
        <v/>
      </c>
    </row>
    <row r="1315">
      <c r="K1315">
        <f>IF($A1315="","",SUM($E1315:$J1315))</f>
        <v/>
      </c>
      <c r="M1315">
        <f>IF($A1315="","",MAX(0,ROUNDUP(DASHBOARD!$F$3-$D1315,0)))</f>
        <v/>
      </c>
      <c r="N1315">
        <f>IF($A1315="","",$K1315+(5002-ROW())/10000)</f>
        <v/>
      </c>
    </row>
    <row r="1316">
      <c r="K1316">
        <f>IF($A1316="","",SUM($E1316:$J1316))</f>
        <v/>
      </c>
      <c r="M1316">
        <f>IF($A1316="","",MAX(0,ROUNDUP(DASHBOARD!$F$3-$D1316,0)))</f>
        <v/>
      </c>
      <c r="N1316">
        <f>IF($A1316="","",$K1316+(5002-ROW())/10000)</f>
        <v/>
      </c>
    </row>
    <row r="1317">
      <c r="K1317">
        <f>IF($A1317="","",SUM($E1317:$J1317))</f>
        <v/>
      </c>
      <c r="M1317">
        <f>IF($A1317="","",MAX(0,ROUNDUP(DASHBOARD!$F$3-$D1317,0)))</f>
        <v/>
      </c>
      <c r="N1317">
        <f>IF($A1317="","",$K1317+(5002-ROW())/10000)</f>
        <v/>
      </c>
    </row>
    <row r="1318">
      <c r="K1318">
        <f>IF($A1318="","",SUM($E1318:$J1318))</f>
        <v/>
      </c>
      <c r="M1318">
        <f>IF($A1318="","",MAX(0,ROUNDUP(DASHBOARD!$F$3-$D1318,0)))</f>
        <v/>
      </c>
      <c r="N1318">
        <f>IF($A1318="","",$K1318+(5002-ROW())/10000)</f>
        <v/>
      </c>
    </row>
    <row r="1319">
      <c r="K1319">
        <f>IF($A1319="","",SUM($E1319:$J1319))</f>
        <v/>
      </c>
      <c r="M1319">
        <f>IF($A1319="","",MAX(0,ROUNDUP(DASHBOARD!$F$3-$D1319,0)))</f>
        <v/>
      </c>
      <c r="N1319">
        <f>IF($A1319="","",$K1319+(5002-ROW())/10000)</f>
        <v/>
      </c>
    </row>
    <row r="1320">
      <c r="K1320">
        <f>IF($A1320="","",SUM($E1320:$J1320))</f>
        <v/>
      </c>
      <c r="M1320">
        <f>IF($A1320="","",MAX(0,ROUNDUP(DASHBOARD!$F$3-$D1320,0)))</f>
        <v/>
      </c>
      <c r="N1320">
        <f>IF($A1320="","",$K1320+(5002-ROW())/10000)</f>
        <v/>
      </c>
    </row>
    <row r="1321">
      <c r="K1321">
        <f>IF($A1321="","",SUM($E1321:$J1321))</f>
        <v/>
      </c>
      <c r="M1321">
        <f>IF($A1321="","",MAX(0,ROUNDUP(DASHBOARD!$F$3-$D1321,0)))</f>
        <v/>
      </c>
      <c r="N1321">
        <f>IF($A1321="","",$K1321+(5002-ROW())/10000)</f>
        <v/>
      </c>
    </row>
    <row r="1322">
      <c r="K1322">
        <f>IF($A1322="","",SUM($E1322:$J1322))</f>
        <v/>
      </c>
      <c r="M1322">
        <f>IF($A1322="","",MAX(0,ROUNDUP(DASHBOARD!$F$3-$D1322,0)))</f>
        <v/>
      </c>
      <c r="N1322">
        <f>IF($A1322="","",$K1322+(5002-ROW())/10000)</f>
        <v/>
      </c>
    </row>
    <row r="1323">
      <c r="K1323">
        <f>IF($A1323="","",SUM($E1323:$J1323))</f>
        <v/>
      </c>
      <c r="M1323">
        <f>IF($A1323="","",MAX(0,ROUNDUP(DASHBOARD!$F$3-$D1323,0)))</f>
        <v/>
      </c>
      <c r="N1323">
        <f>IF($A1323="","",$K1323+(5002-ROW())/10000)</f>
        <v/>
      </c>
    </row>
    <row r="1324">
      <c r="K1324">
        <f>IF($A1324="","",SUM($E1324:$J1324))</f>
        <v/>
      </c>
      <c r="M1324">
        <f>IF($A1324="","",MAX(0,ROUNDUP(DASHBOARD!$F$3-$D1324,0)))</f>
        <v/>
      </c>
      <c r="N1324">
        <f>IF($A1324="","",$K1324+(5002-ROW())/10000)</f>
        <v/>
      </c>
    </row>
    <row r="1325">
      <c r="K1325">
        <f>IF($A1325="","",SUM($E1325:$J1325))</f>
        <v/>
      </c>
      <c r="M1325">
        <f>IF($A1325="","",MAX(0,ROUNDUP(DASHBOARD!$F$3-$D1325,0)))</f>
        <v/>
      </c>
      <c r="N1325">
        <f>IF($A1325="","",$K1325+(5002-ROW())/10000)</f>
        <v/>
      </c>
    </row>
    <row r="1326">
      <c r="K1326">
        <f>IF($A1326="","",SUM($E1326:$J1326))</f>
        <v/>
      </c>
      <c r="M1326">
        <f>IF($A1326="","",MAX(0,ROUNDUP(DASHBOARD!$F$3-$D1326,0)))</f>
        <v/>
      </c>
      <c r="N1326">
        <f>IF($A1326="","",$K1326+(5002-ROW())/10000)</f>
        <v/>
      </c>
    </row>
    <row r="1327">
      <c r="K1327">
        <f>IF($A1327="","",SUM($E1327:$J1327))</f>
        <v/>
      </c>
      <c r="M1327">
        <f>IF($A1327="","",MAX(0,ROUNDUP(DASHBOARD!$F$3-$D1327,0)))</f>
        <v/>
      </c>
      <c r="N1327">
        <f>IF($A1327="","",$K1327+(5002-ROW())/10000)</f>
        <v/>
      </c>
    </row>
    <row r="1328">
      <c r="K1328">
        <f>IF($A1328="","",SUM($E1328:$J1328))</f>
        <v/>
      </c>
      <c r="M1328">
        <f>IF($A1328="","",MAX(0,ROUNDUP(DASHBOARD!$F$3-$D1328,0)))</f>
        <v/>
      </c>
      <c r="N1328">
        <f>IF($A1328="","",$K1328+(5002-ROW())/10000)</f>
        <v/>
      </c>
    </row>
    <row r="1329">
      <c r="K1329">
        <f>IF($A1329="","",SUM($E1329:$J1329))</f>
        <v/>
      </c>
      <c r="M1329">
        <f>IF($A1329="","",MAX(0,ROUNDUP(DASHBOARD!$F$3-$D1329,0)))</f>
        <v/>
      </c>
      <c r="N1329">
        <f>IF($A1329="","",$K1329+(5002-ROW())/10000)</f>
        <v/>
      </c>
    </row>
    <row r="1330">
      <c r="K1330">
        <f>IF($A1330="","",SUM($E1330:$J1330))</f>
        <v/>
      </c>
      <c r="M1330">
        <f>IF($A1330="","",MAX(0,ROUNDUP(DASHBOARD!$F$3-$D1330,0)))</f>
        <v/>
      </c>
      <c r="N1330">
        <f>IF($A1330="","",$K1330+(5002-ROW())/10000)</f>
        <v/>
      </c>
    </row>
    <row r="1331">
      <c r="K1331">
        <f>IF($A1331="","",SUM($E1331:$J1331))</f>
        <v/>
      </c>
      <c r="M1331">
        <f>IF($A1331="","",MAX(0,ROUNDUP(DASHBOARD!$F$3-$D1331,0)))</f>
        <v/>
      </c>
      <c r="N1331">
        <f>IF($A1331="","",$K1331+(5002-ROW())/10000)</f>
        <v/>
      </c>
    </row>
    <row r="1332">
      <c r="K1332">
        <f>IF($A1332="","",SUM($E1332:$J1332))</f>
        <v/>
      </c>
      <c r="M1332">
        <f>IF($A1332="","",MAX(0,ROUNDUP(DASHBOARD!$F$3-$D1332,0)))</f>
        <v/>
      </c>
      <c r="N1332">
        <f>IF($A1332="","",$K1332+(5002-ROW())/10000)</f>
        <v/>
      </c>
    </row>
    <row r="1333">
      <c r="K1333">
        <f>IF($A1333="","",SUM($E1333:$J1333))</f>
        <v/>
      </c>
      <c r="M1333">
        <f>IF($A1333="","",MAX(0,ROUNDUP(DASHBOARD!$F$3-$D1333,0)))</f>
        <v/>
      </c>
      <c r="N1333">
        <f>IF($A1333="","",$K1333+(5002-ROW())/10000)</f>
        <v/>
      </c>
    </row>
    <row r="1334">
      <c r="K1334">
        <f>IF($A1334="","",SUM($E1334:$J1334))</f>
        <v/>
      </c>
      <c r="M1334">
        <f>IF($A1334="","",MAX(0,ROUNDUP(DASHBOARD!$F$3-$D1334,0)))</f>
        <v/>
      </c>
      <c r="N1334">
        <f>IF($A1334="","",$K1334+(5002-ROW())/10000)</f>
        <v/>
      </c>
    </row>
    <row r="1335">
      <c r="K1335">
        <f>IF($A1335="","",SUM($E1335:$J1335))</f>
        <v/>
      </c>
      <c r="M1335">
        <f>IF($A1335="","",MAX(0,ROUNDUP(DASHBOARD!$F$3-$D1335,0)))</f>
        <v/>
      </c>
      <c r="N1335">
        <f>IF($A1335="","",$K1335+(5002-ROW())/10000)</f>
        <v/>
      </c>
    </row>
    <row r="1336">
      <c r="K1336">
        <f>IF($A1336="","",SUM($E1336:$J1336))</f>
        <v/>
      </c>
      <c r="M1336">
        <f>IF($A1336="","",MAX(0,ROUNDUP(DASHBOARD!$F$3-$D1336,0)))</f>
        <v/>
      </c>
      <c r="N1336">
        <f>IF($A1336="","",$K1336+(5002-ROW())/10000)</f>
        <v/>
      </c>
    </row>
    <row r="1337">
      <c r="K1337">
        <f>IF($A1337="","",SUM($E1337:$J1337))</f>
        <v/>
      </c>
      <c r="M1337">
        <f>IF($A1337="","",MAX(0,ROUNDUP(DASHBOARD!$F$3-$D1337,0)))</f>
        <v/>
      </c>
      <c r="N1337">
        <f>IF($A1337="","",$K1337+(5002-ROW())/10000)</f>
        <v/>
      </c>
    </row>
    <row r="1338">
      <c r="K1338">
        <f>IF($A1338="","",SUM($E1338:$J1338))</f>
        <v/>
      </c>
      <c r="M1338">
        <f>IF($A1338="","",MAX(0,ROUNDUP(DASHBOARD!$F$3-$D1338,0)))</f>
        <v/>
      </c>
      <c r="N1338">
        <f>IF($A1338="","",$K1338+(5002-ROW())/10000)</f>
        <v/>
      </c>
    </row>
    <row r="1339">
      <c r="K1339">
        <f>IF($A1339="","",SUM($E1339:$J1339))</f>
        <v/>
      </c>
      <c r="M1339">
        <f>IF($A1339="","",MAX(0,ROUNDUP(DASHBOARD!$F$3-$D1339,0)))</f>
        <v/>
      </c>
      <c r="N1339">
        <f>IF($A1339="","",$K1339+(5002-ROW())/10000)</f>
        <v/>
      </c>
    </row>
    <row r="1340">
      <c r="K1340">
        <f>IF($A1340="","",SUM($E1340:$J1340))</f>
        <v/>
      </c>
      <c r="M1340">
        <f>IF($A1340="","",MAX(0,ROUNDUP(DASHBOARD!$F$3-$D1340,0)))</f>
        <v/>
      </c>
      <c r="N1340">
        <f>IF($A1340="","",$K1340+(5002-ROW())/10000)</f>
        <v/>
      </c>
    </row>
    <row r="1341">
      <c r="K1341">
        <f>IF($A1341="","",SUM($E1341:$J1341))</f>
        <v/>
      </c>
      <c r="M1341">
        <f>IF($A1341="","",MAX(0,ROUNDUP(DASHBOARD!$F$3-$D1341,0)))</f>
        <v/>
      </c>
      <c r="N1341">
        <f>IF($A1341="","",$K1341+(5002-ROW())/10000)</f>
        <v/>
      </c>
    </row>
    <row r="1342">
      <c r="K1342">
        <f>IF($A1342="","",SUM($E1342:$J1342))</f>
        <v/>
      </c>
      <c r="M1342">
        <f>IF($A1342="","",MAX(0,ROUNDUP(DASHBOARD!$F$3-$D1342,0)))</f>
        <v/>
      </c>
      <c r="N1342">
        <f>IF($A1342="","",$K1342+(5002-ROW())/10000)</f>
        <v/>
      </c>
    </row>
    <row r="1343">
      <c r="K1343">
        <f>IF($A1343="","",SUM($E1343:$J1343))</f>
        <v/>
      </c>
      <c r="M1343">
        <f>IF($A1343="","",MAX(0,ROUNDUP(DASHBOARD!$F$3-$D1343,0)))</f>
        <v/>
      </c>
      <c r="N1343">
        <f>IF($A1343="","",$K1343+(5002-ROW())/10000)</f>
        <v/>
      </c>
    </row>
    <row r="1344">
      <c r="K1344">
        <f>IF($A1344="","",SUM($E1344:$J1344))</f>
        <v/>
      </c>
      <c r="M1344">
        <f>IF($A1344="","",MAX(0,ROUNDUP(DASHBOARD!$F$3-$D1344,0)))</f>
        <v/>
      </c>
      <c r="N1344">
        <f>IF($A1344="","",$K1344+(5002-ROW())/10000)</f>
        <v/>
      </c>
    </row>
    <row r="1345">
      <c r="K1345">
        <f>IF($A1345="","",SUM($E1345:$J1345))</f>
        <v/>
      </c>
      <c r="M1345">
        <f>IF($A1345="","",MAX(0,ROUNDUP(DASHBOARD!$F$3-$D1345,0)))</f>
        <v/>
      </c>
      <c r="N1345">
        <f>IF($A1345="","",$K1345+(5002-ROW())/10000)</f>
        <v/>
      </c>
    </row>
    <row r="1346">
      <c r="K1346">
        <f>IF($A1346="","",SUM($E1346:$J1346))</f>
        <v/>
      </c>
      <c r="M1346">
        <f>IF($A1346="","",MAX(0,ROUNDUP(DASHBOARD!$F$3-$D1346,0)))</f>
        <v/>
      </c>
      <c r="N1346">
        <f>IF($A1346="","",$K1346+(5002-ROW())/10000)</f>
        <v/>
      </c>
    </row>
    <row r="1347">
      <c r="K1347">
        <f>IF($A1347="","",SUM($E1347:$J1347))</f>
        <v/>
      </c>
      <c r="M1347">
        <f>IF($A1347="","",MAX(0,ROUNDUP(DASHBOARD!$F$3-$D1347,0)))</f>
        <v/>
      </c>
      <c r="N1347">
        <f>IF($A1347="","",$K1347+(5002-ROW())/10000)</f>
        <v/>
      </c>
    </row>
    <row r="1348">
      <c r="K1348">
        <f>IF($A1348="","",SUM($E1348:$J1348))</f>
        <v/>
      </c>
      <c r="M1348">
        <f>IF($A1348="","",MAX(0,ROUNDUP(DASHBOARD!$F$3-$D1348,0)))</f>
        <v/>
      </c>
      <c r="N1348">
        <f>IF($A1348="","",$K1348+(5002-ROW())/10000)</f>
        <v/>
      </c>
    </row>
    <row r="1349">
      <c r="K1349">
        <f>IF($A1349="","",SUM($E1349:$J1349))</f>
        <v/>
      </c>
      <c r="M1349">
        <f>IF($A1349="","",MAX(0,ROUNDUP(DASHBOARD!$F$3-$D1349,0)))</f>
        <v/>
      </c>
      <c r="N1349">
        <f>IF($A1349="","",$K1349+(5002-ROW())/10000)</f>
        <v/>
      </c>
    </row>
    <row r="1350">
      <c r="K1350">
        <f>IF($A1350="","",SUM($E1350:$J1350))</f>
        <v/>
      </c>
      <c r="M1350">
        <f>IF($A1350="","",MAX(0,ROUNDUP(DASHBOARD!$F$3-$D1350,0)))</f>
        <v/>
      </c>
      <c r="N1350">
        <f>IF($A1350="","",$K1350+(5002-ROW())/10000)</f>
        <v/>
      </c>
    </row>
    <row r="1351">
      <c r="K1351">
        <f>IF($A1351="","",SUM($E1351:$J1351))</f>
        <v/>
      </c>
      <c r="M1351">
        <f>IF($A1351="","",MAX(0,ROUNDUP(DASHBOARD!$F$3-$D1351,0)))</f>
        <v/>
      </c>
      <c r="N1351">
        <f>IF($A1351="","",$K1351+(5002-ROW())/10000)</f>
        <v/>
      </c>
    </row>
    <row r="1352">
      <c r="K1352">
        <f>IF($A1352="","",SUM($E1352:$J1352))</f>
        <v/>
      </c>
      <c r="M1352">
        <f>IF($A1352="","",MAX(0,ROUNDUP(DASHBOARD!$F$3-$D1352,0)))</f>
        <v/>
      </c>
      <c r="N1352">
        <f>IF($A1352="","",$K1352+(5002-ROW())/10000)</f>
        <v/>
      </c>
    </row>
    <row r="1353">
      <c r="K1353">
        <f>IF($A1353="","",SUM($E1353:$J1353))</f>
        <v/>
      </c>
      <c r="M1353">
        <f>IF($A1353="","",MAX(0,ROUNDUP(DASHBOARD!$F$3-$D1353,0)))</f>
        <v/>
      </c>
      <c r="N1353">
        <f>IF($A1353="","",$K1353+(5002-ROW())/10000)</f>
        <v/>
      </c>
    </row>
    <row r="1354">
      <c r="K1354">
        <f>IF($A1354="","",SUM($E1354:$J1354))</f>
        <v/>
      </c>
      <c r="M1354">
        <f>IF($A1354="","",MAX(0,ROUNDUP(DASHBOARD!$F$3-$D1354,0)))</f>
        <v/>
      </c>
      <c r="N1354">
        <f>IF($A1354="","",$K1354+(5002-ROW())/10000)</f>
        <v/>
      </c>
    </row>
    <row r="1355">
      <c r="K1355">
        <f>IF($A1355="","",SUM($E1355:$J1355))</f>
        <v/>
      </c>
      <c r="M1355">
        <f>IF($A1355="","",MAX(0,ROUNDUP(DASHBOARD!$F$3-$D1355,0)))</f>
        <v/>
      </c>
      <c r="N1355">
        <f>IF($A1355="","",$K1355+(5002-ROW())/10000)</f>
        <v/>
      </c>
    </row>
    <row r="1356">
      <c r="K1356">
        <f>IF($A1356="","",SUM($E1356:$J1356))</f>
        <v/>
      </c>
      <c r="M1356">
        <f>IF($A1356="","",MAX(0,ROUNDUP(DASHBOARD!$F$3-$D1356,0)))</f>
        <v/>
      </c>
      <c r="N1356">
        <f>IF($A1356="","",$K1356+(5002-ROW())/10000)</f>
        <v/>
      </c>
    </row>
    <row r="1357">
      <c r="K1357">
        <f>IF($A1357="","",SUM($E1357:$J1357))</f>
        <v/>
      </c>
      <c r="M1357">
        <f>IF($A1357="","",MAX(0,ROUNDUP(DASHBOARD!$F$3-$D1357,0)))</f>
        <v/>
      </c>
      <c r="N1357">
        <f>IF($A1357="","",$K1357+(5002-ROW())/10000)</f>
        <v/>
      </c>
    </row>
    <row r="1358">
      <c r="K1358">
        <f>IF($A1358="","",SUM($E1358:$J1358))</f>
        <v/>
      </c>
      <c r="M1358">
        <f>IF($A1358="","",MAX(0,ROUNDUP(DASHBOARD!$F$3-$D1358,0)))</f>
        <v/>
      </c>
      <c r="N1358">
        <f>IF($A1358="","",$K1358+(5002-ROW())/10000)</f>
        <v/>
      </c>
    </row>
    <row r="1359">
      <c r="K1359">
        <f>IF($A1359="","",SUM($E1359:$J1359))</f>
        <v/>
      </c>
      <c r="M1359">
        <f>IF($A1359="","",MAX(0,ROUNDUP(DASHBOARD!$F$3-$D1359,0)))</f>
        <v/>
      </c>
      <c r="N1359">
        <f>IF($A1359="","",$K1359+(5002-ROW())/10000)</f>
        <v/>
      </c>
    </row>
    <row r="1360">
      <c r="K1360">
        <f>IF($A1360="","",SUM($E1360:$J1360))</f>
        <v/>
      </c>
      <c r="M1360">
        <f>IF($A1360="","",MAX(0,ROUNDUP(DASHBOARD!$F$3-$D1360,0)))</f>
        <v/>
      </c>
      <c r="N1360">
        <f>IF($A1360="","",$K1360+(5002-ROW())/10000)</f>
        <v/>
      </c>
    </row>
    <row r="1361">
      <c r="K1361">
        <f>IF($A1361="","",SUM($E1361:$J1361))</f>
        <v/>
      </c>
      <c r="M1361">
        <f>IF($A1361="","",MAX(0,ROUNDUP(DASHBOARD!$F$3-$D1361,0)))</f>
        <v/>
      </c>
      <c r="N1361">
        <f>IF($A1361="","",$K1361+(5002-ROW())/10000)</f>
        <v/>
      </c>
    </row>
    <row r="1362">
      <c r="K1362">
        <f>IF($A1362="","",SUM($E1362:$J1362))</f>
        <v/>
      </c>
      <c r="M1362">
        <f>IF($A1362="","",MAX(0,ROUNDUP(DASHBOARD!$F$3-$D1362,0)))</f>
        <v/>
      </c>
      <c r="N1362">
        <f>IF($A1362="","",$K1362+(5002-ROW())/10000)</f>
        <v/>
      </c>
    </row>
    <row r="1363">
      <c r="K1363">
        <f>IF($A1363="","",SUM($E1363:$J1363))</f>
        <v/>
      </c>
      <c r="M1363">
        <f>IF($A1363="","",MAX(0,ROUNDUP(DASHBOARD!$F$3-$D1363,0)))</f>
        <v/>
      </c>
      <c r="N1363">
        <f>IF($A1363="","",$K1363+(5002-ROW())/10000)</f>
        <v/>
      </c>
    </row>
    <row r="1364">
      <c r="K1364">
        <f>IF($A1364="","",SUM($E1364:$J1364))</f>
        <v/>
      </c>
      <c r="M1364">
        <f>IF($A1364="","",MAX(0,ROUNDUP(DASHBOARD!$F$3-$D1364,0)))</f>
        <v/>
      </c>
      <c r="N1364">
        <f>IF($A1364="","",$K1364+(5002-ROW())/10000)</f>
        <v/>
      </c>
    </row>
    <row r="1365">
      <c r="K1365">
        <f>IF($A1365="","",SUM($E1365:$J1365))</f>
        <v/>
      </c>
      <c r="M1365">
        <f>IF($A1365="","",MAX(0,ROUNDUP(DASHBOARD!$F$3-$D1365,0)))</f>
        <v/>
      </c>
      <c r="N1365">
        <f>IF($A1365="","",$K1365+(5002-ROW())/10000)</f>
        <v/>
      </c>
    </row>
    <row r="1366">
      <c r="K1366">
        <f>IF($A1366="","",SUM($E1366:$J1366))</f>
        <v/>
      </c>
      <c r="M1366">
        <f>IF($A1366="","",MAX(0,ROUNDUP(DASHBOARD!$F$3-$D1366,0)))</f>
        <v/>
      </c>
      <c r="N1366">
        <f>IF($A1366="","",$K1366+(5002-ROW())/10000)</f>
        <v/>
      </c>
    </row>
    <row r="1367">
      <c r="K1367">
        <f>IF($A1367="","",SUM($E1367:$J1367))</f>
        <v/>
      </c>
      <c r="M1367">
        <f>IF($A1367="","",MAX(0,ROUNDUP(DASHBOARD!$F$3-$D1367,0)))</f>
        <v/>
      </c>
      <c r="N1367">
        <f>IF($A1367="","",$K1367+(5002-ROW())/10000)</f>
        <v/>
      </c>
    </row>
    <row r="1368">
      <c r="K1368">
        <f>IF($A1368="","",SUM($E1368:$J1368))</f>
        <v/>
      </c>
      <c r="M1368">
        <f>IF($A1368="","",MAX(0,ROUNDUP(DASHBOARD!$F$3-$D1368,0)))</f>
        <v/>
      </c>
      <c r="N1368">
        <f>IF($A1368="","",$K1368+(5002-ROW())/10000)</f>
        <v/>
      </c>
    </row>
    <row r="1369">
      <c r="K1369">
        <f>IF($A1369="","",SUM($E1369:$J1369))</f>
        <v/>
      </c>
      <c r="M1369">
        <f>IF($A1369="","",MAX(0,ROUNDUP(DASHBOARD!$F$3-$D1369,0)))</f>
        <v/>
      </c>
      <c r="N1369">
        <f>IF($A1369="","",$K1369+(5002-ROW())/10000)</f>
        <v/>
      </c>
    </row>
    <row r="1370">
      <c r="K1370">
        <f>IF($A1370="","",SUM($E1370:$J1370))</f>
        <v/>
      </c>
      <c r="M1370">
        <f>IF($A1370="","",MAX(0,ROUNDUP(DASHBOARD!$F$3-$D1370,0)))</f>
        <v/>
      </c>
      <c r="N1370">
        <f>IF($A1370="","",$K1370+(5002-ROW())/10000)</f>
        <v/>
      </c>
    </row>
    <row r="1371">
      <c r="K1371">
        <f>IF($A1371="","",SUM($E1371:$J1371))</f>
        <v/>
      </c>
      <c r="M1371">
        <f>IF($A1371="","",MAX(0,ROUNDUP(DASHBOARD!$F$3-$D1371,0)))</f>
        <v/>
      </c>
      <c r="N1371">
        <f>IF($A1371="","",$K1371+(5002-ROW())/10000)</f>
        <v/>
      </c>
    </row>
    <row r="1372">
      <c r="K1372">
        <f>IF($A1372="","",SUM($E1372:$J1372))</f>
        <v/>
      </c>
      <c r="M1372">
        <f>IF($A1372="","",MAX(0,ROUNDUP(DASHBOARD!$F$3-$D1372,0)))</f>
        <v/>
      </c>
      <c r="N1372">
        <f>IF($A1372="","",$K1372+(5002-ROW())/10000)</f>
        <v/>
      </c>
    </row>
    <row r="1373">
      <c r="K1373">
        <f>IF($A1373="","",SUM($E1373:$J1373))</f>
        <v/>
      </c>
      <c r="M1373">
        <f>IF($A1373="","",MAX(0,ROUNDUP(DASHBOARD!$F$3-$D1373,0)))</f>
        <v/>
      </c>
      <c r="N1373">
        <f>IF($A1373="","",$K1373+(5002-ROW())/10000)</f>
        <v/>
      </c>
    </row>
    <row r="1374">
      <c r="K1374">
        <f>IF($A1374="","",SUM($E1374:$J1374))</f>
        <v/>
      </c>
      <c r="M1374">
        <f>IF($A1374="","",MAX(0,ROUNDUP(DASHBOARD!$F$3-$D1374,0)))</f>
        <v/>
      </c>
      <c r="N1374">
        <f>IF($A1374="","",$K1374+(5002-ROW())/10000)</f>
        <v/>
      </c>
    </row>
    <row r="1375">
      <c r="K1375">
        <f>IF($A1375="","",SUM($E1375:$J1375))</f>
        <v/>
      </c>
      <c r="M1375">
        <f>IF($A1375="","",MAX(0,ROUNDUP(DASHBOARD!$F$3-$D1375,0)))</f>
        <v/>
      </c>
      <c r="N1375">
        <f>IF($A1375="","",$K1375+(5002-ROW())/10000)</f>
        <v/>
      </c>
    </row>
    <row r="1376">
      <c r="K1376">
        <f>IF($A1376="","",SUM($E1376:$J1376))</f>
        <v/>
      </c>
      <c r="M1376">
        <f>IF($A1376="","",MAX(0,ROUNDUP(DASHBOARD!$F$3-$D1376,0)))</f>
        <v/>
      </c>
      <c r="N1376">
        <f>IF($A1376="","",$K1376+(5002-ROW())/10000)</f>
        <v/>
      </c>
    </row>
    <row r="1377">
      <c r="K1377">
        <f>IF($A1377="","",SUM($E1377:$J1377))</f>
        <v/>
      </c>
      <c r="M1377">
        <f>IF($A1377="","",MAX(0,ROUNDUP(DASHBOARD!$F$3-$D1377,0)))</f>
        <v/>
      </c>
      <c r="N1377">
        <f>IF($A1377="","",$K1377+(5002-ROW())/10000)</f>
        <v/>
      </c>
    </row>
    <row r="1378">
      <c r="K1378">
        <f>IF($A1378="","",SUM($E1378:$J1378))</f>
        <v/>
      </c>
      <c r="M1378">
        <f>IF($A1378="","",MAX(0,ROUNDUP(DASHBOARD!$F$3-$D1378,0)))</f>
        <v/>
      </c>
      <c r="N1378">
        <f>IF($A1378="","",$K1378+(5002-ROW())/10000)</f>
        <v/>
      </c>
    </row>
    <row r="1379">
      <c r="K1379">
        <f>IF($A1379="","",SUM($E1379:$J1379))</f>
        <v/>
      </c>
      <c r="M1379">
        <f>IF($A1379="","",MAX(0,ROUNDUP(DASHBOARD!$F$3-$D1379,0)))</f>
        <v/>
      </c>
      <c r="N1379">
        <f>IF($A1379="","",$K1379+(5002-ROW())/10000)</f>
        <v/>
      </c>
    </row>
    <row r="1380">
      <c r="K1380">
        <f>IF($A1380="","",SUM($E1380:$J1380))</f>
        <v/>
      </c>
      <c r="M1380">
        <f>IF($A1380="","",MAX(0,ROUNDUP(DASHBOARD!$F$3-$D1380,0)))</f>
        <v/>
      </c>
      <c r="N1380">
        <f>IF($A1380="","",$K1380+(5002-ROW())/10000)</f>
        <v/>
      </c>
    </row>
    <row r="1381">
      <c r="K1381">
        <f>IF($A1381="","",SUM($E1381:$J1381))</f>
        <v/>
      </c>
      <c r="M1381">
        <f>IF($A1381="","",MAX(0,ROUNDUP(DASHBOARD!$F$3-$D1381,0)))</f>
        <v/>
      </c>
      <c r="N1381">
        <f>IF($A1381="","",$K1381+(5002-ROW())/10000)</f>
        <v/>
      </c>
    </row>
    <row r="1382">
      <c r="K1382">
        <f>IF($A1382="","",SUM($E1382:$J1382))</f>
        <v/>
      </c>
      <c r="M1382">
        <f>IF($A1382="","",MAX(0,ROUNDUP(DASHBOARD!$F$3-$D1382,0)))</f>
        <v/>
      </c>
      <c r="N1382">
        <f>IF($A1382="","",$K1382+(5002-ROW())/10000)</f>
        <v/>
      </c>
    </row>
    <row r="1383">
      <c r="K1383">
        <f>IF($A1383="","",SUM($E1383:$J1383))</f>
        <v/>
      </c>
      <c r="M1383">
        <f>IF($A1383="","",MAX(0,ROUNDUP(DASHBOARD!$F$3-$D1383,0)))</f>
        <v/>
      </c>
      <c r="N1383">
        <f>IF($A1383="","",$K1383+(5002-ROW())/10000)</f>
        <v/>
      </c>
    </row>
    <row r="1384">
      <c r="K1384">
        <f>IF($A1384="","",SUM($E1384:$J1384))</f>
        <v/>
      </c>
      <c r="M1384">
        <f>IF($A1384="","",MAX(0,ROUNDUP(DASHBOARD!$F$3-$D1384,0)))</f>
        <v/>
      </c>
      <c r="N1384">
        <f>IF($A1384="","",$K1384+(5002-ROW())/10000)</f>
        <v/>
      </c>
    </row>
    <row r="1385">
      <c r="K1385">
        <f>IF($A1385="","",SUM($E1385:$J1385))</f>
        <v/>
      </c>
      <c r="M1385">
        <f>IF($A1385="","",MAX(0,ROUNDUP(DASHBOARD!$F$3-$D1385,0)))</f>
        <v/>
      </c>
      <c r="N1385">
        <f>IF($A1385="","",$K1385+(5002-ROW())/10000)</f>
        <v/>
      </c>
    </row>
    <row r="1386">
      <c r="K1386">
        <f>IF($A1386="","",SUM($E1386:$J1386))</f>
        <v/>
      </c>
      <c r="M1386">
        <f>IF($A1386="","",MAX(0,ROUNDUP(DASHBOARD!$F$3-$D1386,0)))</f>
        <v/>
      </c>
      <c r="N1386">
        <f>IF($A1386="","",$K1386+(5002-ROW())/10000)</f>
        <v/>
      </c>
    </row>
    <row r="1387">
      <c r="K1387">
        <f>IF($A1387="","",SUM($E1387:$J1387))</f>
        <v/>
      </c>
      <c r="M1387">
        <f>IF($A1387="","",MAX(0,ROUNDUP(DASHBOARD!$F$3-$D1387,0)))</f>
        <v/>
      </c>
      <c r="N1387">
        <f>IF($A1387="","",$K1387+(5002-ROW())/10000)</f>
        <v/>
      </c>
    </row>
    <row r="1388">
      <c r="K1388">
        <f>IF($A1388="","",SUM($E1388:$J1388))</f>
        <v/>
      </c>
      <c r="M1388">
        <f>IF($A1388="","",MAX(0,ROUNDUP(DASHBOARD!$F$3-$D1388,0)))</f>
        <v/>
      </c>
      <c r="N1388">
        <f>IF($A1388="","",$K1388+(5002-ROW())/10000)</f>
        <v/>
      </c>
    </row>
    <row r="1389">
      <c r="K1389">
        <f>IF($A1389="","",SUM($E1389:$J1389))</f>
        <v/>
      </c>
      <c r="M1389">
        <f>IF($A1389="","",MAX(0,ROUNDUP(DASHBOARD!$F$3-$D1389,0)))</f>
        <v/>
      </c>
      <c r="N1389">
        <f>IF($A1389="","",$K1389+(5002-ROW())/10000)</f>
        <v/>
      </c>
    </row>
    <row r="1390">
      <c r="K1390">
        <f>IF($A1390="","",SUM($E1390:$J1390))</f>
        <v/>
      </c>
      <c r="M1390">
        <f>IF($A1390="","",MAX(0,ROUNDUP(DASHBOARD!$F$3-$D1390,0)))</f>
        <v/>
      </c>
      <c r="N1390">
        <f>IF($A1390="","",$K1390+(5002-ROW())/10000)</f>
        <v/>
      </c>
    </row>
    <row r="1391">
      <c r="K1391">
        <f>IF($A1391="","",SUM($E1391:$J1391))</f>
        <v/>
      </c>
      <c r="M1391">
        <f>IF($A1391="","",MAX(0,ROUNDUP(DASHBOARD!$F$3-$D1391,0)))</f>
        <v/>
      </c>
      <c r="N1391">
        <f>IF($A1391="","",$K1391+(5002-ROW())/10000)</f>
        <v/>
      </c>
    </row>
    <row r="1392">
      <c r="K1392">
        <f>IF($A1392="","",SUM($E1392:$J1392))</f>
        <v/>
      </c>
      <c r="M1392">
        <f>IF($A1392="","",MAX(0,ROUNDUP(DASHBOARD!$F$3-$D1392,0)))</f>
        <v/>
      </c>
      <c r="N1392">
        <f>IF($A1392="","",$K1392+(5002-ROW())/10000)</f>
        <v/>
      </c>
    </row>
    <row r="1393">
      <c r="K1393">
        <f>IF($A1393="","",SUM($E1393:$J1393))</f>
        <v/>
      </c>
      <c r="M1393">
        <f>IF($A1393="","",MAX(0,ROUNDUP(DASHBOARD!$F$3-$D1393,0)))</f>
        <v/>
      </c>
      <c r="N1393">
        <f>IF($A1393="","",$K1393+(5002-ROW())/10000)</f>
        <v/>
      </c>
    </row>
    <row r="1394">
      <c r="K1394">
        <f>IF($A1394="","",SUM($E1394:$J1394))</f>
        <v/>
      </c>
      <c r="M1394">
        <f>IF($A1394="","",MAX(0,ROUNDUP(DASHBOARD!$F$3-$D1394,0)))</f>
        <v/>
      </c>
      <c r="N1394">
        <f>IF($A1394="","",$K1394+(5002-ROW())/10000)</f>
        <v/>
      </c>
    </row>
    <row r="1395">
      <c r="K1395">
        <f>IF($A1395="","",SUM($E1395:$J1395))</f>
        <v/>
      </c>
      <c r="M1395">
        <f>IF($A1395="","",MAX(0,ROUNDUP(DASHBOARD!$F$3-$D1395,0)))</f>
        <v/>
      </c>
      <c r="N1395">
        <f>IF($A1395="","",$K1395+(5002-ROW())/10000)</f>
        <v/>
      </c>
    </row>
    <row r="1396">
      <c r="K1396">
        <f>IF($A1396="","",SUM($E1396:$J1396))</f>
        <v/>
      </c>
      <c r="M1396">
        <f>IF($A1396="","",MAX(0,ROUNDUP(DASHBOARD!$F$3-$D1396,0)))</f>
        <v/>
      </c>
      <c r="N1396">
        <f>IF($A1396="","",$K1396+(5002-ROW())/10000)</f>
        <v/>
      </c>
    </row>
    <row r="1397">
      <c r="K1397">
        <f>IF($A1397="","",SUM($E1397:$J1397))</f>
        <v/>
      </c>
      <c r="M1397">
        <f>IF($A1397="","",MAX(0,ROUNDUP(DASHBOARD!$F$3-$D1397,0)))</f>
        <v/>
      </c>
      <c r="N1397">
        <f>IF($A1397="","",$K1397+(5002-ROW())/10000)</f>
        <v/>
      </c>
    </row>
    <row r="1398">
      <c r="K1398">
        <f>IF($A1398="","",SUM($E1398:$J1398))</f>
        <v/>
      </c>
      <c r="M1398">
        <f>IF($A1398="","",MAX(0,ROUNDUP(DASHBOARD!$F$3-$D1398,0)))</f>
        <v/>
      </c>
      <c r="N1398">
        <f>IF($A1398="","",$K1398+(5002-ROW())/10000)</f>
        <v/>
      </c>
    </row>
    <row r="1399">
      <c r="K1399">
        <f>IF($A1399="","",SUM($E1399:$J1399))</f>
        <v/>
      </c>
      <c r="M1399">
        <f>IF($A1399="","",MAX(0,ROUNDUP(DASHBOARD!$F$3-$D1399,0)))</f>
        <v/>
      </c>
      <c r="N1399">
        <f>IF($A1399="","",$K1399+(5002-ROW())/10000)</f>
        <v/>
      </c>
    </row>
    <row r="1400">
      <c r="K1400">
        <f>IF($A1400="","",SUM($E1400:$J1400))</f>
        <v/>
      </c>
      <c r="M1400">
        <f>IF($A1400="","",MAX(0,ROUNDUP(DASHBOARD!$F$3-$D1400,0)))</f>
        <v/>
      </c>
      <c r="N1400">
        <f>IF($A1400="","",$K1400+(5002-ROW())/10000)</f>
        <v/>
      </c>
    </row>
    <row r="1401">
      <c r="K1401">
        <f>IF($A1401="","",SUM($E1401:$J1401))</f>
        <v/>
      </c>
      <c r="M1401">
        <f>IF($A1401="","",MAX(0,ROUNDUP(DASHBOARD!$F$3-$D1401,0)))</f>
        <v/>
      </c>
      <c r="N1401">
        <f>IF($A1401="","",$K1401+(5002-ROW())/10000)</f>
        <v/>
      </c>
    </row>
    <row r="1402">
      <c r="K1402">
        <f>IF($A1402="","",SUM($E1402:$J1402))</f>
        <v/>
      </c>
      <c r="M1402">
        <f>IF($A1402="","",MAX(0,ROUNDUP(DASHBOARD!$F$3-$D1402,0)))</f>
        <v/>
      </c>
      <c r="N1402">
        <f>IF($A1402="","",$K1402+(5002-ROW())/10000)</f>
        <v/>
      </c>
    </row>
    <row r="1403">
      <c r="K1403">
        <f>IF($A1403="","",SUM($E1403:$J1403))</f>
        <v/>
      </c>
      <c r="M1403">
        <f>IF($A1403="","",MAX(0,ROUNDUP(DASHBOARD!$F$3-$D1403,0)))</f>
        <v/>
      </c>
      <c r="N1403">
        <f>IF($A1403="","",$K1403+(5002-ROW())/10000)</f>
        <v/>
      </c>
    </row>
    <row r="1404">
      <c r="K1404">
        <f>IF($A1404="","",SUM($E1404:$J1404))</f>
        <v/>
      </c>
      <c r="M1404">
        <f>IF($A1404="","",MAX(0,ROUNDUP(DASHBOARD!$F$3-$D1404,0)))</f>
        <v/>
      </c>
      <c r="N1404">
        <f>IF($A1404="","",$K1404+(5002-ROW())/10000)</f>
        <v/>
      </c>
    </row>
    <row r="1405">
      <c r="K1405">
        <f>IF($A1405="","",SUM($E1405:$J1405))</f>
        <v/>
      </c>
      <c r="M1405">
        <f>IF($A1405="","",MAX(0,ROUNDUP(DASHBOARD!$F$3-$D1405,0)))</f>
        <v/>
      </c>
      <c r="N1405">
        <f>IF($A1405="","",$K1405+(5002-ROW())/10000)</f>
        <v/>
      </c>
    </row>
    <row r="1406">
      <c r="K1406">
        <f>IF($A1406="","",SUM($E1406:$J1406))</f>
        <v/>
      </c>
      <c r="M1406">
        <f>IF($A1406="","",MAX(0,ROUNDUP(DASHBOARD!$F$3-$D1406,0)))</f>
        <v/>
      </c>
      <c r="N1406">
        <f>IF($A1406="","",$K1406+(5002-ROW())/10000)</f>
        <v/>
      </c>
    </row>
    <row r="1407">
      <c r="K1407">
        <f>IF($A1407="","",SUM($E1407:$J1407))</f>
        <v/>
      </c>
      <c r="M1407">
        <f>IF($A1407="","",MAX(0,ROUNDUP(DASHBOARD!$F$3-$D1407,0)))</f>
        <v/>
      </c>
      <c r="N1407">
        <f>IF($A1407="","",$K1407+(5002-ROW())/10000)</f>
        <v/>
      </c>
    </row>
    <row r="1408">
      <c r="K1408">
        <f>IF($A1408="","",SUM($E1408:$J1408))</f>
        <v/>
      </c>
      <c r="M1408">
        <f>IF($A1408="","",MAX(0,ROUNDUP(DASHBOARD!$F$3-$D1408,0)))</f>
        <v/>
      </c>
      <c r="N1408">
        <f>IF($A1408="","",$K1408+(5002-ROW())/10000)</f>
        <v/>
      </c>
    </row>
    <row r="1409">
      <c r="K1409">
        <f>IF($A1409="","",SUM($E1409:$J1409))</f>
        <v/>
      </c>
      <c r="M1409">
        <f>IF($A1409="","",MAX(0,ROUNDUP(DASHBOARD!$F$3-$D1409,0)))</f>
        <v/>
      </c>
      <c r="N1409">
        <f>IF($A1409="","",$K1409+(5002-ROW())/10000)</f>
        <v/>
      </c>
    </row>
    <row r="1410">
      <c r="K1410">
        <f>IF($A1410="","",SUM($E1410:$J1410))</f>
        <v/>
      </c>
      <c r="M1410">
        <f>IF($A1410="","",MAX(0,ROUNDUP(DASHBOARD!$F$3-$D1410,0)))</f>
        <v/>
      </c>
      <c r="N1410">
        <f>IF($A1410="","",$K1410+(5002-ROW())/10000)</f>
        <v/>
      </c>
    </row>
    <row r="1411">
      <c r="K1411">
        <f>IF($A1411="","",SUM($E1411:$J1411))</f>
        <v/>
      </c>
      <c r="M1411">
        <f>IF($A1411="","",MAX(0,ROUNDUP(DASHBOARD!$F$3-$D1411,0)))</f>
        <v/>
      </c>
      <c r="N1411">
        <f>IF($A1411="","",$K1411+(5002-ROW())/10000)</f>
        <v/>
      </c>
    </row>
    <row r="1412">
      <c r="K1412">
        <f>IF($A1412="","",SUM($E1412:$J1412))</f>
        <v/>
      </c>
      <c r="M1412">
        <f>IF($A1412="","",MAX(0,ROUNDUP(DASHBOARD!$F$3-$D1412,0)))</f>
        <v/>
      </c>
      <c r="N1412">
        <f>IF($A1412="","",$K1412+(5002-ROW())/10000)</f>
        <v/>
      </c>
    </row>
    <row r="1413">
      <c r="K1413">
        <f>IF($A1413="","",SUM($E1413:$J1413))</f>
        <v/>
      </c>
      <c r="M1413">
        <f>IF($A1413="","",MAX(0,ROUNDUP(DASHBOARD!$F$3-$D1413,0)))</f>
        <v/>
      </c>
      <c r="N1413">
        <f>IF($A1413="","",$K1413+(5002-ROW())/10000)</f>
        <v/>
      </c>
    </row>
    <row r="1414">
      <c r="K1414">
        <f>IF($A1414="","",SUM($E1414:$J1414))</f>
        <v/>
      </c>
      <c r="M1414">
        <f>IF($A1414="","",MAX(0,ROUNDUP(DASHBOARD!$F$3-$D1414,0)))</f>
        <v/>
      </c>
      <c r="N1414">
        <f>IF($A1414="","",$K1414+(5002-ROW())/10000)</f>
        <v/>
      </c>
    </row>
    <row r="1415">
      <c r="K1415">
        <f>IF($A1415="","",SUM($E1415:$J1415))</f>
        <v/>
      </c>
      <c r="M1415">
        <f>IF($A1415="","",MAX(0,ROUNDUP(DASHBOARD!$F$3-$D1415,0)))</f>
        <v/>
      </c>
      <c r="N1415">
        <f>IF($A1415="","",$K1415+(5002-ROW())/10000)</f>
        <v/>
      </c>
    </row>
    <row r="1416">
      <c r="K1416">
        <f>IF($A1416="","",SUM($E1416:$J1416))</f>
        <v/>
      </c>
      <c r="M1416">
        <f>IF($A1416="","",MAX(0,ROUNDUP(DASHBOARD!$F$3-$D1416,0)))</f>
        <v/>
      </c>
      <c r="N1416">
        <f>IF($A1416="","",$K1416+(5002-ROW())/10000)</f>
        <v/>
      </c>
    </row>
    <row r="1417">
      <c r="K1417">
        <f>IF($A1417="","",SUM($E1417:$J1417))</f>
        <v/>
      </c>
      <c r="M1417">
        <f>IF($A1417="","",MAX(0,ROUNDUP(DASHBOARD!$F$3-$D1417,0)))</f>
        <v/>
      </c>
      <c r="N1417">
        <f>IF($A1417="","",$K1417+(5002-ROW())/10000)</f>
        <v/>
      </c>
    </row>
    <row r="1418">
      <c r="K1418">
        <f>IF($A1418="","",SUM($E1418:$J1418))</f>
        <v/>
      </c>
      <c r="M1418">
        <f>IF($A1418="","",MAX(0,ROUNDUP(DASHBOARD!$F$3-$D1418,0)))</f>
        <v/>
      </c>
      <c r="N1418">
        <f>IF($A1418="","",$K1418+(5002-ROW())/10000)</f>
        <v/>
      </c>
    </row>
    <row r="1419">
      <c r="K1419">
        <f>IF($A1419="","",SUM($E1419:$J1419))</f>
        <v/>
      </c>
      <c r="M1419">
        <f>IF($A1419="","",MAX(0,ROUNDUP(DASHBOARD!$F$3-$D1419,0)))</f>
        <v/>
      </c>
      <c r="N1419">
        <f>IF($A1419="","",$K1419+(5002-ROW())/10000)</f>
        <v/>
      </c>
    </row>
    <row r="1420">
      <c r="K1420">
        <f>IF($A1420="","",SUM($E1420:$J1420))</f>
        <v/>
      </c>
      <c r="M1420">
        <f>IF($A1420="","",MAX(0,ROUNDUP(DASHBOARD!$F$3-$D1420,0)))</f>
        <v/>
      </c>
      <c r="N1420">
        <f>IF($A1420="","",$K1420+(5002-ROW())/10000)</f>
        <v/>
      </c>
    </row>
    <row r="1421">
      <c r="K1421">
        <f>IF($A1421="","",SUM($E1421:$J1421))</f>
        <v/>
      </c>
      <c r="M1421">
        <f>IF($A1421="","",MAX(0,ROUNDUP(DASHBOARD!$F$3-$D1421,0)))</f>
        <v/>
      </c>
      <c r="N1421">
        <f>IF($A1421="","",$K1421+(5002-ROW())/10000)</f>
        <v/>
      </c>
    </row>
    <row r="1422">
      <c r="K1422">
        <f>IF($A1422="","",SUM($E1422:$J1422))</f>
        <v/>
      </c>
      <c r="M1422">
        <f>IF($A1422="","",MAX(0,ROUNDUP(DASHBOARD!$F$3-$D1422,0)))</f>
        <v/>
      </c>
      <c r="N1422">
        <f>IF($A1422="","",$K1422+(5002-ROW())/10000)</f>
        <v/>
      </c>
    </row>
    <row r="1423">
      <c r="K1423">
        <f>IF($A1423="","",SUM($E1423:$J1423))</f>
        <v/>
      </c>
      <c r="M1423">
        <f>IF($A1423="","",MAX(0,ROUNDUP(DASHBOARD!$F$3-$D1423,0)))</f>
        <v/>
      </c>
      <c r="N1423">
        <f>IF($A1423="","",$K1423+(5002-ROW())/10000)</f>
        <v/>
      </c>
    </row>
    <row r="1424">
      <c r="K1424">
        <f>IF($A1424="","",SUM($E1424:$J1424))</f>
        <v/>
      </c>
      <c r="M1424">
        <f>IF($A1424="","",MAX(0,ROUNDUP(DASHBOARD!$F$3-$D1424,0)))</f>
        <v/>
      </c>
      <c r="N1424">
        <f>IF($A1424="","",$K1424+(5002-ROW())/10000)</f>
        <v/>
      </c>
    </row>
    <row r="1425">
      <c r="K1425">
        <f>IF($A1425="","",SUM($E1425:$J1425))</f>
        <v/>
      </c>
      <c r="M1425">
        <f>IF($A1425="","",MAX(0,ROUNDUP(DASHBOARD!$F$3-$D1425,0)))</f>
        <v/>
      </c>
      <c r="N1425">
        <f>IF($A1425="","",$K1425+(5002-ROW())/10000)</f>
        <v/>
      </c>
    </row>
    <row r="1426">
      <c r="K1426">
        <f>IF($A1426="","",SUM($E1426:$J1426))</f>
        <v/>
      </c>
      <c r="M1426">
        <f>IF($A1426="","",MAX(0,ROUNDUP(DASHBOARD!$F$3-$D1426,0)))</f>
        <v/>
      </c>
      <c r="N1426">
        <f>IF($A1426="","",$K1426+(5002-ROW())/10000)</f>
        <v/>
      </c>
    </row>
    <row r="1427">
      <c r="K1427">
        <f>IF($A1427="","",SUM($E1427:$J1427))</f>
        <v/>
      </c>
      <c r="M1427">
        <f>IF($A1427="","",MAX(0,ROUNDUP(DASHBOARD!$F$3-$D1427,0)))</f>
        <v/>
      </c>
      <c r="N1427">
        <f>IF($A1427="","",$K1427+(5002-ROW())/10000)</f>
        <v/>
      </c>
    </row>
    <row r="1428">
      <c r="K1428">
        <f>IF($A1428="","",SUM($E1428:$J1428))</f>
        <v/>
      </c>
      <c r="M1428">
        <f>IF($A1428="","",MAX(0,ROUNDUP(DASHBOARD!$F$3-$D1428,0)))</f>
        <v/>
      </c>
      <c r="N1428">
        <f>IF($A1428="","",$K1428+(5002-ROW())/10000)</f>
        <v/>
      </c>
    </row>
    <row r="1429">
      <c r="K1429">
        <f>IF($A1429="","",SUM($E1429:$J1429))</f>
        <v/>
      </c>
      <c r="M1429">
        <f>IF($A1429="","",MAX(0,ROUNDUP(DASHBOARD!$F$3-$D1429,0)))</f>
        <v/>
      </c>
      <c r="N1429">
        <f>IF($A1429="","",$K1429+(5002-ROW())/10000)</f>
        <v/>
      </c>
    </row>
    <row r="1430">
      <c r="K1430">
        <f>IF($A1430="","",SUM($E1430:$J1430))</f>
        <v/>
      </c>
      <c r="M1430">
        <f>IF($A1430="","",MAX(0,ROUNDUP(DASHBOARD!$F$3-$D1430,0)))</f>
        <v/>
      </c>
      <c r="N1430">
        <f>IF($A1430="","",$K1430+(5002-ROW())/10000)</f>
        <v/>
      </c>
    </row>
    <row r="1431">
      <c r="K1431">
        <f>IF($A1431="","",SUM($E1431:$J1431))</f>
        <v/>
      </c>
      <c r="M1431">
        <f>IF($A1431="","",MAX(0,ROUNDUP(DASHBOARD!$F$3-$D1431,0)))</f>
        <v/>
      </c>
      <c r="N1431">
        <f>IF($A1431="","",$K1431+(5002-ROW())/10000)</f>
        <v/>
      </c>
    </row>
    <row r="1432">
      <c r="K1432">
        <f>IF($A1432="","",SUM($E1432:$J1432))</f>
        <v/>
      </c>
      <c r="M1432">
        <f>IF($A1432="","",MAX(0,ROUNDUP(DASHBOARD!$F$3-$D1432,0)))</f>
        <v/>
      </c>
      <c r="N1432">
        <f>IF($A1432="","",$K1432+(5002-ROW())/10000)</f>
        <v/>
      </c>
    </row>
    <row r="1433">
      <c r="K1433">
        <f>IF($A1433="","",SUM($E1433:$J1433))</f>
        <v/>
      </c>
      <c r="M1433">
        <f>IF($A1433="","",MAX(0,ROUNDUP(DASHBOARD!$F$3-$D1433,0)))</f>
        <v/>
      </c>
      <c r="N1433">
        <f>IF($A1433="","",$K1433+(5002-ROW())/10000)</f>
        <v/>
      </c>
    </row>
    <row r="1434">
      <c r="K1434">
        <f>IF($A1434="","",SUM($E1434:$J1434))</f>
        <v/>
      </c>
      <c r="M1434">
        <f>IF($A1434="","",MAX(0,ROUNDUP(DASHBOARD!$F$3-$D1434,0)))</f>
        <v/>
      </c>
      <c r="N1434">
        <f>IF($A1434="","",$K1434+(5002-ROW())/10000)</f>
        <v/>
      </c>
    </row>
    <row r="1435">
      <c r="K1435">
        <f>IF($A1435="","",SUM($E1435:$J1435))</f>
        <v/>
      </c>
      <c r="M1435">
        <f>IF($A1435="","",MAX(0,ROUNDUP(DASHBOARD!$F$3-$D1435,0)))</f>
        <v/>
      </c>
      <c r="N1435">
        <f>IF($A1435="","",$K1435+(5002-ROW())/10000)</f>
        <v/>
      </c>
    </row>
    <row r="1436">
      <c r="K1436">
        <f>IF($A1436="","",SUM($E1436:$J1436))</f>
        <v/>
      </c>
      <c r="M1436">
        <f>IF($A1436="","",MAX(0,ROUNDUP(DASHBOARD!$F$3-$D1436,0)))</f>
        <v/>
      </c>
      <c r="N1436">
        <f>IF($A1436="","",$K1436+(5002-ROW())/10000)</f>
        <v/>
      </c>
    </row>
    <row r="1437">
      <c r="K1437">
        <f>IF($A1437="","",SUM($E1437:$J1437))</f>
        <v/>
      </c>
      <c r="M1437">
        <f>IF($A1437="","",MAX(0,ROUNDUP(DASHBOARD!$F$3-$D1437,0)))</f>
        <v/>
      </c>
      <c r="N1437">
        <f>IF($A1437="","",$K1437+(5002-ROW())/10000)</f>
        <v/>
      </c>
    </row>
    <row r="1438">
      <c r="K1438">
        <f>IF($A1438="","",SUM($E1438:$J1438))</f>
        <v/>
      </c>
      <c r="M1438">
        <f>IF($A1438="","",MAX(0,ROUNDUP(DASHBOARD!$F$3-$D1438,0)))</f>
        <v/>
      </c>
      <c r="N1438">
        <f>IF($A1438="","",$K1438+(5002-ROW())/10000)</f>
        <v/>
      </c>
    </row>
    <row r="1439">
      <c r="K1439">
        <f>IF($A1439="","",SUM($E1439:$J1439))</f>
        <v/>
      </c>
      <c r="M1439">
        <f>IF($A1439="","",MAX(0,ROUNDUP(DASHBOARD!$F$3-$D1439,0)))</f>
        <v/>
      </c>
      <c r="N1439">
        <f>IF($A1439="","",$K1439+(5002-ROW())/10000)</f>
        <v/>
      </c>
    </row>
    <row r="1440">
      <c r="K1440">
        <f>IF($A1440="","",SUM($E1440:$J1440))</f>
        <v/>
      </c>
      <c r="M1440">
        <f>IF($A1440="","",MAX(0,ROUNDUP(DASHBOARD!$F$3-$D1440,0)))</f>
        <v/>
      </c>
      <c r="N1440">
        <f>IF($A1440="","",$K1440+(5002-ROW())/10000)</f>
        <v/>
      </c>
    </row>
    <row r="1441">
      <c r="K1441">
        <f>IF($A1441="","",SUM($E1441:$J1441))</f>
        <v/>
      </c>
      <c r="M1441">
        <f>IF($A1441="","",MAX(0,ROUNDUP(DASHBOARD!$F$3-$D1441,0)))</f>
        <v/>
      </c>
      <c r="N1441">
        <f>IF($A1441="","",$K1441+(5002-ROW())/10000)</f>
        <v/>
      </c>
    </row>
    <row r="1442">
      <c r="K1442">
        <f>IF($A1442="","",SUM($E1442:$J1442))</f>
        <v/>
      </c>
      <c r="M1442">
        <f>IF($A1442="","",MAX(0,ROUNDUP(DASHBOARD!$F$3-$D1442,0)))</f>
        <v/>
      </c>
      <c r="N1442">
        <f>IF($A1442="","",$K1442+(5002-ROW())/10000)</f>
        <v/>
      </c>
    </row>
    <row r="1443">
      <c r="K1443">
        <f>IF($A1443="","",SUM($E1443:$J1443))</f>
        <v/>
      </c>
      <c r="M1443">
        <f>IF($A1443="","",MAX(0,ROUNDUP(DASHBOARD!$F$3-$D1443,0)))</f>
        <v/>
      </c>
      <c r="N1443">
        <f>IF($A1443="","",$K1443+(5002-ROW())/10000)</f>
        <v/>
      </c>
    </row>
    <row r="1444">
      <c r="K1444">
        <f>IF($A1444="","",SUM($E1444:$J1444))</f>
        <v/>
      </c>
      <c r="M1444">
        <f>IF($A1444="","",MAX(0,ROUNDUP(DASHBOARD!$F$3-$D1444,0)))</f>
        <v/>
      </c>
      <c r="N1444">
        <f>IF($A1444="","",$K1444+(5002-ROW())/10000)</f>
        <v/>
      </c>
    </row>
    <row r="1445">
      <c r="K1445">
        <f>IF($A1445="","",SUM($E1445:$J1445))</f>
        <v/>
      </c>
      <c r="M1445">
        <f>IF($A1445="","",MAX(0,ROUNDUP(DASHBOARD!$F$3-$D1445,0)))</f>
        <v/>
      </c>
      <c r="N1445">
        <f>IF($A1445="","",$K1445+(5002-ROW())/10000)</f>
        <v/>
      </c>
    </row>
    <row r="1446">
      <c r="K1446">
        <f>IF($A1446="","",SUM($E1446:$J1446))</f>
        <v/>
      </c>
      <c r="M1446">
        <f>IF($A1446="","",MAX(0,ROUNDUP(DASHBOARD!$F$3-$D1446,0)))</f>
        <v/>
      </c>
      <c r="N1446">
        <f>IF($A1446="","",$K1446+(5002-ROW())/10000)</f>
        <v/>
      </c>
    </row>
    <row r="1447">
      <c r="K1447">
        <f>IF($A1447="","",SUM($E1447:$J1447))</f>
        <v/>
      </c>
      <c r="M1447">
        <f>IF($A1447="","",MAX(0,ROUNDUP(DASHBOARD!$F$3-$D1447,0)))</f>
        <v/>
      </c>
      <c r="N1447">
        <f>IF($A1447="","",$K1447+(5002-ROW())/10000)</f>
        <v/>
      </c>
    </row>
    <row r="1448">
      <c r="K1448">
        <f>IF($A1448="","",SUM($E1448:$J1448))</f>
        <v/>
      </c>
      <c r="M1448">
        <f>IF($A1448="","",MAX(0,ROUNDUP(DASHBOARD!$F$3-$D1448,0)))</f>
        <v/>
      </c>
      <c r="N1448">
        <f>IF($A1448="","",$K1448+(5002-ROW())/10000)</f>
        <v/>
      </c>
    </row>
    <row r="1449">
      <c r="K1449">
        <f>IF($A1449="","",SUM($E1449:$J1449))</f>
        <v/>
      </c>
      <c r="M1449">
        <f>IF($A1449="","",MAX(0,ROUNDUP(DASHBOARD!$F$3-$D1449,0)))</f>
        <v/>
      </c>
      <c r="N1449">
        <f>IF($A1449="","",$K1449+(5002-ROW())/10000)</f>
        <v/>
      </c>
    </row>
    <row r="1450">
      <c r="K1450">
        <f>IF($A1450="","",SUM($E1450:$J1450))</f>
        <v/>
      </c>
      <c r="M1450">
        <f>IF($A1450="","",MAX(0,ROUNDUP(DASHBOARD!$F$3-$D1450,0)))</f>
        <v/>
      </c>
      <c r="N1450">
        <f>IF($A1450="","",$K1450+(5002-ROW())/10000)</f>
        <v/>
      </c>
    </row>
    <row r="1451">
      <c r="K1451">
        <f>IF($A1451="","",SUM($E1451:$J1451))</f>
        <v/>
      </c>
      <c r="M1451">
        <f>IF($A1451="","",MAX(0,ROUNDUP(DASHBOARD!$F$3-$D1451,0)))</f>
        <v/>
      </c>
      <c r="N1451">
        <f>IF($A1451="","",$K1451+(5002-ROW())/10000)</f>
        <v/>
      </c>
    </row>
    <row r="1452">
      <c r="K1452">
        <f>IF($A1452="","",SUM($E1452:$J1452))</f>
        <v/>
      </c>
      <c r="M1452">
        <f>IF($A1452="","",MAX(0,ROUNDUP(DASHBOARD!$F$3-$D1452,0)))</f>
        <v/>
      </c>
      <c r="N1452">
        <f>IF($A1452="","",$K1452+(5002-ROW())/10000)</f>
        <v/>
      </c>
    </row>
    <row r="1453">
      <c r="K1453">
        <f>IF($A1453="","",SUM($E1453:$J1453))</f>
        <v/>
      </c>
      <c r="M1453">
        <f>IF($A1453="","",MAX(0,ROUNDUP(DASHBOARD!$F$3-$D1453,0)))</f>
        <v/>
      </c>
      <c r="N1453">
        <f>IF($A1453="","",$K1453+(5002-ROW())/10000)</f>
        <v/>
      </c>
    </row>
    <row r="1454">
      <c r="K1454">
        <f>IF($A1454="","",SUM($E1454:$J1454))</f>
        <v/>
      </c>
      <c r="M1454">
        <f>IF($A1454="","",MAX(0,ROUNDUP(DASHBOARD!$F$3-$D1454,0)))</f>
        <v/>
      </c>
      <c r="N1454">
        <f>IF($A1454="","",$K1454+(5002-ROW())/10000)</f>
        <v/>
      </c>
    </row>
    <row r="1455">
      <c r="K1455">
        <f>IF($A1455="","",SUM($E1455:$J1455))</f>
        <v/>
      </c>
      <c r="M1455">
        <f>IF($A1455="","",MAX(0,ROUNDUP(DASHBOARD!$F$3-$D1455,0)))</f>
        <v/>
      </c>
      <c r="N1455">
        <f>IF($A1455="","",$K1455+(5002-ROW())/10000)</f>
        <v/>
      </c>
    </row>
    <row r="1456">
      <c r="K1456">
        <f>IF($A1456="","",SUM($E1456:$J1456))</f>
        <v/>
      </c>
      <c r="M1456">
        <f>IF($A1456="","",MAX(0,ROUNDUP(DASHBOARD!$F$3-$D1456,0)))</f>
        <v/>
      </c>
      <c r="N1456">
        <f>IF($A1456="","",$K1456+(5002-ROW())/10000)</f>
        <v/>
      </c>
    </row>
    <row r="1457">
      <c r="K1457">
        <f>IF($A1457="","",SUM($E1457:$J1457))</f>
        <v/>
      </c>
      <c r="M1457">
        <f>IF($A1457="","",MAX(0,ROUNDUP(DASHBOARD!$F$3-$D1457,0)))</f>
        <v/>
      </c>
      <c r="N1457">
        <f>IF($A1457="","",$K1457+(5002-ROW())/10000)</f>
        <v/>
      </c>
    </row>
    <row r="1458">
      <c r="K1458">
        <f>IF($A1458="","",SUM($E1458:$J1458))</f>
        <v/>
      </c>
      <c r="M1458">
        <f>IF($A1458="","",MAX(0,ROUNDUP(DASHBOARD!$F$3-$D1458,0)))</f>
        <v/>
      </c>
      <c r="N1458">
        <f>IF($A1458="","",$K1458+(5002-ROW())/10000)</f>
        <v/>
      </c>
    </row>
    <row r="1459">
      <c r="K1459">
        <f>IF($A1459="","",SUM($E1459:$J1459))</f>
        <v/>
      </c>
      <c r="M1459">
        <f>IF($A1459="","",MAX(0,ROUNDUP(DASHBOARD!$F$3-$D1459,0)))</f>
        <v/>
      </c>
      <c r="N1459">
        <f>IF($A1459="","",$K1459+(5002-ROW())/10000)</f>
        <v/>
      </c>
    </row>
    <row r="1460">
      <c r="K1460">
        <f>IF($A1460="","",SUM($E1460:$J1460))</f>
        <v/>
      </c>
      <c r="M1460">
        <f>IF($A1460="","",MAX(0,ROUNDUP(DASHBOARD!$F$3-$D1460,0)))</f>
        <v/>
      </c>
      <c r="N1460">
        <f>IF($A1460="","",$K1460+(5002-ROW())/10000)</f>
        <v/>
      </c>
    </row>
    <row r="1461">
      <c r="K1461">
        <f>IF($A1461="","",SUM($E1461:$J1461))</f>
        <v/>
      </c>
      <c r="M1461">
        <f>IF($A1461="","",MAX(0,ROUNDUP(DASHBOARD!$F$3-$D1461,0)))</f>
        <v/>
      </c>
      <c r="N1461">
        <f>IF($A1461="","",$K1461+(5002-ROW())/10000)</f>
        <v/>
      </c>
    </row>
    <row r="1462">
      <c r="K1462">
        <f>IF($A1462="","",SUM($E1462:$J1462))</f>
        <v/>
      </c>
      <c r="M1462">
        <f>IF($A1462="","",MAX(0,ROUNDUP(DASHBOARD!$F$3-$D1462,0)))</f>
        <v/>
      </c>
      <c r="N1462">
        <f>IF($A1462="","",$K1462+(5002-ROW())/10000)</f>
        <v/>
      </c>
    </row>
    <row r="1463">
      <c r="K1463">
        <f>IF($A1463="","",SUM($E1463:$J1463))</f>
        <v/>
      </c>
      <c r="M1463">
        <f>IF($A1463="","",MAX(0,ROUNDUP(DASHBOARD!$F$3-$D1463,0)))</f>
        <v/>
      </c>
      <c r="N1463">
        <f>IF($A1463="","",$K1463+(5002-ROW())/10000)</f>
        <v/>
      </c>
    </row>
    <row r="1464">
      <c r="K1464">
        <f>IF($A1464="","",SUM($E1464:$J1464))</f>
        <v/>
      </c>
      <c r="M1464">
        <f>IF($A1464="","",MAX(0,ROUNDUP(DASHBOARD!$F$3-$D1464,0)))</f>
        <v/>
      </c>
      <c r="N1464">
        <f>IF($A1464="","",$K1464+(5002-ROW())/10000)</f>
        <v/>
      </c>
    </row>
    <row r="1465">
      <c r="K1465">
        <f>IF($A1465="","",SUM($E1465:$J1465))</f>
        <v/>
      </c>
      <c r="M1465">
        <f>IF($A1465="","",MAX(0,ROUNDUP(DASHBOARD!$F$3-$D1465,0)))</f>
        <v/>
      </c>
      <c r="N1465">
        <f>IF($A1465="","",$K1465+(5002-ROW())/10000)</f>
        <v/>
      </c>
    </row>
    <row r="1466">
      <c r="K1466">
        <f>IF($A1466="","",SUM($E1466:$J1466))</f>
        <v/>
      </c>
      <c r="M1466">
        <f>IF($A1466="","",MAX(0,ROUNDUP(DASHBOARD!$F$3-$D1466,0)))</f>
        <v/>
      </c>
      <c r="N1466">
        <f>IF($A1466="","",$K1466+(5002-ROW())/10000)</f>
        <v/>
      </c>
    </row>
    <row r="1467">
      <c r="K1467">
        <f>IF($A1467="","",SUM($E1467:$J1467))</f>
        <v/>
      </c>
      <c r="M1467">
        <f>IF($A1467="","",MAX(0,ROUNDUP(DASHBOARD!$F$3-$D1467,0)))</f>
        <v/>
      </c>
      <c r="N1467">
        <f>IF($A1467="","",$K1467+(5002-ROW())/10000)</f>
        <v/>
      </c>
    </row>
    <row r="1468">
      <c r="K1468">
        <f>IF($A1468="","",SUM($E1468:$J1468))</f>
        <v/>
      </c>
      <c r="M1468">
        <f>IF($A1468="","",MAX(0,ROUNDUP(DASHBOARD!$F$3-$D1468,0)))</f>
        <v/>
      </c>
      <c r="N1468">
        <f>IF($A1468="","",$K1468+(5002-ROW())/10000)</f>
        <v/>
      </c>
    </row>
    <row r="1469">
      <c r="K1469">
        <f>IF($A1469="","",SUM($E1469:$J1469))</f>
        <v/>
      </c>
      <c r="M1469">
        <f>IF($A1469="","",MAX(0,ROUNDUP(DASHBOARD!$F$3-$D1469,0)))</f>
        <v/>
      </c>
      <c r="N1469">
        <f>IF($A1469="","",$K1469+(5002-ROW())/10000)</f>
        <v/>
      </c>
    </row>
    <row r="1470">
      <c r="K1470">
        <f>IF($A1470="","",SUM($E1470:$J1470))</f>
        <v/>
      </c>
      <c r="M1470">
        <f>IF($A1470="","",MAX(0,ROUNDUP(DASHBOARD!$F$3-$D1470,0)))</f>
        <v/>
      </c>
      <c r="N1470">
        <f>IF($A1470="","",$K1470+(5002-ROW())/10000)</f>
        <v/>
      </c>
    </row>
    <row r="1471">
      <c r="K1471">
        <f>IF($A1471="","",SUM($E1471:$J1471))</f>
        <v/>
      </c>
      <c r="M1471">
        <f>IF($A1471="","",MAX(0,ROUNDUP(DASHBOARD!$F$3-$D1471,0)))</f>
        <v/>
      </c>
      <c r="N1471">
        <f>IF($A1471="","",$K1471+(5002-ROW())/10000)</f>
        <v/>
      </c>
    </row>
    <row r="1472">
      <c r="K1472">
        <f>IF($A1472="","",SUM($E1472:$J1472))</f>
        <v/>
      </c>
      <c r="M1472">
        <f>IF($A1472="","",MAX(0,ROUNDUP(DASHBOARD!$F$3-$D1472,0)))</f>
        <v/>
      </c>
      <c r="N1472">
        <f>IF($A1472="","",$K1472+(5002-ROW())/10000)</f>
        <v/>
      </c>
    </row>
    <row r="1473">
      <c r="K1473">
        <f>IF($A1473="","",SUM($E1473:$J1473))</f>
        <v/>
      </c>
      <c r="M1473">
        <f>IF($A1473="","",MAX(0,ROUNDUP(DASHBOARD!$F$3-$D1473,0)))</f>
        <v/>
      </c>
      <c r="N1473">
        <f>IF($A1473="","",$K1473+(5002-ROW())/10000)</f>
        <v/>
      </c>
    </row>
    <row r="1474">
      <c r="K1474">
        <f>IF($A1474="","",SUM($E1474:$J1474))</f>
        <v/>
      </c>
      <c r="M1474">
        <f>IF($A1474="","",MAX(0,ROUNDUP(DASHBOARD!$F$3-$D1474,0)))</f>
        <v/>
      </c>
      <c r="N1474">
        <f>IF($A1474="","",$K1474+(5002-ROW())/10000)</f>
        <v/>
      </c>
    </row>
    <row r="1475">
      <c r="K1475">
        <f>IF($A1475="","",SUM($E1475:$J1475))</f>
        <v/>
      </c>
      <c r="M1475">
        <f>IF($A1475="","",MAX(0,ROUNDUP(DASHBOARD!$F$3-$D1475,0)))</f>
        <v/>
      </c>
      <c r="N1475">
        <f>IF($A1475="","",$K1475+(5002-ROW())/10000)</f>
        <v/>
      </c>
    </row>
    <row r="1476">
      <c r="K1476">
        <f>IF($A1476="","",SUM($E1476:$J1476))</f>
        <v/>
      </c>
      <c r="M1476">
        <f>IF($A1476="","",MAX(0,ROUNDUP(DASHBOARD!$F$3-$D1476,0)))</f>
        <v/>
      </c>
      <c r="N1476">
        <f>IF($A1476="","",$K1476+(5002-ROW())/10000)</f>
        <v/>
      </c>
    </row>
    <row r="1477">
      <c r="K1477">
        <f>IF($A1477="","",SUM($E1477:$J1477))</f>
        <v/>
      </c>
      <c r="M1477">
        <f>IF($A1477="","",MAX(0,ROUNDUP(DASHBOARD!$F$3-$D1477,0)))</f>
        <v/>
      </c>
      <c r="N1477">
        <f>IF($A1477="","",$K1477+(5002-ROW())/10000)</f>
        <v/>
      </c>
    </row>
    <row r="1478">
      <c r="K1478">
        <f>IF($A1478="","",SUM($E1478:$J1478))</f>
        <v/>
      </c>
      <c r="M1478">
        <f>IF($A1478="","",MAX(0,ROUNDUP(DASHBOARD!$F$3-$D1478,0)))</f>
        <v/>
      </c>
      <c r="N1478">
        <f>IF($A1478="","",$K1478+(5002-ROW())/10000)</f>
        <v/>
      </c>
    </row>
    <row r="1479">
      <c r="K1479">
        <f>IF($A1479="","",SUM($E1479:$J1479))</f>
        <v/>
      </c>
      <c r="M1479">
        <f>IF($A1479="","",MAX(0,ROUNDUP(DASHBOARD!$F$3-$D1479,0)))</f>
        <v/>
      </c>
      <c r="N1479">
        <f>IF($A1479="","",$K1479+(5002-ROW())/10000)</f>
        <v/>
      </c>
    </row>
    <row r="1480">
      <c r="K1480">
        <f>IF($A1480="","",SUM($E1480:$J1480))</f>
        <v/>
      </c>
      <c r="M1480">
        <f>IF($A1480="","",MAX(0,ROUNDUP(DASHBOARD!$F$3-$D1480,0)))</f>
        <v/>
      </c>
      <c r="N1480">
        <f>IF($A1480="","",$K1480+(5002-ROW())/10000)</f>
        <v/>
      </c>
    </row>
    <row r="1481">
      <c r="K1481">
        <f>IF($A1481="","",SUM($E1481:$J1481))</f>
        <v/>
      </c>
      <c r="M1481">
        <f>IF($A1481="","",MAX(0,ROUNDUP(DASHBOARD!$F$3-$D1481,0)))</f>
        <v/>
      </c>
      <c r="N1481">
        <f>IF($A1481="","",$K1481+(5002-ROW())/10000)</f>
        <v/>
      </c>
    </row>
    <row r="1482">
      <c r="K1482">
        <f>IF($A1482="","",SUM($E1482:$J1482))</f>
        <v/>
      </c>
      <c r="M1482">
        <f>IF($A1482="","",MAX(0,ROUNDUP(DASHBOARD!$F$3-$D1482,0)))</f>
        <v/>
      </c>
      <c r="N1482">
        <f>IF($A1482="","",$K1482+(5002-ROW())/10000)</f>
        <v/>
      </c>
    </row>
    <row r="1483">
      <c r="K1483">
        <f>IF($A1483="","",SUM($E1483:$J1483))</f>
        <v/>
      </c>
      <c r="M1483">
        <f>IF($A1483="","",MAX(0,ROUNDUP(DASHBOARD!$F$3-$D1483,0)))</f>
        <v/>
      </c>
      <c r="N1483">
        <f>IF($A1483="","",$K1483+(5002-ROW())/10000)</f>
        <v/>
      </c>
    </row>
    <row r="1484">
      <c r="K1484">
        <f>IF($A1484="","",SUM($E1484:$J1484))</f>
        <v/>
      </c>
      <c r="M1484">
        <f>IF($A1484="","",MAX(0,ROUNDUP(DASHBOARD!$F$3-$D1484,0)))</f>
        <v/>
      </c>
      <c r="N1484">
        <f>IF($A1484="","",$K1484+(5002-ROW())/10000)</f>
        <v/>
      </c>
    </row>
    <row r="1485">
      <c r="K1485">
        <f>IF($A1485="","",SUM($E1485:$J1485))</f>
        <v/>
      </c>
      <c r="M1485">
        <f>IF($A1485="","",MAX(0,ROUNDUP(DASHBOARD!$F$3-$D1485,0)))</f>
        <v/>
      </c>
      <c r="N1485">
        <f>IF($A1485="","",$K1485+(5002-ROW())/10000)</f>
        <v/>
      </c>
    </row>
    <row r="1486">
      <c r="K1486">
        <f>IF($A1486="","",SUM($E1486:$J1486))</f>
        <v/>
      </c>
      <c r="M1486">
        <f>IF($A1486="","",MAX(0,ROUNDUP(DASHBOARD!$F$3-$D1486,0)))</f>
        <v/>
      </c>
      <c r="N1486">
        <f>IF($A1486="","",$K1486+(5002-ROW())/10000)</f>
        <v/>
      </c>
    </row>
    <row r="1487">
      <c r="K1487">
        <f>IF($A1487="","",SUM($E1487:$J1487))</f>
        <v/>
      </c>
      <c r="M1487">
        <f>IF($A1487="","",MAX(0,ROUNDUP(DASHBOARD!$F$3-$D1487,0)))</f>
        <v/>
      </c>
      <c r="N1487">
        <f>IF($A1487="","",$K1487+(5002-ROW())/10000)</f>
        <v/>
      </c>
    </row>
    <row r="1488">
      <c r="K1488">
        <f>IF($A1488="","",SUM($E1488:$J1488))</f>
        <v/>
      </c>
      <c r="M1488">
        <f>IF($A1488="","",MAX(0,ROUNDUP(DASHBOARD!$F$3-$D1488,0)))</f>
        <v/>
      </c>
      <c r="N1488">
        <f>IF($A1488="","",$K1488+(5002-ROW())/10000)</f>
        <v/>
      </c>
    </row>
    <row r="1489">
      <c r="K1489">
        <f>IF($A1489="","",SUM($E1489:$J1489))</f>
        <v/>
      </c>
      <c r="M1489">
        <f>IF($A1489="","",MAX(0,ROUNDUP(DASHBOARD!$F$3-$D1489,0)))</f>
        <v/>
      </c>
      <c r="N1489">
        <f>IF($A1489="","",$K1489+(5002-ROW())/10000)</f>
        <v/>
      </c>
    </row>
    <row r="1490">
      <c r="K1490">
        <f>IF($A1490="","",SUM($E1490:$J1490))</f>
        <v/>
      </c>
      <c r="M1490">
        <f>IF($A1490="","",MAX(0,ROUNDUP(DASHBOARD!$F$3-$D1490,0)))</f>
        <v/>
      </c>
      <c r="N1490">
        <f>IF($A1490="","",$K1490+(5002-ROW())/10000)</f>
        <v/>
      </c>
    </row>
    <row r="1491">
      <c r="K1491">
        <f>IF($A1491="","",SUM($E1491:$J1491))</f>
        <v/>
      </c>
      <c r="M1491">
        <f>IF($A1491="","",MAX(0,ROUNDUP(DASHBOARD!$F$3-$D1491,0)))</f>
        <v/>
      </c>
      <c r="N1491">
        <f>IF($A1491="","",$K1491+(5002-ROW())/10000)</f>
        <v/>
      </c>
    </row>
    <row r="1492">
      <c r="K1492">
        <f>IF($A1492="","",SUM($E1492:$J1492))</f>
        <v/>
      </c>
      <c r="M1492">
        <f>IF($A1492="","",MAX(0,ROUNDUP(DASHBOARD!$F$3-$D1492,0)))</f>
        <v/>
      </c>
      <c r="N1492">
        <f>IF($A1492="","",$K1492+(5002-ROW())/10000)</f>
        <v/>
      </c>
    </row>
    <row r="1493">
      <c r="K1493">
        <f>IF($A1493="","",SUM($E1493:$J1493))</f>
        <v/>
      </c>
      <c r="M1493">
        <f>IF($A1493="","",MAX(0,ROUNDUP(DASHBOARD!$F$3-$D1493,0)))</f>
        <v/>
      </c>
      <c r="N1493">
        <f>IF($A1493="","",$K1493+(5002-ROW())/10000)</f>
        <v/>
      </c>
    </row>
    <row r="1494">
      <c r="K1494">
        <f>IF($A1494="","",SUM($E1494:$J1494))</f>
        <v/>
      </c>
      <c r="M1494">
        <f>IF($A1494="","",MAX(0,ROUNDUP(DASHBOARD!$F$3-$D1494,0)))</f>
        <v/>
      </c>
      <c r="N1494">
        <f>IF($A1494="","",$K1494+(5002-ROW())/10000)</f>
        <v/>
      </c>
    </row>
    <row r="1495">
      <c r="K1495">
        <f>IF($A1495="","",SUM($E1495:$J1495))</f>
        <v/>
      </c>
      <c r="M1495">
        <f>IF($A1495="","",MAX(0,ROUNDUP(DASHBOARD!$F$3-$D1495,0)))</f>
        <v/>
      </c>
      <c r="N1495">
        <f>IF($A1495="","",$K1495+(5002-ROW())/10000)</f>
        <v/>
      </c>
    </row>
    <row r="1496">
      <c r="K1496">
        <f>IF($A1496="","",SUM($E1496:$J1496))</f>
        <v/>
      </c>
      <c r="M1496">
        <f>IF($A1496="","",MAX(0,ROUNDUP(DASHBOARD!$F$3-$D1496,0)))</f>
        <v/>
      </c>
      <c r="N1496">
        <f>IF($A1496="","",$K1496+(5002-ROW())/10000)</f>
        <v/>
      </c>
    </row>
    <row r="1497">
      <c r="K1497">
        <f>IF($A1497="","",SUM($E1497:$J1497))</f>
        <v/>
      </c>
      <c r="M1497">
        <f>IF($A1497="","",MAX(0,ROUNDUP(DASHBOARD!$F$3-$D1497,0)))</f>
        <v/>
      </c>
      <c r="N1497">
        <f>IF($A1497="","",$K1497+(5002-ROW())/10000)</f>
        <v/>
      </c>
    </row>
    <row r="1498">
      <c r="K1498">
        <f>IF($A1498="","",SUM($E1498:$J1498))</f>
        <v/>
      </c>
      <c r="M1498">
        <f>IF($A1498="","",MAX(0,ROUNDUP(DASHBOARD!$F$3-$D1498,0)))</f>
        <v/>
      </c>
      <c r="N1498">
        <f>IF($A1498="","",$K1498+(5002-ROW())/10000)</f>
        <v/>
      </c>
    </row>
    <row r="1499">
      <c r="K1499">
        <f>IF($A1499="","",SUM($E1499:$J1499))</f>
        <v/>
      </c>
      <c r="M1499">
        <f>IF($A1499="","",MAX(0,ROUNDUP(DASHBOARD!$F$3-$D1499,0)))</f>
        <v/>
      </c>
      <c r="N1499">
        <f>IF($A1499="","",$K1499+(5002-ROW())/10000)</f>
        <v/>
      </c>
    </row>
    <row r="1500">
      <c r="K1500">
        <f>IF($A1500="","",SUM($E1500:$J1500))</f>
        <v/>
      </c>
      <c r="M1500">
        <f>IF($A1500="","",MAX(0,ROUNDUP(DASHBOARD!$F$3-$D1500,0)))</f>
        <v/>
      </c>
      <c r="N1500">
        <f>IF($A1500="","",$K1500+(5002-ROW())/10000)</f>
        <v/>
      </c>
    </row>
    <row r="1501">
      <c r="K1501">
        <f>IF($A1501="","",SUM($E1501:$J1501))</f>
        <v/>
      </c>
      <c r="M1501">
        <f>IF($A1501="","",MAX(0,ROUNDUP(DASHBOARD!$F$3-$D1501,0)))</f>
        <v/>
      </c>
      <c r="N1501">
        <f>IF($A1501="","",$K1501+(5002-ROW())/10000)</f>
        <v/>
      </c>
    </row>
    <row r="1502">
      <c r="K1502">
        <f>IF($A1502="","",SUM($E1502:$J1502))</f>
        <v/>
      </c>
      <c r="M1502">
        <f>IF($A1502="","",MAX(0,ROUNDUP(DASHBOARD!$F$3-$D1502,0)))</f>
        <v/>
      </c>
      <c r="N1502">
        <f>IF($A1502="","",$K1502+(5002-ROW())/10000)</f>
        <v/>
      </c>
    </row>
    <row r="1503">
      <c r="K1503">
        <f>IF($A1503="","",SUM($E1503:$J1503))</f>
        <v/>
      </c>
      <c r="M1503">
        <f>IF($A1503="","",MAX(0,ROUNDUP(DASHBOARD!$F$3-$D1503,0)))</f>
        <v/>
      </c>
      <c r="N1503">
        <f>IF($A1503="","",$K1503+(5002-ROW())/10000)</f>
        <v/>
      </c>
    </row>
    <row r="1504">
      <c r="K1504">
        <f>IF($A1504="","",SUM($E1504:$J1504))</f>
        <v/>
      </c>
      <c r="M1504">
        <f>IF($A1504="","",MAX(0,ROUNDUP(DASHBOARD!$F$3-$D1504,0)))</f>
        <v/>
      </c>
      <c r="N1504">
        <f>IF($A1504="","",$K1504+(5002-ROW())/10000)</f>
        <v/>
      </c>
    </row>
    <row r="1505">
      <c r="K1505">
        <f>IF($A1505="","",SUM($E1505:$J1505))</f>
        <v/>
      </c>
      <c r="M1505">
        <f>IF($A1505="","",MAX(0,ROUNDUP(DASHBOARD!$F$3-$D1505,0)))</f>
        <v/>
      </c>
      <c r="N1505">
        <f>IF($A1505="","",$K1505+(5002-ROW())/10000)</f>
        <v/>
      </c>
    </row>
    <row r="1506">
      <c r="K1506">
        <f>IF($A1506="","",SUM($E1506:$J1506))</f>
        <v/>
      </c>
      <c r="M1506">
        <f>IF($A1506="","",MAX(0,ROUNDUP(DASHBOARD!$F$3-$D1506,0)))</f>
        <v/>
      </c>
      <c r="N1506">
        <f>IF($A1506="","",$K1506+(5002-ROW())/10000)</f>
        <v/>
      </c>
    </row>
    <row r="1507">
      <c r="K1507">
        <f>IF($A1507="","",SUM($E1507:$J1507))</f>
        <v/>
      </c>
      <c r="M1507">
        <f>IF($A1507="","",MAX(0,ROUNDUP(DASHBOARD!$F$3-$D1507,0)))</f>
        <v/>
      </c>
      <c r="N1507">
        <f>IF($A1507="","",$K1507+(5002-ROW())/10000)</f>
        <v/>
      </c>
    </row>
    <row r="1508">
      <c r="K1508">
        <f>IF($A1508="","",SUM($E1508:$J1508))</f>
        <v/>
      </c>
      <c r="M1508">
        <f>IF($A1508="","",MAX(0,ROUNDUP(DASHBOARD!$F$3-$D1508,0)))</f>
        <v/>
      </c>
      <c r="N1508">
        <f>IF($A1508="","",$K1508+(5002-ROW())/10000)</f>
        <v/>
      </c>
    </row>
    <row r="1509">
      <c r="K1509">
        <f>IF($A1509="","",SUM($E1509:$J1509))</f>
        <v/>
      </c>
      <c r="M1509">
        <f>IF($A1509="","",MAX(0,ROUNDUP(DASHBOARD!$F$3-$D1509,0)))</f>
        <v/>
      </c>
      <c r="N1509">
        <f>IF($A1509="","",$K1509+(5002-ROW())/10000)</f>
        <v/>
      </c>
    </row>
    <row r="1510">
      <c r="K1510">
        <f>IF($A1510="","",SUM($E1510:$J1510))</f>
        <v/>
      </c>
      <c r="M1510">
        <f>IF($A1510="","",MAX(0,ROUNDUP(DASHBOARD!$F$3-$D1510,0)))</f>
        <v/>
      </c>
      <c r="N1510">
        <f>IF($A1510="","",$K1510+(5002-ROW())/10000)</f>
        <v/>
      </c>
    </row>
    <row r="1511">
      <c r="K1511">
        <f>IF($A1511="","",SUM($E1511:$J1511))</f>
        <v/>
      </c>
      <c r="M1511">
        <f>IF($A1511="","",MAX(0,ROUNDUP(DASHBOARD!$F$3-$D1511,0)))</f>
        <v/>
      </c>
      <c r="N1511">
        <f>IF($A1511="","",$K1511+(5002-ROW())/10000)</f>
        <v/>
      </c>
    </row>
    <row r="1512">
      <c r="K1512">
        <f>IF($A1512="","",SUM($E1512:$J1512))</f>
        <v/>
      </c>
      <c r="M1512">
        <f>IF($A1512="","",MAX(0,ROUNDUP(DASHBOARD!$F$3-$D1512,0)))</f>
        <v/>
      </c>
      <c r="N1512">
        <f>IF($A1512="","",$K1512+(5002-ROW())/10000)</f>
        <v/>
      </c>
    </row>
    <row r="1513">
      <c r="K1513">
        <f>IF($A1513="","",SUM($E1513:$J1513))</f>
        <v/>
      </c>
      <c r="M1513">
        <f>IF($A1513="","",MAX(0,ROUNDUP(DASHBOARD!$F$3-$D1513,0)))</f>
        <v/>
      </c>
      <c r="N1513">
        <f>IF($A1513="","",$K1513+(5002-ROW())/10000)</f>
        <v/>
      </c>
    </row>
    <row r="1514">
      <c r="K1514">
        <f>IF($A1514="","",SUM($E1514:$J1514))</f>
        <v/>
      </c>
      <c r="M1514">
        <f>IF($A1514="","",MAX(0,ROUNDUP(DASHBOARD!$F$3-$D1514,0)))</f>
        <v/>
      </c>
      <c r="N1514">
        <f>IF($A1514="","",$K1514+(5002-ROW())/10000)</f>
        <v/>
      </c>
    </row>
    <row r="1515">
      <c r="K1515">
        <f>IF($A1515="","",SUM($E1515:$J1515))</f>
        <v/>
      </c>
      <c r="M1515">
        <f>IF($A1515="","",MAX(0,ROUNDUP(DASHBOARD!$F$3-$D1515,0)))</f>
        <v/>
      </c>
      <c r="N1515">
        <f>IF($A1515="","",$K1515+(5002-ROW())/10000)</f>
        <v/>
      </c>
    </row>
    <row r="1516">
      <c r="K1516">
        <f>IF($A1516="","",SUM($E1516:$J1516))</f>
        <v/>
      </c>
      <c r="M1516">
        <f>IF($A1516="","",MAX(0,ROUNDUP(DASHBOARD!$F$3-$D1516,0)))</f>
        <v/>
      </c>
      <c r="N1516">
        <f>IF($A1516="","",$K1516+(5002-ROW())/10000)</f>
        <v/>
      </c>
    </row>
    <row r="1517">
      <c r="K1517">
        <f>IF($A1517="","",SUM($E1517:$J1517))</f>
        <v/>
      </c>
      <c r="M1517">
        <f>IF($A1517="","",MAX(0,ROUNDUP(DASHBOARD!$F$3-$D1517,0)))</f>
        <v/>
      </c>
      <c r="N1517">
        <f>IF($A1517="","",$K1517+(5002-ROW())/10000)</f>
        <v/>
      </c>
    </row>
    <row r="1518">
      <c r="K1518">
        <f>IF($A1518="","",SUM($E1518:$J1518))</f>
        <v/>
      </c>
      <c r="M1518">
        <f>IF($A1518="","",MAX(0,ROUNDUP(DASHBOARD!$F$3-$D1518,0)))</f>
        <v/>
      </c>
      <c r="N1518">
        <f>IF($A1518="","",$K1518+(5002-ROW())/10000)</f>
        <v/>
      </c>
    </row>
    <row r="1519">
      <c r="K1519">
        <f>IF($A1519="","",SUM($E1519:$J1519))</f>
        <v/>
      </c>
      <c r="M1519">
        <f>IF($A1519="","",MAX(0,ROUNDUP(DASHBOARD!$F$3-$D1519,0)))</f>
        <v/>
      </c>
      <c r="N1519">
        <f>IF($A1519="","",$K1519+(5002-ROW())/10000)</f>
        <v/>
      </c>
    </row>
    <row r="1520">
      <c r="K1520">
        <f>IF($A1520="","",SUM($E1520:$J1520))</f>
        <v/>
      </c>
      <c r="M1520">
        <f>IF($A1520="","",MAX(0,ROUNDUP(DASHBOARD!$F$3-$D1520,0)))</f>
        <v/>
      </c>
      <c r="N1520">
        <f>IF($A1520="","",$K1520+(5002-ROW())/10000)</f>
        <v/>
      </c>
    </row>
    <row r="1521">
      <c r="K1521">
        <f>IF($A1521="","",SUM($E1521:$J1521))</f>
        <v/>
      </c>
      <c r="M1521">
        <f>IF($A1521="","",MAX(0,ROUNDUP(DASHBOARD!$F$3-$D1521,0)))</f>
        <v/>
      </c>
      <c r="N1521">
        <f>IF($A1521="","",$K1521+(5002-ROW())/10000)</f>
        <v/>
      </c>
    </row>
    <row r="1522">
      <c r="K1522">
        <f>IF($A1522="","",SUM($E1522:$J1522))</f>
        <v/>
      </c>
      <c r="M1522">
        <f>IF($A1522="","",MAX(0,ROUNDUP(DASHBOARD!$F$3-$D1522,0)))</f>
        <v/>
      </c>
      <c r="N1522">
        <f>IF($A1522="","",$K1522+(5002-ROW())/10000)</f>
        <v/>
      </c>
    </row>
    <row r="1523">
      <c r="K1523">
        <f>IF($A1523="","",SUM($E1523:$J1523))</f>
        <v/>
      </c>
      <c r="M1523">
        <f>IF($A1523="","",MAX(0,ROUNDUP(DASHBOARD!$F$3-$D1523,0)))</f>
        <v/>
      </c>
      <c r="N1523">
        <f>IF($A1523="","",$K1523+(5002-ROW())/10000)</f>
        <v/>
      </c>
    </row>
    <row r="1524">
      <c r="K1524">
        <f>IF($A1524="","",SUM($E1524:$J1524))</f>
        <v/>
      </c>
      <c r="M1524">
        <f>IF($A1524="","",MAX(0,ROUNDUP(DASHBOARD!$F$3-$D1524,0)))</f>
        <v/>
      </c>
      <c r="N1524">
        <f>IF($A1524="","",$K1524+(5002-ROW())/10000)</f>
        <v/>
      </c>
    </row>
    <row r="1525">
      <c r="K1525">
        <f>IF($A1525="","",SUM($E1525:$J1525))</f>
        <v/>
      </c>
      <c r="M1525">
        <f>IF($A1525="","",MAX(0,ROUNDUP(DASHBOARD!$F$3-$D1525,0)))</f>
        <v/>
      </c>
      <c r="N1525">
        <f>IF($A1525="","",$K1525+(5002-ROW())/10000)</f>
        <v/>
      </c>
    </row>
    <row r="1526">
      <c r="K1526">
        <f>IF($A1526="","",SUM($E1526:$J1526))</f>
        <v/>
      </c>
      <c r="M1526">
        <f>IF($A1526="","",MAX(0,ROUNDUP(DASHBOARD!$F$3-$D1526,0)))</f>
        <v/>
      </c>
      <c r="N1526">
        <f>IF($A1526="","",$K1526+(5002-ROW())/10000)</f>
        <v/>
      </c>
    </row>
    <row r="1527">
      <c r="K1527">
        <f>IF($A1527="","",SUM($E1527:$J1527))</f>
        <v/>
      </c>
      <c r="M1527">
        <f>IF($A1527="","",MAX(0,ROUNDUP(DASHBOARD!$F$3-$D1527,0)))</f>
        <v/>
      </c>
      <c r="N1527">
        <f>IF($A1527="","",$K1527+(5002-ROW())/10000)</f>
        <v/>
      </c>
    </row>
    <row r="1528">
      <c r="K1528">
        <f>IF($A1528="","",SUM($E1528:$J1528))</f>
        <v/>
      </c>
      <c r="M1528">
        <f>IF($A1528="","",MAX(0,ROUNDUP(DASHBOARD!$F$3-$D1528,0)))</f>
        <v/>
      </c>
      <c r="N1528">
        <f>IF($A1528="","",$K1528+(5002-ROW())/10000)</f>
        <v/>
      </c>
    </row>
    <row r="1529">
      <c r="K1529">
        <f>IF($A1529="","",SUM($E1529:$J1529))</f>
        <v/>
      </c>
      <c r="M1529">
        <f>IF($A1529="","",MAX(0,ROUNDUP(DASHBOARD!$F$3-$D1529,0)))</f>
        <v/>
      </c>
      <c r="N1529">
        <f>IF($A1529="","",$K1529+(5002-ROW())/10000)</f>
        <v/>
      </c>
    </row>
    <row r="1530">
      <c r="K1530">
        <f>IF($A1530="","",SUM($E1530:$J1530))</f>
        <v/>
      </c>
      <c r="M1530">
        <f>IF($A1530="","",MAX(0,ROUNDUP(DASHBOARD!$F$3-$D1530,0)))</f>
        <v/>
      </c>
      <c r="N1530">
        <f>IF($A1530="","",$K1530+(5002-ROW())/10000)</f>
        <v/>
      </c>
    </row>
    <row r="1531">
      <c r="K1531">
        <f>IF($A1531="","",SUM($E1531:$J1531))</f>
        <v/>
      </c>
      <c r="M1531">
        <f>IF($A1531="","",MAX(0,ROUNDUP(DASHBOARD!$F$3-$D1531,0)))</f>
        <v/>
      </c>
      <c r="N1531">
        <f>IF($A1531="","",$K1531+(5002-ROW())/10000)</f>
        <v/>
      </c>
    </row>
    <row r="1532">
      <c r="K1532">
        <f>IF($A1532="","",SUM($E1532:$J1532))</f>
        <v/>
      </c>
      <c r="M1532">
        <f>IF($A1532="","",MAX(0,ROUNDUP(DASHBOARD!$F$3-$D1532,0)))</f>
        <v/>
      </c>
      <c r="N1532">
        <f>IF($A1532="","",$K1532+(5002-ROW())/10000)</f>
        <v/>
      </c>
    </row>
    <row r="1533">
      <c r="K1533">
        <f>IF($A1533="","",SUM($E1533:$J1533))</f>
        <v/>
      </c>
      <c r="M1533">
        <f>IF($A1533="","",MAX(0,ROUNDUP(DASHBOARD!$F$3-$D1533,0)))</f>
        <v/>
      </c>
      <c r="N1533">
        <f>IF($A1533="","",$K1533+(5002-ROW())/10000)</f>
        <v/>
      </c>
    </row>
    <row r="1534">
      <c r="K1534">
        <f>IF($A1534="","",SUM($E1534:$J1534))</f>
        <v/>
      </c>
      <c r="M1534">
        <f>IF($A1534="","",MAX(0,ROUNDUP(DASHBOARD!$F$3-$D1534,0)))</f>
        <v/>
      </c>
      <c r="N1534">
        <f>IF($A1534="","",$K1534+(5002-ROW())/10000)</f>
        <v/>
      </c>
    </row>
    <row r="1535">
      <c r="K1535">
        <f>IF($A1535="","",SUM($E1535:$J1535))</f>
        <v/>
      </c>
      <c r="M1535">
        <f>IF($A1535="","",MAX(0,ROUNDUP(DASHBOARD!$F$3-$D1535,0)))</f>
        <v/>
      </c>
      <c r="N1535">
        <f>IF($A1535="","",$K1535+(5002-ROW())/10000)</f>
        <v/>
      </c>
    </row>
    <row r="1536">
      <c r="K1536">
        <f>IF($A1536="","",SUM($E1536:$J1536))</f>
        <v/>
      </c>
      <c r="M1536">
        <f>IF($A1536="","",MAX(0,ROUNDUP(DASHBOARD!$F$3-$D1536,0)))</f>
        <v/>
      </c>
      <c r="N1536">
        <f>IF($A1536="","",$K1536+(5002-ROW())/10000)</f>
        <v/>
      </c>
    </row>
    <row r="1537">
      <c r="K1537">
        <f>IF($A1537="","",SUM($E1537:$J1537))</f>
        <v/>
      </c>
      <c r="M1537">
        <f>IF($A1537="","",MAX(0,ROUNDUP(DASHBOARD!$F$3-$D1537,0)))</f>
        <v/>
      </c>
      <c r="N1537">
        <f>IF($A1537="","",$K1537+(5002-ROW())/10000)</f>
        <v/>
      </c>
    </row>
    <row r="1538">
      <c r="K1538">
        <f>IF($A1538="","",SUM($E1538:$J1538))</f>
        <v/>
      </c>
      <c r="M1538">
        <f>IF($A1538="","",MAX(0,ROUNDUP(DASHBOARD!$F$3-$D1538,0)))</f>
        <v/>
      </c>
      <c r="N1538">
        <f>IF($A1538="","",$K1538+(5002-ROW())/10000)</f>
        <v/>
      </c>
    </row>
    <row r="1539">
      <c r="K1539">
        <f>IF($A1539="","",SUM($E1539:$J1539))</f>
        <v/>
      </c>
      <c r="M1539">
        <f>IF($A1539="","",MAX(0,ROUNDUP(DASHBOARD!$F$3-$D1539,0)))</f>
        <v/>
      </c>
      <c r="N1539">
        <f>IF($A1539="","",$K1539+(5002-ROW())/10000)</f>
        <v/>
      </c>
    </row>
    <row r="1540">
      <c r="K1540">
        <f>IF($A1540="","",SUM($E1540:$J1540))</f>
        <v/>
      </c>
      <c r="M1540">
        <f>IF($A1540="","",MAX(0,ROUNDUP(DASHBOARD!$F$3-$D1540,0)))</f>
        <v/>
      </c>
      <c r="N1540">
        <f>IF($A1540="","",$K1540+(5002-ROW())/10000)</f>
        <v/>
      </c>
    </row>
    <row r="1541">
      <c r="K1541">
        <f>IF($A1541="","",SUM($E1541:$J1541))</f>
        <v/>
      </c>
      <c r="M1541">
        <f>IF($A1541="","",MAX(0,ROUNDUP(DASHBOARD!$F$3-$D1541,0)))</f>
        <v/>
      </c>
      <c r="N1541">
        <f>IF($A1541="","",$K1541+(5002-ROW())/10000)</f>
        <v/>
      </c>
    </row>
    <row r="1542">
      <c r="K1542">
        <f>IF($A1542="","",SUM($E1542:$J1542))</f>
        <v/>
      </c>
      <c r="M1542">
        <f>IF($A1542="","",MAX(0,ROUNDUP(DASHBOARD!$F$3-$D1542,0)))</f>
        <v/>
      </c>
      <c r="N1542">
        <f>IF($A1542="","",$K1542+(5002-ROW())/10000)</f>
        <v/>
      </c>
    </row>
    <row r="1543">
      <c r="K1543">
        <f>IF($A1543="","",SUM($E1543:$J1543))</f>
        <v/>
      </c>
      <c r="M1543">
        <f>IF($A1543="","",MAX(0,ROUNDUP(DASHBOARD!$F$3-$D1543,0)))</f>
        <v/>
      </c>
      <c r="N1543">
        <f>IF($A1543="","",$K1543+(5002-ROW())/10000)</f>
        <v/>
      </c>
    </row>
    <row r="1544">
      <c r="K1544">
        <f>IF($A1544="","",SUM($E1544:$J1544))</f>
        <v/>
      </c>
      <c r="M1544">
        <f>IF($A1544="","",MAX(0,ROUNDUP(DASHBOARD!$F$3-$D1544,0)))</f>
        <v/>
      </c>
      <c r="N1544">
        <f>IF($A1544="","",$K1544+(5002-ROW())/10000)</f>
        <v/>
      </c>
    </row>
    <row r="1545">
      <c r="K1545">
        <f>IF($A1545="","",SUM($E1545:$J1545))</f>
        <v/>
      </c>
      <c r="M1545">
        <f>IF($A1545="","",MAX(0,ROUNDUP(DASHBOARD!$F$3-$D1545,0)))</f>
        <v/>
      </c>
      <c r="N1545">
        <f>IF($A1545="","",$K1545+(5002-ROW())/10000)</f>
        <v/>
      </c>
    </row>
    <row r="1546">
      <c r="K1546">
        <f>IF($A1546="","",SUM($E1546:$J1546))</f>
        <v/>
      </c>
      <c r="M1546">
        <f>IF($A1546="","",MAX(0,ROUNDUP(DASHBOARD!$F$3-$D1546,0)))</f>
        <v/>
      </c>
      <c r="N1546">
        <f>IF($A1546="","",$K1546+(5002-ROW())/10000)</f>
        <v/>
      </c>
    </row>
    <row r="1547">
      <c r="K1547">
        <f>IF($A1547="","",SUM($E1547:$J1547))</f>
        <v/>
      </c>
      <c r="M1547">
        <f>IF($A1547="","",MAX(0,ROUNDUP(DASHBOARD!$F$3-$D1547,0)))</f>
        <v/>
      </c>
      <c r="N1547">
        <f>IF($A1547="","",$K1547+(5002-ROW())/10000)</f>
        <v/>
      </c>
    </row>
    <row r="1548">
      <c r="K1548">
        <f>IF($A1548="","",SUM($E1548:$J1548))</f>
        <v/>
      </c>
      <c r="M1548">
        <f>IF($A1548="","",MAX(0,ROUNDUP(DASHBOARD!$F$3-$D1548,0)))</f>
        <v/>
      </c>
      <c r="N1548">
        <f>IF($A1548="","",$K1548+(5002-ROW())/10000)</f>
        <v/>
      </c>
    </row>
    <row r="1549">
      <c r="K1549">
        <f>IF($A1549="","",SUM($E1549:$J1549))</f>
        <v/>
      </c>
      <c r="M1549">
        <f>IF($A1549="","",MAX(0,ROUNDUP(DASHBOARD!$F$3-$D1549,0)))</f>
        <v/>
      </c>
      <c r="N1549">
        <f>IF($A1549="","",$K1549+(5002-ROW())/10000)</f>
        <v/>
      </c>
    </row>
    <row r="1550">
      <c r="K1550">
        <f>IF($A1550="","",SUM($E1550:$J1550))</f>
        <v/>
      </c>
      <c r="M1550">
        <f>IF($A1550="","",MAX(0,ROUNDUP(DASHBOARD!$F$3-$D1550,0)))</f>
        <v/>
      </c>
      <c r="N1550">
        <f>IF($A1550="","",$K1550+(5002-ROW())/10000)</f>
        <v/>
      </c>
    </row>
    <row r="1551">
      <c r="K1551">
        <f>IF($A1551="","",SUM($E1551:$J1551))</f>
        <v/>
      </c>
      <c r="M1551">
        <f>IF($A1551="","",MAX(0,ROUNDUP(DASHBOARD!$F$3-$D1551,0)))</f>
        <v/>
      </c>
      <c r="N1551">
        <f>IF($A1551="","",$K1551+(5002-ROW())/10000)</f>
        <v/>
      </c>
    </row>
    <row r="1552">
      <c r="K1552">
        <f>IF($A1552="","",SUM($E1552:$J1552))</f>
        <v/>
      </c>
      <c r="M1552">
        <f>IF($A1552="","",MAX(0,ROUNDUP(DASHBOARD!$F$3-$D1552,0)))</f>
        <v/>
      </c>
      <c r="N1552">
        <f>IF($A1552="","",$K1552+(5002-ROW())/10000)</f>
        <v/>
      </c>
    </row>
    <row r="1553">
      <c r="K1553">
        <f>IF($A1553="","",SUM($E1553:$J1553))</f>
        <v/>
      </c>
      <c r="M1553">
        <f>IF($A1553="","",MAX(0,ROUNDUP(DASHBOARD!$F$3-$D1553,0)))</f>
        <v/>
      </c>
      <c r="N1553">
        <f>IF($A1553="","",$K1553+(5002-ROW())/10000)</f>
        <v/>
      </c>
    </row>
    <row r="1554">
      <c r="K1554">
        <f>IF($A1554="","",SUM($E1554:$J1554))</f>
        <v/>
      </c>
      <c r="M1554">
        <f>IF($A1554="","",MAX(0,ROUNDUP(DASHBOARD!$F$3-$D1554,0)))</f>
        <v/>
      </c>
      <c r="N1554">
        <f>IF($A1554="","",$K1554+(5002-ROW())/10000)</f>
        <v/>
      </c>
    </row>
    <row r="1555">
      <c r="K1555">
        <f>IF($A1555="","",SUM($E1555:$J1555))</f>
        <v/>
      </c>
      <c r="M1555">
        <f>IF($A1555="","",MAX(0,ROUNDUP(DASHBOARD!$F$3-$D1555,0)))</f>
        <v/>
      </c>
      <c r="N1555">
        <f>IF($A1555="","",$K1555+(5002-ROW())/10000)</f>
        <v/>
      </c>
    </row>
    <row r="1556">
      <c r="K1556">
        <f>IF($A1556="","",SUM($E1556:$J1556))</f>
        <v/>
      </c>
      <c r="M1556">
        <f>IF($A1556="","",MAX(0,ROUNDUP(DASHBOARD!$F$3-$D1556,0)))</f>
        <v/>
      </c>
      <c r="N1556">
        <f>IF($A1556="","",$K1556+(5002-ROW())/10000)</f>
        <v/>
      </c>
    </row>
    <row r="1557">
      <c r="K1557">
        <f>IF($A1557="","",SUM($E1557:$J1557))</f>
        <v/>
      </c>
      <c r="M1557">
        <f>IF($A1557="","",MAX(0,ROUNDUP(DASHBOARD!$F$3-$D1557,0)))</f>
        <v/>
      </c>
      <c r="N1557">
        <f>IF($A1557="","",$K1557+(5002-ROW())/10000)</f>
        <v/>
      </c>
    </row>
    <row r="1558">
      <c r="K1558">
        <f>IF($A1558="","",SUM($E1558:$J1558))</f>
        <v/>
      </c>
      <c r="M1558">
        <f>IF($A1558="","",MAX(0,ROUNDUP(DASHBOARD!$F$3-$D1558,0)))</f>
        <v/>
      </c>
      <c r="N1558">
        <f>IF($A1558="","",$K1558+(5002-ROW())/10000)</f>
        <v/>
      </c>
    </row>
    <row r="1559">
      <c r="K1559">
        <f>IF($A1559="","",SUM($E1559:$J1559))</f>
        <v/>
      </c>
      <c r="M1559">
        <f>IF($A1559="","",MAX(0,ROUNDUP(DASHBOARD!$F$3-$D1559,0)))</f>
        <v/>
      </c>
      <c r="N1559">
        <f>IF($A1559="","",$K1559+(5002-ROW())/10000)</f>
        <v/>
      </c>
    </row>
    <row r="1560">
      <c r="K1560">
        <f>IF($A1560="","",SUM($E1560:$J1560))</f>
        <v/>
      </c>
      <c r="M1560">
        <f>IF($A1560="","",MAX(0,ROUNDUP(DASHBOARD!$F$3-$D1560,0)))</f>
        <v/>
      </c>
      <c r="N1560">
        <f>IF($A1560="","",$K1560+(5002-ROW())/10000)</f>
        <v/>
      </c>
    </row>
    <row r="1561">
      <c r="K1561">
        <f>IF($A1561="","",SUM($E1561:$J1561))</f>
        <v/>
      </c>
      <c r="M1561">
        <f>IF($A1561="","",MAX(0,ROUNDUP(DASHBOARD!$F$3-$D1561,0)))</f>
        <v/>
      </c>
      <c r="N1561">
        <f>IF($A1561="","",$K1561+(5002-ROW())/10000)</f>
        <v/>
      </c>
    </row>
    <row r="1562">
      <c r="K1562">
        <f>IF($A1562="","",SUM($E1562:$J1562))</f>
        <v/>
      </c>
      <c r="M1562">
        <f>IF($A1562="","",MAX(0,ROUNDUP(DASHBOARD!$F$3-$D1562,0)))</f>
        <v/>
      </c>
      <c r="N1562">
        <f>IF($A1562="","",$K1562+(5002-ROW())/10000)</f>
        <v/>
      </c>
    </row>
    <row r="1563">
      <c r="K1563">
        <f>IF($A1563="","",SUM($E1563:$J1563))</f>
        <v/>
      </c>
      <c r="M1563">
        <f>IF($A1563="","",MAX(0,ROUNDUP(DASHBOARD!$F$3-$D1563,0)))</f>
        <v/>
      </c>
      <c r="N1563">
        <f>IF($A1563="","",$K1563+(5002-ROW())/10000)</f>
        <v/>
      </c>
    </row>
    <row r="1564">
      <c r="K1564">
        <f>IF($A1564="","",SUM($E1564:$J1564))</f>
        <v/>
      </c>
      <c r="M1564">
        <f>IF($A1564="","",MAX(0,ROUNDUP(DASHBOARD!$F$3-$D1564,0)))</f>
        <v/>
      </c>
      <c r="N1564">
        <f>IF($A1564="","",$K1564+(5002-ROW())/10000)</f>
        <v/>
      </c>
    </row>
    <row r="1565">
      <c r="K1565">
        <f>IF($A1565="","",SUM($E1565:$J1565))</f>
        <v/>
      </c>
      <c r="M1565">
        <f>IF($A1565="","",MAX(0,ROUNDUP(DASHBOARD!$F$3-$D1565,0)))</f>
        <v/>
      </c>
      <c r="N1565">
        <f>IF($A1565="","",$K1565+(5002-ROW())/10000)</f>
        <v/>
      </c>
    </row>
    <row r="1566">
      <c r="K1566">
        <f>IF($A1566="","",SUM($E1566:$J1566))</f>
        <v/>
      </c>
      <c r="M1566">
        <f>IF($A1566="","",MAX(0,ROUNDUP(DASHBOARD!$F$3-$D1566,0)))</f>
        <v/>
      </c>
      <c r="N1566">
        <f>IF($A1566="","",$K1566+(5002-ROW())/10000)</f>
        <v/>
      </c>
    </row>
    <row r="1567">
      <c r="K1567">
        <f>IF($A1567="","",SUM($E1567:$J1567))</f>
        <v/>
      </c>
      <c r="M1567">
        <f>IF($A1567="","",MAX(0,ROUNDUP(DASHBOARD!$F$3-$D1567,0)))</f>
        <v/>
      </c>
      <c r="N1567">
        <f>IF($A1567="","",$K1567+(5002-ROW())/10000)</f>
        <v/>
      </c>
    </row>
    <row r="1568">
      <c r="K1568">
        <f>IF($A1568="","",SUM($E1568:$J1568))</f>
        <v/>
      </c>
      <c r="M1568">
        <f>IF($A1568="","",MAX(0,ROUNDUP(DASHBOARD!$F$3-$D1568,0)))</f>
        <v/>
      </c>
      <c r="N1568">
        <f>IF($A1568="","",$K1568+(5002-ROW())/10000)</f>
        <v/>
      </c>
    </row>
    <row r="1569">
      <c r="K1569">
        <f>IF($A1569="","",SUM($E1569:$J1569))</f>
        <v/>
      </c>
      <c r="M1569">
        <f>IF($A1569="","",MAX(0,ROUNDUP(DASHBOARD!$F$3-$D1569,0)))</f>
        <v/>
      </c>
      <c r="N1569">
        <f>IF($A1569="","",$K1569+(5002-ROW())/10000)</f>
        <v/>
      </c>
    </row>
    <row r="1570">
      <c r="K1570">
        <f>IF($A1570="","",SUM($E1570:$J1570))</f>
        <v/>
      </c>
      <c r="M1570">
        <f>IF($A1570="","",MAX(0,ROUNDUP(DASHBOARD!$F$3-$D1570,0)))</f>
        <v/>
      </c>
      <c r="N1570">
        <f>IF($A1570="","",$K1570+(5002-ROW())/10000)</f>
        <v/>
      </c>
    </row>
    <row r="1571">
      <c r="K1571">
        <f>IF($A1571="","",SUM($E1571:$J1571))</f>
        <v/>
      </c>
      <c r="M1571">
        <f>IF($A1571="","",MAX(0,ROUNDUP(DASHBOARD!$F$3-$D1571,0)))</f>
        <v/>
      </c>
      <c r="N1571">
        <f>IF($A1571="","",$K1571+(5002-ROW())/10000)</f>
        <v/>
      </c>
    </row>
    <row r="1572">
      <c r="K1572">
        <f>IF($A1572="","",SUM($E1572:$J1572))</f>
        <v/>
      </c>
      <c r="M1572">
        <f>IF($A1572="","",MAX(0,ROUNDUP(DASHBOARD!$F$3-$D1572,0)))</f>
        <v/>
      </c>
      <c r="N1572">
        <f>IF($A1572="","",$K1572+(5002-ROW())/10000)</f>
        <v/>
      </c>
    </row>
    <row r="1573">
      <c r="K1573">
        <f>IF($A1573="","",SUM($E1573:$J1573))</f>
        <v/>
      </c>
      <c r="M1573">
        <f>IF($A1573="","",MAX(0,ROUNDUP(DASHBOARD!$F$3-$D1573,0)))</f>
        <v/>
      </c>
      <c r="N1573">
        <f>IF($A1573="","",$K1573+(5002-ROW())/10000)</f>
        <v/>
      </c>
    </row>
    <row r="1574">
      <c r="K1574">
        <f>IF($A1574="","",SUM($E1574:$J1574))</f>
        <v/>
      </c>
      <c r="M1574">
        <f>IF($A1574="","",MAX(0,ROUNDUP(DASHBOARD!$F$3-$D1574,0)))</f>
        <v/>
      </c>
      <c r="N1574">
        <f>IF($A1574="","",$K1574+(5002-ROW())/10000)</f>
        <v/>
      </c>
    </row>
    <row r="1575">
      <c r="K1575">
        <f>IF($A1575="","",SUM($E1575:$J1575))</f>
        <v/>
      </c>
      <c r="M1575">
        <f>IF($A1575="","",MAX(0,ROUNDUP(DASHBOARD!$F$3-$D1575,0)))</f>
        <v/>
      </c>
      <c r="N1575">
        <f>IF($A1575="","",$K1575+(5002-ROW())/10000)</f>
        <v/>
      </c>
    </row>
    <row r="1576">
      <c r="K1576">
        <f>IF($A1576="","",SUM($E1576:$J1576))</f>
        <v/>
      </c>
      <c r="M1576">
        <f>IF($A1576="","",MAX(0,ROUNDUP(DASHBOARD!$F$3-$D1576,0)))</f>
        <v/>
      </c>
      <c r="N1576">
        <f>IF($A1576="","",$K1576+(5002-ROW())/10000)</f>
        <v/>
      </c>
    </row>
    <row r="1577">
      <c r="K1577">
        <f>IF($A1577="","",SUM($E1577:$J1577))</f>
        <v/>
      </c>
      <c r="M1577">
        <f>IF($A1577="","",MAX(0,ROUNDUP(DASHBOARD!$F$3-$D1577,0)))</f>
        <v/>
      </c>
      <c r="N1577">
        <f>IF($A1577="","",$K1577+(5002-ROW())/10000)</f>
        <v/>
      </c>
    </row>
    <row r="1578">
      <c r="K1578">
        <f>IF($A1578="","",SUM($E1578:$J1578))</f>
        <v/>
      </c>
      <c r="M1578">
        <f>IF($A1578="","",MAX(0,ROUNDUP(DASHBOARD!$F$3-$D1578,0)))</f>
        <v/>
      </c>
      <c r="N1578">
        <f>IF($A1578="","",$K1578+(5002-ROW())/10000)</f>
        <v/>
      </c>
    </row>
    <row r="1579">
      <c r="K1579">
        <f>IF($A1579="","",SUM($E1579:$J1579))</f>
        <v/>
      </c>
      <c r="M1579">
        <f>IF($A1579="","",MAX(0,ROUNDUP(DASHBOARD!$F$3-$D1579,0)))</f>
        <v/>
      </c>
      <c r="N1579">
        <f>IF($A1579="","",$K1579+(5002-ROW())/10000)</f>
        <v/>
      </c>
    </row>
    <row r="1580">
      <c r="K1580">
        <f>IF($A1580="","",SUM($E1580:$J1580))</f>
        <v/>
      </c>
      <c r="M1580">
        <f>IF($A1580="","",MAX(0,ROUNDUP(DASHBOARD!$F$3-$D1580,0)))</f>
        <v/>
      </c>
      <c r="N1580">
        <f>IF($A1580="","",$K1580+(5002-ROW())/10000)</f>
        <v/>
      </c>
    </row>
    <row r="1581">
      <c r="K1581">
        <f>IF($A1581="","",SUM($E1581:$J1581))</f>
        <v/>
      </c>
      <c r="M1581">
        <f>IF($A1581="","",MAX(0,ROUNDUP(DASHBOARD!$F$3-$D1581,0)))</f>
        <v/>
      </c>
      <c r="N1581">
        <f>IF($A1581="","",$K1581+(5002-ROW())/10000)</f>
        <v/>
      </c>
    </row>
    <row r="1582">
      <c r="K1582">
        <f>IF($A1582="","",SUM($E1582:$J1582))</f>
        <v/>
      </c>
      <c r="M1582">
        <f>IF($A1582="","",MAX(0,ROUNDUP(DASHBOARD!$F$3-$D1582,0)))</f>
        <v/>
      </c>
      <c r="N1582">
        <f>IF($A1582="","",$K1582+(5002-ROW())/10000)</f>
        <v/>
      </c>
    </row>
    <row r="1583">
      <c r="K1583">
        <f>IF($A1583="","",SUM($E1583:$J1583))</f>
        <v/>
      </c>
      <c r="M1583">
        <f>IF($A1583="","",MAX(0,ROUNDUP(DASHBOARD!$F$3-$D1583,0)))</f>
        <v/>
      </c>
      <c r="N1583">
        <f>IF($A1583="","",$K1583+(5002-ROW())/10000)</f>
        <v/>
      </c>
    </row>
    <row r="1584">
      <c r="K1584">
        <f>IF($A1584="","",SUM($E1584:$J1584))</f>
        <v/>
      </c>
      <c r="M1584">
        <f>IF($A1584="","",MAX(0,ROUNDUP(DASHBOARD!$F$3-$D1584,0)))</f>
        <v/>
      </c>
      <c r="N1584">
        <f>IF($A1584="","",$K1584+(5002-ROW())/10000)</f>
        <v/>
      </c>
    </row>
    <row r="1585">
      <c r="K1585">
        <f>IF($A1585="","",SUM($E1585:$J1585))</f>
        <v/>
      </c>
      <c r="M1585">
        <f>IF($A1585="","",MAX(0,ROUNDUP(DASHBOARD!$F$3-$D1585,0)))</f>
        <v/>
      </c>
      <c r="N1585">
        <f>IF($A1585="","",$K1585+(5002-ROW())/10000)</f>
        <v/>
      </c>
    </row>
    <row r="1586">
      <c r="K1586">
        <f>IF($A1586="","",SUM($E1586:$J1586))</f>
        <v/>
      </c>
      <c r="M1586">
        <f>IF($A1586="","",MAX(0,ROUNDUP(DASHBOARD!$F$3-$D1586,0)))</f>
        <v/>
      </c>
      <c r="N1586">
        <f>IF($A1586="","",$K1586+(5002-ROW())/10000)</f>
        <v/>
      </c>
    </row>
    <row r="1587">
      <c r="K1587">
        <f>IF($A1587="","",SUM($E1587:$J1587))</f>
        <v/>
      </c>
      <c r="M1587">
        <f>IF($A1587="","",MAX(0,ROUNDUP(DASHBOARD!$F$3-$D1587,0)))</f>
        <v/>
      </c>
      <c r="N1587">
        <f>IF($A1587="","",$K1587+(5002-ROW())/10000)</f>
        <v/>
      </c>
    </row>
    <row r="1588">
      <c r="K1588">
        <f>IF($A1588="","",SUM($E1588:$J1588))</f>
        <v/>
      </c>
      <c r="M1588">
        <f>IF($A1588="","",MAX(0,ROUNDUP(DASHBOARD!$F$3-$D1588,0)))</f>
        <v/>
      </c>
      <c r="N1588">
        <f>IF($A1588="","",$K1588+(5002-ROW())/10000)</f>
        <v/>
      </c>
    </row>
    <row r="1589">
      <c r="K1589">
        <f>IF($A1589="","",SUM($E1589:$J1589))</f>
        <v/>
      </c>
      <c r="M1589">
        <f>IF($A1589="","",MAX(0,ROUNDUP(DASHBOARD!$F$3-$D1589,0)))</f>
        <v/>
      </c>
      <c r="N1589">
        <f>IF($A1589="","",$K1589+(5002-ROW())/10000)</f>
        <v/>
      </c>
    </row>
    <row r="1590">
      <c r="K1590">
        <f>IF($A1590="","",SUM($E1590:$J1590))</f>
        <v/>
      </c>
      <c r="M1590">
        <f>IF($A1590="","",MAX(0,ROUNDUP(DASHBOARD!$F$3-$D1590,0)))</f>
        <v/>
      </c>
      <c r="N1590">
        <f>IF($A1590="","",$K1590+(5002-ROW())/10000)</f>
        <v/>
      </c>
    </row>
    <row r="1591">
      <c r="K1591">
        <f>IF($A1591="","",SUM($E1591:$J1591))</f>
        <v/>
      </c>
      <c r="M1591">
        <f>IF($A1591="","",MAX(0,ROUNDUP(DASHBOARD!$F$3-$D1591,0)))</f>
        <v/>
      </c>
      <c r="N1591">
        <f>IF($A1591="","",$K1591+(5002-ROW())/10000)</f>
        <v/>
      </c>
    </row>
    <row r="1592">
      <c r="K1592">
        <f>IF($A1592="","",SUM($E1592:$J1592))</f>
        <v/>
      </c>
      <c r="M1592">
        <f>IF($A1592="","",MAX(0,ROUNDUP(DASHBOARD!$F$3-$D1592,0)))</f>
        <v/>
      </c>
      <c r="N1592">
        <f>IF($A1592="","",$K1592+(5002-ROW())/10000)</f>
        <v/>
      </c>
    </row>
    <row r="1593">
      <c r="K1593">
        <f>IF($A1593="","",SUM($E1593:$J1593))</f>
        <v/>
      </c>
      <c r="M1593">
        <f>IF($A1593="","",MAX(0,ROUNDUP(DASHBOARD!$F$3-$D1593,0)))</f>
        <v/>
      </c>
      <c r="N1593">
        <f>IF($A1593="","",$K1593+(5002-ROW())/10000)</f>
        <v/>
      </c>
    </row>
    <row r="1594">
      <c r="K1594">
        <f>IF($A1594="","",SUM($E1594:$J1594))</f>
        <v/>
      </c>
      <c r="M1594">
        <f>IF($A1594="","",MAX(0,ROUNDUP(DASHBOARD!$F$3-$D1594,0)))</f>
        <v/>
      </c>
      <c r="N1594">
        <f>IF($A1594="","",$K1594+(5002-ROW())/10000)</f>
        <v/>
      </c>
    </row>
    <row r="1595">
      <c r="K1595">
        <f>IF($A1595="","",SUM($E1595:$J1595))</f>
        <v/>
      </c>
      <c r="M1595">
        <f>IF($A1595="","",MAX(0,ROUNDUP(DASHBOARD!$F$3-$D1595,0)))</f>
        <v/>
      </c>
      <c r="N1595">
        <f>IF($A1595="","",$K1595+(5002-ROW())/10000)</f>
        <v/>
      </c>
    </row>
    <row r="1596">
      <c r="K1596">
        <f>IF($A1596="","",SUM($E1596:$J1596))</f>
        <v/>
      </c>
      <c r="M1596">
        <f>IF($A1596="","",MAX(0,ROUNDUP(DASHBOARD!$F$3-$D1596,0)))</f>
        <v/>
      </c>
      <c r="N1596">
        <f>IF($A1596="","",$K1596+(5002-ROW())/10000)</f>
        <v/>
      </c>
    </row>
    <row r="1597">
      <c r="K1597">
        <f>IF($A1597="","",SUM($E1597:$J1597))</f>
        <v/>
      </c>
      <c r="M1597">
        <f>IF($A1597="","",MAX(0,ROUNDUP(DASHBOARD!$F$3-$D1597,0)))</f>
        <v/>
      </c>
      <c r="N1597">
        <f>IF($A1597="","",$K1597+(5002-ROW())/10000)</f>
        <v/>
      </c>
    </row>
    <row r="1598">
      <c r="K1598">
        <f>IF($A1598="","",SUM($E1598:$J1598))</f>
        <v/>
      </c>
      <c r="M1598">
        <f>IF($A1598="","",MAX(0,ROUNDUP(DASHBOARD!$F$3-$D1598,0)))</f>
        <v/>
      </c>
      <c r="N1598">
        <f>IF($A1598="","",$K1598+(5002-ROW())/10000)</f>
        <v/>
      </c>
    </row>
    <row r="1599">
      <c r="K1599">
        <f>IF($A1599="","",SUM($E1599:$J1599))</f>
        <v/>
      </c>
      <c r="M1599">
        <f>IF($A1599="","",MAX(0,ROUNDUP(DASHBOARD!$F$3-$D1599,0)))</f>
        <v/>
      </c>
      <c r="N1599">
        <f>IF($A1599="","",$K1599+(5002-ROW())/10000)</f>
        <v/>
      </c>
    </row>
    <row r="1600">
      <c r="K1600">
        <f>IF($A1600="","",SUM($E1600:$J1600))</f>
        <v/>
      </c>
      <c r="M1600">
        <f>IF($A1600="","",MAX(0,ROUNDUP(DASHBOARD!$F$3-$D1600,0)))</f>
        <v/>
      </c>
      <c r="N1600">
        <f>IF($A1600="","",$K1600+(5002-ROW())/10000)</f>
        <v/>
      </c>
    </row>
    <row r="1601">
      <c r="K1601">
        <f>IF($A1601="","",SUM($E1601:$J1601))</f>
        <v/>
      </c>
      <c r="M1601">
        <f>IF($A1601="","",MAX(0,ROUNDUP(DASHBOARD!$F$3-$D1601,0)))</f>
        <v/>
      </c>
      <c r="N1601">
        <f>IF($A1601="","",$K1601+(5002-ROW())/10000)</f>
        <v/>
      </c>
    </row>
    <row r="1602">
      <c r="K1602">
        <f>IF($A1602="","",SUM($E1602:$J1602))</f>
        <v/>
      </c>
      <c r="M1602">
        <f>IF($A1602="","",MAX(0,ROUNDUP(DASHBOARD!$F$3-$D1602,0)))</f>
        <v/>
      </c>
      <c r="N1602">
        <f>IF($A1602="","",$K1602+(5002-ROW())/10000)</f>
        <v/>
      </c>
    </row>
    <row r="1603">
      <c r="K1603">
        <f>IF($A1603="","",SUM($E1603:$J1603))</f>
        <v/>
      </c>
      <c r="M1603">
        <f>IF($A1603="","",MAX(0,ROUNDUP(DASHBOARD!$F$3-$D1603,0)))</f>
        <v/>
      </c>
      <c r="N1603">
        <f>IF($A1603="","",$K1603+(5002-ROW())/10000)</f>
        <v/>
      </c>
    </row>
    <row r="1604">
      <c r="K1604">
        <f>IF($A1604="","",SUM($E1604:$J1604))</f>
        <v/>
      </c>
      <c r="M1604">
        <f>IF($A1604="","",MAX(0,ROUNDUP(DASHBOARD!$F$3-$D1604,0)))</f>
        <v/>
      </c>
      <c r="N1604">
        <f>IF($A1604="","",$K1604+(5002-ROW())/10000)</f>
        <v/>
      </c>
    </row>
    <row r="1605">
      <c r="K1605">
        <f>IF($A1605="","",SUM($E1605:$J1605))</f>
        <v/>
      </c>
      <c r="M1605">
        <f>IF($A1605="","",MAX(0,ROUNDUP(DASHBOARD!$F$3-$D1605,0)))</f>
        <v/>
      </c>
      <c r="N1605">
        <f>IF($A1605="","",$K1605+(5002-ROW())/10000)</f>
        <v/>
      </c>
    </row>
    <row r="1606">
      <c r="K1606">
        <f>IF($A1606="","",SUM($E1606:$J1606))</f>
        <v/>
      </c>
      <c r="M1606">
        <f>IF($A1606="","",MAX(0,ROUNDUP(DASHBOARD!$F$3-$D1606,0)))</f>
        <v/>
      </c>
      <c r="N1606">
        <f>IF($A1606="","",$K1606+(5002-ROW())/10000)</f>
        <v/>
      </c>
    </row>
    <row r="1607">
      <c r="K1607">
        <f>IF($A1607="","",SUM($E1607:$J1607))</f>
        <v/>
      </c>
      <c r="M1607">
        <f>IF($A1607="","",MAX(0,ROUNDUP(DASHBOARD!$F$3-$D1607,0)))</f>
        <v/>
      </c>
      <c r="N1607">
        <f>IF($A1607="","",$K1607+(5002-ROW())/10000)</f>
        <v/>
      </c>
    </row>
    <row r="1608">
      <c r="K1608">
        <f>IF($A1608="","",SUM($E1608:$J1608))</f>
        <v/>
      </c>
      <c r="M1608">
        <f>IF($A1608="","",MAX(0,ROUNDUP(DASHBOARD!$F$3-$D1608,0)))</f>
        <v/>
      </c>
      <c r="N1608">
        <f>IF($A1608="","",$K1608+(5002-ROW())/10000)</f>
        <v/>
      </c>
    </row>
    <row r="1609">
      <c r="K1609">
        <f>IF($A1609="","",SUM($E1609:$J1609))</f>
        <v/>
      </c>
      <c r="M1609">
        <f>IF($A1609="","",MAX(0,ROUNDUP(DASHBOARD!$F$3-$D1609,0)))</f>
        <v/>
      </c>
      <c r="N1609">
        <f>IF($A1609="","",$K1609+(5002-ROW())/10000)</f>
        <v/>
      </c>
    </row>
    <row r="1610">
      <c r="K1610">
        <f>IF($A1610="","",SUM($E1610:$J1610))</f>
        <v/>
      </c>
      <c r="M1610">
        <f>IF($A1610="","",MAX(0,ROUNDUP(DASHBOARD!$F$3-$D1610,0)))</f>
        <v/>
      </c>
      <c r="N1610">
        <f>IF($A1610="","",$K1610+(5002-ROW())/10000)</f>
        <v/>
      </c>
    </row>
    <row r="1611">
      <c r="K1611">
        <f>IF($A1611="","",SUM($E1611:$J1611))</f>
        <v/>
      </c>
      <c r="M1611">
        <f>IF($A1611="","",MAX(0,ROUNDUP(DASHBOARD!$F$3-$D1611,0)))</f>
        <v/>
      </c>
      <c r="N1611">
        <f>IF($A1611="","",$K1611+(5002-ROW())/10000)</f>
        <v/>
      </c>
    </row>
    <row r="1612">
      <c r="K1612">
        <f>IF($A1612="","",SUM($E1612:$J1612))</f>
        <v/>
      </c>
      <c r="M1612">
        <f>IF($A1612="","",MAX(0,ROUNDUP(DASHBOARD!$F$3-$D1612,0)))</f>
        <v/>
      </c>
      <c r="N1612">
        <f>IF($A1612="","",$K1612+(5002-ROW())/10000)</f>
        <v/>
      </c>
    </row>
    <row r="1613">
      <c r="K1613">
        <f>IF($A1613="","",SUM($E1613:$J1613))</f>
        <v/>
      </c>
      <c r="M1613">
        <f>IF($A1613="","",MAX(0,ROUNDUP(DASHBOARD!$F$3-$D1613,0)))</f>
        <v/>
      </c>
      <c r="N1613">
        <f>IF($A1613="","",$K1613+(5002-ROW())/10000)</f>
        <v/>
      </c>
    </row>
    <row r="1614">
      <c r="K1614">
        <f>IF($A1614="","",SUM($E1614:$J1614))</f>
        <v/>
      </c>
      <c r="M1614">
        <f>IF($A1614="","",MAX(0,ROUNDUP(DASHBOARD!$F$3-$D1614,0)))</f>
        <v/>
      </c>
      <c r="N1614">
        <f>IF($A1614="","",$K1614+(5002-ROW())/10000)</f>
        <v/>
      </c>
    </row>
    <row r="1615">
      <c r="K1615">
        <f>IF($A1615="","",SUM($E1615:$J1615))</f>
        <v/>
      </c>
      <c r="M1615">
        <f>IF($A1615="","",MAX(0,ROUNDUP(DASHBOARD!$F$3-$D1615,0)))</f>
        <v/>
      </c>
      <c r="N1615">
        <f>IF($A1615="","",$K1615+(5002-ROW())/10000)</f>
        <v/>
      </c>
    </row>
    <row r="1616">
      <c r="K1616">
        <f>IF($A1616="","",SUM($E1616:$J1616))</f>
        <v/>
      </c>
      <c r="M1616">
        <f>IF($A1616="","",MAX(0,ROUNDUP(DASHBOARD!$F$3-$D1616,0)))</f>
        <v/>
      </c>
      <c r="N1616">
        <f>IF($A1616="","",$K1616+(5002-ROW())/10000)</f>
        <v/>
      </c>
    </row>
    <row r="1617">
      <c r="K1617">
        <f>IF($A1617="","",SUM($E1617:$J1617))</f>
        <v/>
      </c>
      <c r="M1617">
        <f>IF($A1617="","",MAX(0,ROUNDUP(DASHBOARD!$F$3-$D1617,0)))</f>
        <v/>
      </c>
      <c r="N1617">
        <f>IF($A1617="","",$K1617+(5002-ROW())/10000)</f>
        <v/>
      </c>
    </row>
    <row r="1618">
      <c r="K1618">
        <f>IF($A1618="","",SUM($E1618:$J1618))</f>
        <v/>
      </c>
      <c r="M1618">
        <f>IF($A1618="","",MAX(0,ROUNDUP(DASHBOARD!$F$3-$D1618,0)))</f>
        <v/>
      </c>
      <c r="N1618">
        <f>IF($A1618="","",$K1618+(5002-ROW())/10000)</f>
        <v/>
      </c>
    </row>
    <row r="1619">
      <c r="K1619">
        <f>IF($A1619="","",SUM($E1619:$J1619))</f>
        <v/>
      </c>
      <c r="M1619">
        <f>IF($A1619="","",MAX(0,ROUNDUP(DASHBOARD!$F$3-$D1619,0)))</f>
        <v/>
      </c>
      <c r="N1619">
        <f>IF($A1619="","",$K1619+(5002-ROW())/10000)</f>
        <v/>
      </c>
    </row>
    <row r="1620">
      <c r="K1620">
        <f>IF($A1620="","",SUM($E1620:$J1620))</f>
        <v/>
      </c>
      <c r="M1620">
        <f>IF($A1620="","",MAX(0,ROUNDUP(DASHBOARD!$F$3-$D1620,0)))</f>
        <v/>
      </c>
      <c r="N1620">
        <f>IF($A1620="","",$K1620+(5002-ROW())/10000)</f>
        <v/>
      </c>
    </row>
    <row r="1621">
      <c r="K1621">
        <f>IF($A1621="","",SUM($E1621:$J1621))</f>
        <v/>
      </c>
      <c r="M1621">
        <f>IF($A1621="","",MAX(0,ROUNDUP(DASHBOARD!$F$3-$D1621,0)))</f>
        <v/>
      </c>
      <c r="N1621">
        <f>IF($A1621="","",$K1621+(5002-ROW())/10000)</f>
        <v/>
      </c>
    </row>
    <row r="1622">
      <c r="K1622">
        <f>IF($A1622="","",SUM($E1622:$J1622))</f>
        <v/>
      </c>
      <c r="M1622">
        <f>IF($A1622="","",MAX(0,ROUNDUP(DASHBOARD!$F$3-$D1622,0)))</f>
        <v/>
      </c>
      <c r="N1622">
        <f>IF($A1622="","",$K1622+(5002-ROW())/10000)</f>
        <v/>
      </c>
    </row>
    <row r="1623">
      <c r="K1623">
        <f>IF($A1623="","",SUM($E1623:$J1623))</f>
        <v/>
      </c>
      <c r="M1623">
        <f>IF($A1623="","",MAX(0,ROUNDUP(DASHBOARD!$F$3-$D1623,0)))</f>
        <v/>
      </c>
      <c r="N1623">
        <f>IF($A1623="","",$K1623+(5002-ROW())/10000)</f>
        <v/>
      </c>
    </row>
    <row r="1624">
      <c r="K1624">
        <f>IF($A1624="","",SUM($E1624:$J1624))</f>
        <v/>
      </c>
      <c r="M1624">
        <f>IF($A1624="","",MAX(0,ROUNDUP(DASHBOARD!$F$3-$D1624,0)))</f>
        <v/>
      </c>
      <c r="N1624">
        <f>IF($A1624="","",$K1624+(5002-ROW())/10000)</f>
        <v/>
      </c>
    </row>
    <row r="1625">
      <c r="K1625">
        <f>IF($A1625="","",SUM($E1625:$J1625))</f>
        <v/>
      </c>
      <c r="M1625">
        <f>IF($A1625="","",MAX(0,ROUNDUP(DASHBOARD!$F$3-$D1625,0)))</f>
        <v/>
      </c>
      <c r="N1625">
        <f>IF($A1625="","",$K1625+(5002-ROW())/10000)</f>
        <v/>
      </c>
    </row>
    <row r="1626">
      <c r="K1626">
        <f>IF($A1626="","",SUM($E1626:$J1626))</f>
        <v/>
      </c>
      <c r="M1626">
        <f>IF($A1626="","",MAX(0,ROUNDUP(DASHBOARD!$F$3-$D1626,0)))</f>
        <v/>
      </c>
      <c r="N1626">
        <f>IF($A1626="","",$K1626+(5002-ROW())/10000)</f>
        <v/>
      </c>
    </row>
    <row r="1627">
      <c r="K1627">
        <f>IF($A1627="","",SUM($E1627:$J1627))</f>
        <v/>
      </c>
      <c r="M1627">
        <f>IF($A1627="","",MAX(0,ROUNDUP(DASHBOARD!$F$3-$D1627,0)))</f>
        <v/>
      </c>
      <c r="N1627">
        <f>IF($A1627="","",$K1627+(5002-ROW())/10000)</f>
        <v/>
      </c>
    </row>
    <row r="1628">
      <c r="K1628">
        <f>IF($A1628="","",SUM($E1628:$J1628))</f>
        <v/>
      </c>
      <c r="M1628">
        <f>IF($A1628="","",MAX(0,ROUNDUP(DASHBOARD!$F$3-$D1628,0)))</f>
        <v/>
      </c>
      <c r="N1628">
        <f>IF($A1628="","",$K1628+(5002-ROW())/10000)</f>
        <v/>
      </c>
    </row>
    <row r="1629">
      <c r="K1629">
        <f>IF($A1629="","",SUM($E1629:$J1629))</f>
        <v/>
      </c>
      <c r="M1629">
        <f>IF($A1629="","",MAX(0,ROUNDUP(DASHBOARD!$F$3-$D1629,0)))</f>
        <v/>
      </c>
      <c r="N1629">
        <f>IF($A1629="","",$K1629+(5002-ROW())/10000)</f>
        <v/>
      </c>
    </row>
    <row r="1630">
      <c r="K1630">
        <f>IF($A1630="","",SUM($E1630:$J1630))</f>
        <v/>
      </c>
      <c r="M1630">
        <f>IF($A1630="","",MAX(0,ROUNDUP(DASHBOARD!$F$3-$D1630,0)))</f>
        <v/>
      </c>
      <c r="N1630">
        <f>IF($A1630="","",$K1630+(5002-ROW())/10000)</f>
        <v/>
      </c>
    </row>
    <row r="1631">
      <c r="K1631">
        <f>IF($A1631="","",SUM($E1631:$J1631))</f>
        <v/>
      </c>
      <c r="M1631">
        <f>IF($A1631="","",MAX(0,ROUNDUP(DASHBOARD!$F$3-$D1631,0)))</f>
        <v/>
      </c>
      <c r="N1631">
        <f>IF($A1631="","",$K1631+(5002-ROW())/10000)</f>
        <v/>
      </c>
    </row>
    <row r="1632">
      <c r="K1632">
        <f>IF($A1632="","",SUM($E1632:$J1632))</f>
        <v/>
      </c>
      <c r="M1632">
        <f>IF($A1632="","",MAX(0,ROUNDUP(DASHBOARD!$F$3-$D1632,0)))</f>
        <v/>
      </c>
      <c r="N1632">
        <f>IF($A1632="","",$K1632+(5002-ROW())/10000)</f>
        <v/>
      </c>
    </row>
    <row r="1633">
      <c r="K1633">
        <f>IF($A1633="","",SUM($E1633:$J1633))</f>
        <v/>
      </c>
      <c r="M1633">
        <f>IF($A1633="","",MAX(0,ROUNDUP(DASHBOARD!$F$3-$D1633,0)))</f>
        <v/>
      </c>
      <c r="N1633">
        <f>IF($A1633="","",$K1633+(5002-ROW())/10000)</f>
        <v/>
      </c>
    </row>
    <row r="1634">
      <c r="K1634">
        <f>IF($A1634="","",SUM($E1634:$J1634))</f>
        <v/>
      </c>
      <c r="M1634">
        <f>IF($A1634="","",MAX(0,ROUNDUP(DASHBOARD!$F$3-$D1634,0)))</f>
        <v/>
      </c>
      <c r="N1634">
        <f>IF($A1634="","",$K1634+(5002-ROW())/10000)</f>
        <v/>
      </c>
    </row>
    <row r="1635">
      <c r="K1635">
        <f>IF($A1635="","",SUM($E1635:$J1635))</f>
        <v/>
      </c>
      <c r="M1635">
        <f>IF($A1635="","",MAX(0,ROUNDUP(DASHBOARD!$F$3-$D1635,0)))</f>
        <v/>
      </c>
      <c r="N1635">
        <f>IF($A1635="","",$K1635+(5002-ROW())/10000)</f>
        <v/>
      </c>
    </row>
    <row r="1636">
      <c r="K1636">
        <f>IF($A1636="","",SUM($E1636:$J1636))</f>
        <v/>
      </c>
      <c r="M1636">
        <f>IF($A1636="","",MAX(0,ROUNDUP(DASHBOARD!$F$3-$D1636,0)))</f>
        <v/>
      </c>
      <c r="N1636">
        <f>IF($A1636="","",$K1636+(5002-ROW())/10000)</f>
        <v/>
      </c>
    </row>
    <row r="1637">
      <c r="K1637">
        <f>IF($A1637="","",SUM($E1637:$J1637))</f>
        <v/>
      </c>
      <c r="M1637">
        <f>IF($A1637="","",MAX(0,ROUNDUP(DASHBOARD!$F$3-$D1637,0)))</f>
        <v/>
      </c>
      <c r="N1637">
        <f>IF($A1637="","",$K1637+(5002-ROW())/10000)</f>
        <v/>
      </c>
    </row>
    <row r="1638">
      <c r="K1638">
        <f>IF($A1638="","",SUM($E1638:$J1638))</f>
        <v/>
      </c>
      <c r="M1638">
        <f>IF($A1638="","",MAX(0,ROUNDUP(DASHBOARD!$F$3-$D1638,0)))</f>
        <v/>
      </c>
      <c r="N1638">
        <f>IF($A1638="","",$K1638+(5002-ROW())/10000)</f>
        <v/>
      </c>
    </row>
    <row r="1639">
      <c r="K1639">
        <f>IF($A1639="","",SUM($E1639:$J1639))</f>
        <v/>
      </c>
      <c r="M1639">
        <f>IF($A1639="","",MAX(0,ROUNDUP(DASHBOARD!$F$3-$D1639,0)))</f>
        <v/>
      </c>
      <c r="N1639">
        <f>IF($A1639="","",$K1639+(5002-ROW())/10000)</f>
        <v/>
      </c>
    </row>
    <row r="1640">
      <c r="K1640">
        <f>IF($A1640="","",SUM($E1640:$J1640))</f>
        <v/>
      </c>
      <c r="M1640">
        <f>IF($A1640="","",MAX(0,ROUNDUP(DASHBOARD!$F$3-$D1640,0)))</f>
        <v/>
      </c>
      <c r="N1640">
        <f>IF($A1640="","",$K1640+(5002-ROW())/10000)</f>
        <v/>
      </c>
    </row>
    <row r="1641">
      <c r="K1641">
        <f>IF($A1641="","",SUM($E1641:$J1641))</f>
        <v/>
      </c>
      <c r="M1641">
        <f>IF($A1641="","",MAX(0,ROUNDUP(DASHBOARD!$F$3-$D1641,0)))</f>
        <v/>
      </c>
      <c r="N1641">
        <f>IF($A1641="","",$K1641+(5002-ROW())/10000)</f>
        <v/>
      </c>
    </row>
    <row r="1642">
      <c r="K1642">
        <f>IF($A1642="","",SUM($E1642:$J1642))</f>
        <v/>
      </c>
      <c r="M1642">
        <f>IF($A1642="","",MAX(0,ROUNDUP(DASHBOARD!$F$3-$D1642,0)))</f>
        <v/>
      </c>
      <c r="N1642">
        <f>IF($A1642="","",$K1642+(5002-ROW())/10000)</f>
        <v/>
      </c>
    </row>
    <row r="1643">
      <c r="K1643">
        <f>IF($A1643="","",SUM($E1643:$J1643))</f>
        <v/>
      </c>
      <c r="M1643">
        <f>IF($A1643="","",MAX(0,ROUNDUP(DASHBOARD!$F$3-$D1643,0)))</f>
        <v/>
      </c>
      <c r="N1643">
        <f>IF($A1643="","",$K1643+(5002-ROW())/10000)</f>
        <v/>
      </c>
    </row>
    <row r="1644">
      <c r="K1644">
        <f>IF($A1644="","",SUM($E1644:$J1644))</f>
        <v/>
      </c>
      <c r="M1644">
        <f>IF($A1644="","",MAX(0,ROUNDUP(DASHBOARD!$F$3-$D1644,0)))</f>
        <v/>
      </c>
      <c r="N1644">
        <f>IF($A1644="","",$K1644+(5002-ROW())/10000)</f>
        <v/>
      </c>
    </row>
    <row r="1645">
      <c r="K1645">
        <f>IF($A1645="","",SUM($E1645:$J1645))</f>
        <v/>
      </c>
      <c r="M1645">
        <f>IF($A1645="","",MAX(0,ROUNDUP(DASHBOARD!$F$3-$D1645,0)))</f>
        <v/>
      </c>
      <c r="N1645">
        <f>IF($A1645="","",$K1645+(5002-ROW())/10000)</f>
        <v/>
      </c>
    </row>
    <row r="1646">
      <c r="K1646">
        <f>IF($A1646="","",SUM($E1646:$J1646))</f>
        <v/>
      </c>
      <c r="M1646">
        <f>IF($A1646="","",MAX(0,ROUNDUP(DASHBOARD!$F$3-$D1646,0)))</f>
        <v/>
      </c>
      <c r="N1646">
        <f>IF($A1646="","",$K1646+(5002-ROW())/10000)</f>
        <v/>
      </c>
    </row>
    <row r="1647">
      <c r="K1647">
        <f>IF($A1647="","",SUM($E1647:$J1647))</f>
        <v/>
      </c>
      <c r="M1647">
        <f>IF($A1647="","",MAX(0,ROUNDUP(DASHBOARD!$F$3-$D1647,0)))</f>
        <v/>
      </c>
      <c r="N1647">
        <f>IF($A1647="","",$K1647+(5002-ROW())/10000)</f>
        <v/>
      </c>
    </row>
    <row r="1648">
      <c r="K1648">
        <f>IF($A1648="","",SUM($E1648:$J1648))</f>
        <v/>
      </c>
      <c r="M1648">
        <f>IF($A1648="","",MAX(0,ROUNDUP(DASHBOARD!$F$3-$D1648,0)))</f>
        <v/>
      </c>
      <c r="N1648">
        <f>IF($A1648="","",$K1648+(5002-ROW())/10000)</f>
        <v/>
      </c>
    </row>
    <row r="1649">
      <c r="K1649">
        <f>IF($A1649="","",SUM($E1649:$J1649))</f>
        <v/>
      </c>
      <c r="M1649">
        <f>IF($A1649="","",MAX(0,ROUNDUP(DASHBOARD!$F$3-$D1649,0)))</f>
        <v/>
      </c>
      <c r="N1649">
        <f>IF($A1649="","",$K1649+(5002-ROW())/10000)</f>
        <v/>
      </c>
    </row>
    <row r="1650">
      <c r="K1650">
        <f>IF($A1650="","",SUM($E1650:$J1650))</f>
        <v/>
      </c>
      <c r="M1650">
        <f>IF($A1650="","",MAX(0,ROUNDUP(DASHBOARD!$F$3-$D1650,0)))</f>
        <v/>
      </c>
      <c r="N1650">
        <f>IF($A1650="","",$K1650+(5002-ROW())/10000)</f>
        <v/>
      </c>
    </row>
    <row r="1651">
      <c r="K1651">
        <f>IF($A1651="","",SUM($E1651:$J1651))</f>
        <v/>
      </c>
      <c r="M1651">
        <f>IF($A1651="","",MAX(0,ROUNDUP(DASHBOARD!$F$3-$D1651,0)))</f>
        <v/>
      </c>
      <c r="N1651">
        <f>IF($A1651="","",$K1651+(5002-ROW())/10000)</f>
        <v/>
      </c>
    </row>
    <row r="1652">
      <c r="K1652">
        <f>IF($A1652="","",SUM($E1652:$J1652))</f>
        <v/>
      </c>
      <c r="M1652">
        <f>IF($A1652="","",MAX(0,ROUNDUP(DASHBOARD!$F$3-$D1652,0)))</f>
        <v/>
      </c>
      <c r="N1652">
        <f>IF($A1652="","",$K1652+(5002-ROW())/10000)</f>
        <v/>
      </c>
    </row>
    <row r="1653">
      <c r="K1653">
        <f>IF($A1653="","",SUM($E1653:$J1653))</f>
        <v/>
      </c>
      <c r="M1653">
        <f>IF($A1653="","",MAX(0,ROUNDUP(DASHBOARD!$F$3-$D1653,0)))</f>
        <v/>
      </c>
      <c r="N1653">
        <f>IF($A1653="","",$K1653+(5002-ROW())/10000)</f>
        <v/>
      </c>
    </row>
    <row r="1654">
      <c r="K1654">
        <f>IF($A1654="","",SUM($E1654:$J1654))</f>
        <v/>
      </c>
      <c r="M1654">
        <f>IF($A1654="","",MAX(0,ROUNDUP(DASHBOARD!$F$3-$D1654,0)))</f>
        <v/>
      </c>
      <c r="N1654">
        <f>IF($A1654="","",$K1654+(5002-ROW())/10000)</f>
        <v/>
      </c>
    </row>
    <row r="1655">
      <c r="K1655">
        <f>IF($A1655="","",SUM($E1655:$J1655))</f>
        <v/>
      </c>
      <c r="M1655">
        <f>IF($A1655="","",MAX(0,ROUNDUP(DASHBOARD!$F$3-$D1655,0)))</f>
        <v/>
      </c>
      <c r="N1655">
        <f>IF($A1655="","",$K1655+(5002-ROW())/10000)</f>
        <v/>
      </c>
    </row>
    <row r="1656">
      <c r="K1656">
        <f>IF($A1656="","",SUM($E1656:$J1656))</f>
        <v/>
      </c>
      <c r="M1656">
        <f>IF($A1656="","",MAX(0,ROUNDUP(DASHBOARD!$F$3-$D1656,0)))</f>
        <v/>
      </c>
      <c r="N1656">
        <f>IF($A1656="","",$K1656+(5002-ROW())/10000)</f>
        <v/>
      </c>
    </row>
    <row r="1657">
      <c r="K1657">
        <f>IF($A1657="","",SUM($E1657:$J1657))</f>
        <v/>
      </c>
      <c r="M1657">
        <f>IF($A1657="","",MAX(0,ROUNDUP(DASHBOARD!$F$3-$D1657,0)))</f>
        <v/>
      </c>
      <c r="N1657">
        <f>IF($A1657="","",$K1657+(5002-ROW())/10000)</f>
        <v/>
      </c>
    </row>
    <row r="1658">
      <c r="K1658">
        <f>IF($A1658="","",SUM($E1658:$J1658))</f>
        <v/>
      </c>
      <c r="M1658">
        <f>IF($A1658="","",MAX(0,ROUNDUP(DASHBOARD!$F$3-$D1658,0)))</f>
        <v/>
      </c>
      <c r="N1658">
        <f>IF($A1658="","",$K1658+(5002-ROW())/10000)</f>
        <v/>
      </c>
    </row>
    <row r="1659">
      <c r="K1659">
        <f>IF($A1659="","",SUM($E1659:$J1659))</f>
        <v/>
      </c>
      <c r="M1659">
        <f>IF($A1659="","",MAX(0,ROUNDUP(DASHBOARD!$F$3-$D1659,0)))</f>
        <v/>
      </c>
      <c r="N1659">
        <f>IF($A1659="","",$K1659+(5002-ROW())/10000)</f>
        <v/>
      </c>
    </row>
    <row r="1660">
      <c r="K1660">
        <f>IF($A1660="","",SUM($E1660:$J1660))</f>
        <v/>
      </c>
      <c r="M1660">
        <f>IF($A1660="","",MAX(0,ROUNDUP(DASHBOARD!$F$3-$D1660,0)))</f>
        <v/>
      </c>
      <c r="N1660">
        <f>IF($A1660="","",$K1660+(5002-ROW())/10000)</f>
        <v/>
      </c>
    </row>
    <row r="1661">
      <c r="K1661">
        <f>IF($A1661="","",SUM($E1661:$J1661))</f>
        <v/>
      </c>
      <c r="M1661">
        <f>IF($A1661="","",MAX(0,ROUNDUP(DASHBOARD!$F$3-$D1661,0)))</f>
        <v/>
      </c>
      <c r="N1661">
        <f>IF($A1661="","",$K1661+(5002-ROW())/10000)</f>
        <v/>
      </c>
    </row>
    <row r="1662">
      <c r="K1662">
        <f>IF($A1662="","",SUM($E1662:$J1662))</f>
        <v/>
      </c>
      <c r="M1662">
        <f>IF($A1662="","",MAX(0,ROUNDUP(DASHBOARD!$F$3-$D1662,0)))</f>
        <v/>
      </c>
      <c r="N1662">
        <f>IF($A1662="","",$K1662+(5002-ROW())/10000)</f>
        <v/>
      </c>
    </row>
    <row r="1663">
      <c r="K1663">
        <f>IF($A1663="","",SUM($E1663:$J1663))</f>
        <v/>
      </c>
      <c r="M1663">
        <f>IF($A1663="","",MAX(0,ROUNDUP(DASHBOARD!$F$3-$D1663,0)))</f>
        <v/>
      </c>
      <c r="N1663">
        <f>IF($A1663="","",$K1663+(5002-ROW())/10000)</f>
        <v/>
      </c>
    </row>
    <row r="1664">
      <c r="K1664">
        <f>IF($A1664="","",SUM($E1664:$J1664))</f>
        <v/>
      </c>
      <c r="M1664">
        <f>IF($A1664="","",MAX(0,ROUNDUP(DASHBOARD!$F$3-$D1664,0)))</f>
        <v/>
      </c>
      <c r="N1664">
        <f>IF($A1664="","",$K1664+(5002-ROW())/10000)</f>
        <v/>
      </c>
    </row>
    <row r="1665">
      <c r="K1665">
        <f>IF($A1665="","",SUM($E1665:$J1665))</f>
        <v/>
      </c>
      <c r="M1665">
        <f>IF($A1665="","",MAX(0,ROUNDUP(DASHBOARD!$F$3-$D1665,0)))</f>
        <v/>
      </c>
      <c r="N1665">
        <f>IF($A1665="","",$K1665+(5002-ROW())/10000)</f>
        <v/>
      </c>
    </row>
    <row r="1666">
      <c r="K1666">
        <f>IF($A1666="","",SUM($E1666:$J1666))</f>
        <v/>
      </c>
      <c r="M1666">
        <f>IF($A1666="","",MAX(0,ROUNDUP(DASHBOARD!$F$3-$D1666,0)))</f>
        <v/>
      </c>
      <c r="N1666">
        <f>IF($A1666="","",$K1666+(5002-ROW())/10000)</f>
        <v/>
      </c>
    </row>
    <row r="1667">
      <c r="K1667">
        <f>IF($A1667="","",SUM($E1667:$J1667))</f>
        <v/>
      </c>
      <c r="M1667">
        <f>IF($A1667="","",MAX(0,ROUNDUP(DASHBOARD!$F$3-$D1667,0)))</f>
        <v/>
      </c>
      <c r="N1667">
        <f>IF($A1667="","",$K1667+(5002-ROW())/10000)</f>
        <v/>
      </c>
    </row>
    <row r="1668">
      <c r="K1668">
        <f>IF($A1668="","",SUM($E1668:$J1668))</f>
        <v/>
      </c>
      <c r="M1668">
        <f>IF($A1668="","",MAX(0,ROUNDUP(DASHBOARD!$F$3-$D1668,0)))</f>
        <v/>
      </c>
      <c r="N1668">
        <f>IF($A1668="","",$K1668+(5002-ROW())/10000)</f>
        <v/>
      </c>
    </row>
    <row r="1669">
      <c r="K1669">
        <f>IF($A1669="","",SUM($E1669:$J1669))</f>
        <v/>
      </c>
      <c r="M1669">
        <f>IF($A1669="","",MAX(0,ROUNDUP(DASHBOARD!$F$3-$D1669,0)))</f>
        <v/>
      </c>
      <c r="N1669">
        <f>IF($A1669="","",$K1669+(5002-ROW())/10000)</f>
        <v/>
      </c>
    </row>
    <row r="1670">
      <c r="K1670">
        <f>IF($A1670="","",SUM($E1670:$J1670))</f>
        <v/>
      </c>
      <c r="M1670">
        <f>IF($A1670="","",MAX(0,ROUNDUP(DASHBOARD!$F$3-$D1670,0)))</f>
        <v/>
      </c>
      <c r="N1670">
        <f>IF($A1670="","",$K1670+(5002-ROW())/10000)</f>
        <v/>
      </c>
    </row>
    <row r="1671">
      <c r="K1671">
        <f>IF($A1671="","",SUM($E1671:$J1671))</f>
        <v/>
      </c>
      <c r="M1671">
        <f>IF($A1671="","",MAX(0,ROUNDUP(DASHBOARD!$F$3-$D1671,0)))</f>
        <v/>
      </c>
      <c r="N1671">
        <f>IF($A1671="","",$K1671+(5002-ROW())/10000)</f>
        <v/>
      </c>
    </row>
    <row r="1672">
      <c r="K1672">
        <f>IF($A1672="","",SUM($E1672:$J1672))</f>
        <v/>
      </c>
      <c r="M1672">
        <f>IF($A1672="","",MAX(0,ROUNDUP(DASHBOARD!$F$3-$D1672,0)))</f>
        <v/>
      </c>
      <c r="N1672">
        <f>IF($A1672="","",$K1672+(5002-ROW())/10000)</f>
        <v/>
      </c>
    </row>
    <row r="1673">
      <c r="K1673">
        <f>IF($A1673="","",SUM($E1673:$J1673))</f>
        <v/>
      </c>
      <c r="M1673">
        <f>IF($A1673="","",MAX(0,ROUNDUP(DASHBOARD!$F$3-$D1673,0)))</f>
        <v/>
      </c>
      <c r="N1673">
        <f>IF($A1673="","",$K1673+(5002-ROW())/10000)</f>
        <v/>
      </c>
    </row>
    <row r="1674">
      <c r="K1674">
        <f>IF($A1674="","",SUM($E1674:$J1674))</f>
        <v/>
      </c>
      <c r="M1674">
        <f>IF($A1674="","",MAX(0,ROUNDUP(DASHBOARD!$F$3-$D1674,0)))</f>
        <v/>
      </c>
      <c r="N1674">
        <f>IF($A1674="","",$K1674+(5002-ROW())/10000)</f>
        <v/>
      </c>
    </row>
    <row r="1675">
      <c r="K1675">
        <f>IF($A1675="","",SUM($E1675:$J1675))</f>
        <v/>
      </c>
      <c r="M1675">
        <f>IF($A1675="","",MAX(0,ROUNDUP(DASHBOARD!$F$3-$D1675,0)))</f>
        <v/>
      </c>
      <c r="N1675">
        <f>IF($A1675="","",$K1675+(5002-ROW())/10000)</f>
        <v/>
      </c>
    </row>
    <row r="1676">
      <c r="K1676">
        <f>IF($A1676="","",SUM($E1676:$J1676))</f>
        <v/>
      </c>
      <c r="M1676">
        <f>IF($A1676="","",MAX(0,ROUNDUP(DASHBOARD!$F$3-$D1676,0)))</f>
        <v/>
      </c>
      <c r="N1676">
        <f>IF($A1676="","",$K1676+(5002-ROW())/10000)</f>
        <v/>
      </c>
    </row>
    <row r="1677">
      <c r="K1677">
        <f>IF($A1677="","",SUM($E1677:$J1677))</f>
        <v/>
      </c>
      <c r="M1677">
        <f>IF($A1677="","",MAX(0,ROUNDUP(DASHBOARD!$F$3-$D1677,0)))</f>
        <v/>
      </c>
      <c r="N1677">
        <f>IF($A1677="","",$K1677+(5002-ROW())/10000)</f>
        <v/>
      </c>
    </row>
    <row r="1678">
      <c r="K1678">
        <f>IF($A1678="","",SUM($E1678:$J1678))</f>
        <v/>
      </c>
      <c r="M1678">
        <f>IF($A1678="","",MAX(0,ROUNDUP(DASHBOARD!$F$3-$D1678,0)))</f>
        <v/>
      </c>
      <c r="N1678">
        <f>IF($A1678="","",$K1678+(5002-ROW())/10000)</f>
        <v/>
      </c>
    </row>
    <row r="1679">
      <c r="K1679">
        <f>IF($A1679="","",SUM($E1679:$J1679))</f>
        <v/>
      </c>
      <c r="M1679">
        <f>IF($A1679="","",MAX(0,ROUNDUP(DASHBOARD!$F$3-$D1679,0)))</f>
        <v/>
      </c>
      <c r="N1679">
        <f>IF($A1679="","",$K1679+(5002-ROW())/10000)</f>
        <v/>
      </c>
    </row>
    <row r="1680">
      <c r="K1680">
        <f>IF($A1680="","",SUM($E1680:$J1680))</f>
        <v/>
      </c>
      <c r="M1680">
        <f>IF($A1680="","",MAX(0,ROUNDUP(DASHBOARD!$F$3-$D1680,0)))</f>
        <v/>
      </c>
      <c r="N1680">
        <f>IF($A1680="","",$K1680+(5002-ROW())/10000)</f>
        <v/>
      </c>
    </row>
    <row r="1681">
      <c r="K1681">
        <f>IF($A1681="","",SUM($E1681:$J1681))</f>
        <v/>
      </c>
      <c r="M1681">
        <f>IF($A1681="","",MAX(0,ROUNDUP(DASHBOARD!$F$3-$D1681,0)))</f>
        <v/>
      </c>
      <c r="N1681">
        <f>IF($A1681="","",$K1681+(5002-ROW())/10000)</f>
        <v/>
      </c>
    </row>
    <row r="1682">
      <c r="K1682">
        <f>IF($A1682="","",SUM($E1682:$J1682))</f>
        <v/>
      </c>
      <c r="M1682">
        <f>IF($A1682="","",MAX(0,ROUNDUP(DASHBOARD!$F$3-$D1682,0)))</f>
        <v/>
      </c>
      <c r="N1682">
        <f>IF($A1682="","",$K1682+(5002-ROW())/10000)</f>
        <v/>
      </c>
    </row>
    <row r="1683">
      <c r="K1683">
        <f>IF($A1683="","",SUM($E1683:$J1683))</f>
        <v/>
      </c>
      <c r="M1683">
        <f>IF($A1683="","",MAX(0,ROUNDUP(DASHBOARD!$F$3-$D1683,0)))</f>
        <v/>
      </c>
      <c r="N1683">
        <f>IF($A1683="","",$K1683+(5002-ROW())/10000)</f>
        <v/>
      </c>
    </row>
    <row r="1684">
      <c r="K1684">
        <f>IF($A1684="","",SUM($E1684:$J1684))</f>
        <v/>
      </c>
      <c r="M1684">
        <f>IF($A1684="","",MAX(0,ROUNDUP(DASHBOARD!$F$3-$D1684,0)))</f>
        <v/>
      </c>
      <c r="N1684">
        <f>IF($A1684="","",$K1684+(5002-ROW())/10000)</f>
        <v/>
      </c>
    </row>
    <row r="1685">
      <c r="K1685">
        <f>IF($A1685="","",SUM($E1685:$J1685))</f>
        <v/>
      </c>
      <c r="M1685">
        <f>IF($A1685="","",MAX(0,ROUNDUP(DASHBOARD!$F$3-$D1685,0)))</f>
        <v/>
      </c>
      <c r="N1685">
        <f>IF($A1685="","",$K1685+(5002-ROW())/10000)</f>
        <v/>
      </c>
    </row>
    <row r="1686">
      <c r="K1686">
        <f>IF($A1686="","",SUM($E1686:$J1686))</f>
        <v/>
      </c>
      <c r="M1686">
        <f>IF($A1686="","",MAX(0,ROUNDUP(DASHBOARD!$F$3-$D1686,0)))</f>
        <v/>
      </c>
      <c r="N1686">
        <f>IF($A1686="","",$K1686+(5002-ROW())/10000)</f>
        <v/>
      </c>
    </row>
    <row r="1687">
      <c r="K1687">
        <f>IF($A1687="","",SUM($E1687:$J1687))</f>
        <v/>
      </c>
      <c r="M1687">
        <f>IF($A1687="","",MAX(0,ROUNDUP(DASHBOARD!$F$3-$D1687,0)))</f>
        <v/>
      </c>
      <c r="N1687">
        <f>IF($A1687="","",$K1687+(5002-ROW())/10000)</f>
        <v/>
      </c>
    </row>
    <row r="1688">
      <c r="K1688">
        <f>IF($A1688="","",SUM($E1688:$J1688))</f>
        <v/>
      </c>
      <c r="M1688">
        <f>IF($A1688="","",MAX(0,ROUNDUP(DASHBOARD!$F$3-$D1688,0)))</f>
        <v/>
      </c>
      <c r="N1688">
        <f>IF($A1688="","",$K1688+(5002-ROW())/10000)</f>
        <v/>
      </c>
    </row>
    <row r="1689">
      <c r="K1689">
        <f>IF($A1689="","",SUM($E1689:$J1689))</f>
        <v/>
      </c>
      <c r="M1689">
        <f>IF($A1689="","",MAX(0,ROUNDUP(DASHBOARD!$F$3-$D1689,0)))</f>
        <v/>
      </c>
      <c r="N1689">
        <f>IF($A1689="","",$K1689+(5002-ROW())/10000)</f>
        <v/>
      </c>
    </row>
    <row r="1690">
      <c r="K1690">
        <f>IF($A1690="","",SUM($E1690:$J1690))</f>
        <v/>
      </c>
      <c r="M1690">
        <f>IF($A1690="","",MAX(0,ROUNDUP(DASHBOARD!$F$3-$D1690,0)))</f>
        <v/>
      </c>
      <c r="N1690">
        <f>IF($A1690="","",$K1690+(5002-ROW())/10000)</f>
        <v/>
      </c>
    </row>
    <row r="1691">
      <c r="K1691">
        <f>IF($A1691="","",SUM($E1691:$J1691))</f>
        <v/>
      </c>
      <c r="M1691">
        <f>IF($A1691="","",MAX(0,ROUNDUP(DASHBOARD!$F$3-$D1691,0)))</f>
        <v/>
      </c>
      <c r="N1691">
        <f>IF($A1691="","",$K1691+(5002-ROW())/10000)</f>
        <v/>
      </c>
    </row>
    <row r="1692">
      <c r="K1692">
        <f>IF($A1692="","",SUM($E1692:$J1692))</f>
        <v/>
      </c>
      <c r="M1692">
        <f>IF($A1692="","",MAX(0,ROUNDUP(DASHBOARD!$F$3-$D1692,0)))</f>
        <v/>
      </c>
      <c r="N1692">
        <f>IF($A1692="","",$K1692+(5002-ROW())/10000)</f>
        <v/>
      </c>
    </row>
    <row r="1693">
      <c r="K1693">
        <f>IF($A1693="","",SUM($E1693:$J1693))</f>
        <v/>
      </c>
      <c r="M1693">
        <f>IF($A1693="","",MAX(0,ROUNDUP(DASHBOARD!$F$3-$D1693,0)))</f>
        <v/>
      </c>
      <c r="N1693">
        <f>IF($A1693="","",$K1693+(5002-ROW())/10000)</f>
        <v/>
      </c>
    </row>
    <row r="1694">
      <c r="K1694">
        <f>IF($A1694="","",SUM($E1694:$J1694))</f>
        <v/>
      </c>
      <c r="M1694">
        <f>IF($A1694="","",MAX(0,ROUNDUP(DASHBOARD!$F$3-$D1694,0)))</f>
        <v/>
      </c>
      <c r="N1694">
        <f>IF($A1694="","",$K1694+(5002-ROW())/10000)</f>
        <v/>
      </c>
    </row>
    <row r="1695">
      <c r="K1695">
        <f>IF($A1695="","",SUM($E1695:$J1695))</f>
        <v/>
      </c>
      <c r="M1695">
        <f>IF($A1695="","",MAX(0,ROUNDUP(DASHBOARD!$F$3-$D1695,0)))</f>
        <v/>
      </c>
      <c r="N1695">
        <f>IF($A1695="","",$K1695+(5002-ROW())/10000)</f>
        <v/>
      </c>
    </row>
    <row r="1696">
      <c r="K1696">
        <f>IF($A1696="","",SUM($E1696:$J1696))</f>
        <v/>
      </c>
      <c r="M1696">
        <f>IF($A1696="","",MAX(0,ROUNDUP(DASHBOARD!$F$3-$D1696,0)))</f>
        <v/>
      </c>
      <c r="N1696">
        <f>IF($A1696="","",$K1696+(5002-ROW())/10000)</f>
        <v/>
      </c>
    </row>
    <row r="1697">
      <c r="K1697">
        <f>IF($A1697="","",SUM($E1697:$J1697))</f>
        <v/>
      </c>
      <c r="M1697">
        <f>IF($A1697="","",MAX(0,ROUNDUP(DASHBOARD!$F$3-$D1697,0)))</f>
        <v/>
      </c>
      <c r="N1697">
        <f>IF($A1697="","",$K1697+(5002-ROW())/10000)</f>
        <v/>
      </c>
    </row>
    <row r="1698">
      <c r="K1698">
        <f>IF($A1698="","",SUM($E1698:$J1698))</f>
        <v/>
      </c>
      <c r="M1698">
        <f>IF($A1698="","",MAX(0,ROUNDUP(DASHBOARD!$F$3-$D1698,0)))</f>
        <v/>
      </c>
      <c r="N1698">
        <f>IF($A1698="","",$K1698+(5002-ROW())/10000)</f>
        <v/>
      </c>
    </row>
    <row r="1699">
      <c r="K1699">
        <f>IF($A1699="","",SUM($E1699:$J1699))</f>
        <v/>
      </c>
      <c r="M1699">
        <f>IF($A1699="","",MAX(0,ROUNDUP(DASHBOARD!$F$3-$D1699,0)))</f>
        <v/>
      </c>
      <c r="N1699">
        <f>IF($A1699="","",$K1699+(5002-ROW())/10000)</f>
        <v/>
      </c>
    </row>
    <row r="1700">
      <c r="K1700">
        <f>IF($A1700="","",SUM($E1700:$J1700))</f>
        <v/>
      </c>
      <c r="M1700">
        <f>IF($A1700="","",MAX(0,ROUNDUP(DASHBOARD!$F$3-$D1700,0)))</f>
        <v/>
      </c>
      <c r="N1700">
        <f>IF($A1700="","",$K1700+(5002-ROW())/10000)</f>
        <v/>
      </c>
    </row>
    <row r="1701">
      <c r="K1701">
        <f>IF($A1701="","",SUM($E1701:$J1701))</f>
        <v/>
      </c>
      <c r="M1701">
        <f>IF($A1701="","",MAX(0,ROUNDUP(DASHBOARD!$F$3-$D1701,0)))</f>
        <v/>
      </c>
      <c r="N1701">
        <f>IF($A1701="","",$K1701+(5002-ROW())/10000)</f>
        <v/>
      </c>
    </row>
    <row r="1702">
      <c r="K1702">
        <f>IF($A1702="","",SUM($E1702:$J1702))</f>
        <v/>
      </c>
      <c r="M1702">
        <f>IF($A1702="","",MAX(0,ROUNDUP(DASHBOARD!$F$3-$D1702,0)))</f>
        <v/>
      </c>
      <c r="N1702">
        <f>IF($A1702="","",$K1702+(5002-ROW())/10000)</f>
        <v/>
      </c>
    </row>
    <row r="1703">
      <c r="K1703">
        <f>IF($A1703="","",SUM($E1703:$J1703))</f>
        <v/>
      </c>
      <c r="M1703">
        <f>IF($A1703="","",MAX(0,ROUNDUP(DASHBOARD!$F$3-$D1703,0)))</f>
        <v/>
      </c>
      <c r="N1703">
        <f>IF($A1703="","",$K1703+(5002-ROW())/10000)</f>
        <v/>
      </c>
    </row>
    <row r="1704">
      <c r="K1704">
        <f>IF($A1704="","",SUM($E1704:$J1704))</f>
        <v/>
      </c>
      <c r="M1704">
        <f>IF($A1704="","",MAX(0,ROUNDUP(DASHBOARD!$F$3-$D1704,0)))</f>
        <v/>
      </c>
      <c r="N1704">
        <f>IF($A1704="","",$K1704+(5002-ROW())/10000)</f>
        <v/>
      </c>
    </row>
    <row r="1705">
      <c r="K1705">
        <f>IF($A1705="","",SUM($E1705:$J1705))</f>
        <v/>
      </c>
      <c r="M1705">
        <f>IF($A1705="","",MAX(0,ROUNDUP(DASHBOARD!$F$3-$D1705,0)))</f>
        <v/>
      </c>
      <c r="N1705">
        <f>IF($A1705="","",$K1705+(5002-ROW())/10000)</f>
        <v/>
      </c>
    </row>
    <row r="1706">
      <c r="K1706">
        <f>IF($A1706="","",SUM($E1706:$J1706))</f>
        <v/>
      </c>
      <c r="M1706">
        <f>IF($A1706="","",MAX(0,ROUNDUP(DASHBOARD!$F$3-$D1706,0)))</f>
        <v/>
      </c>
      <c r="N1706">
        <f>IF($A1706="","",$K1706+(5002-ROW())/10000)</f>
        <v/>
      </c>
    </row>
    <row r="1707">
      <c r="K1707">
        <f>IF($A1707="","",SUM($E1707:$J1707))</f>
        <v/>
      </c>
      <c r="M1707">
        <f>IF($A1707="","",MAX(0,ROUNDUP(DASHBOARD!$F$3-$D1707,0)))</f>
        <v/>
      </c>
      <c r="N1707">
        <f>IF($A1707="","",$K1707+(5002-ROW())/10000)</f>
        <v/>
      </c>
    </row>
    <row r="1708">
      <c r="K1708">
        <f>IF($A1708="","",SUM($E1708:$J1708))</f>
        <v/>
      </c>
      <c r="M1708">
        <f>IF($A1708="","",MAX(0,ROUNDUP(DASHBOARD!$F$3-$D1708,0)))</f>
        <v/>
      </c>
      <c r="N1708">
        <f>IF($A1708="","",$K1708+(5002-ROW())/10000)</f>
        <v/>
      </c>
    </row>
    <row r="1709">
      <c r="K1709">
        <f>IF($A1709="","",SUM($E1709:$J1709))</f>
        <v/>
      </c>
      <c r="M1709">
        <f>IF($A1709="","",MAX(0,ROUNDUP(DASHBOARD!$F$3-$D1709,0)))</f>
        <v/>
      </c>
      <c r="N1709">
        <f>IF($A1709="","",$K1709+(5002-ROW())/10000)</f>
        <v/>
      </c>
    </row>
    <row r="1710">
      <c r="K1710">
        <f>IF($A1710="","",SUM($E1710:$J1710))</f>
        <v/>
      </c>
      <c r="M1710">
        <f>IF($A1710="","",MAX(0,ROUNDUP(DASHBOARD!$F$3-$D1710,0)))</f>
        <v/>
      </c>
      <c r="N1710">
        <f>IF($A1710="","",$K1710+(5002-ROW())/10000)</f>
        <v/>
      </c>
    </row>
    <row r="1711">
      <c r="K1711">
        <f>IF($A1711="","",SUM($E1711:$J1711))</f>
        <v/>
      </c>
      <c r="M1711">
        <f>IF($A1711="","",MAX(0,ROUNDUP(DASHBOARD!$F$3-$D1711,0)))</f>
        <v/>
      </c>
      <c r="N1711">
        <f>IF($A1711="","",$K1711+(5002-ROW())/10000)</f>
        <v/>
      </c>
    </row>
    <row r="1712">
      <c r="K1712">
        <f>IF($A1712="","",SUM($E1712:$J1712))</f>
        <v/>
      </c>
      <c r="M1712">
        <f>IF($A1712="","",MAX(0,ROUNDUP(DASHBOARD!$F$3-$D1712,0)))</f>
        <v/>
      </c>
      <c r="N1712">
        <f>IF($A1712="","",$K1712+(5002-ROW())/10000)</f>
        <v/>
      </c>
    </row>
    <row r="1713">
      <c r="K1713">
        <f>IF($A1713="","",SUM($E1713:$J1713))</f>
        <v/>
      </c>
      <c r="M1713">
        <f>IF($A1713="","",MAX(0,ROUNDUP(DASHBOARD!$F$3-$D1713,0)))</f>
        <v/>
      </c>
      <c r="N1713">
        <f>IF($A1713="","",$K1713+(5002-ROW())/10000)</f>
        <v/>
      </c>
    </row>
    <row r="1714">
      <c r="K1714">
        <f>IF($A1714="","",SUM($E1714:$J1714))</f>
        <v/>
      </c>
      <c r="M1714">
        <f>IF($A1714="","",MAX(0,ROUNDUP(DASHBOARD!$F$3-$D1714,0)))</f>
        <v/>
      </c>
      <c r="N1714">
        <f>IF($A1714="","",$K1714+(5002-ROW())/10000)</f>
        <v/>
      </c>
    </row>
    <row r="1715">
      <c r="K1715">
        <f>IF($A1715="","",SUM($E1715:$J1715))</f>
        <v/>
      </c>
      <c r="M1715">
        <f>IF($A1715="","",MAX(0,ROUNDUP(DASHBOARD!$F$3-$D1715,0)))</f>
        <v/>
      </c>
      <c r="N1715">
        <f>IF($A1715="","",$K1715+(5002-ROW())/10000)</f>
        <v/>
      </c>
    </row>
    <row r="1716">
      <c r="K1716">
        <f>IF($A1716="","",SUM($E1716:$J1716))</f>
        <v/>
      </c>
      <c r="M1716">
        <f>IF($A1716="","",MAX(0,ROUNDUP(DASHBOARD!$F$3-$D1716,0)))</f>
        <v/>
      </c>
      <c r="N1716">
        <f>IF($A1716="","",$K1716+(5002-ROW())/10000)</f>
        <v/>
      </c>
    </row>
    <row r="1717">
      <c r="K1717">
        <f>IF($A1717="","",SUM($E1717:$J1717))</f>
        <v/>
      </c>
      <c r="M1717">
        <f>IF($A1717="","",MAX(0,ROUNDUP(DASHBOARD!$F$3-$D1717,0)))</f>
        <v/>
      </c>
      <c r="N1717">
        <f>IF($A1717="","",$K1717+(5002-ROW())/10000)</f>
        <v/>
      </c>
    </row>
    <row r="1718">
      <c r="K1718">
        <f>IF($A1718="","",SUM($E1718:$J1718))</f>
        <v/>
      </c>
      <c r="M1718">
        <f>IF($A1718="","",MAX(0,ROUNDUP(DASHBOARD!$F$3-$D1718,0)))</f>
        <v/>
      </c>
      <c r="N1718">
        <f>IF($A1718="","",$K1718+(5002-ROW())/10000)</f>
        <v/>
      </c>
    </row>
    <row r="1719">
      <c r="K1719">
        <f>IF($A1719="","",SUM($E1719:$J1719))</f>
        <v/>
      </c>
      <c r="M1719">
        <f>IF($A1719="","",MAX(0,ROUNDUP(DASHBOARD!$F$3-$D1719,0)))</f>
        <v/>
      </c>
      <c r="N1719">
        <f>IF($A1719="","",$K1719+(5002-ROW())/10000)</f>
        <v/>
      </c>
    </row>
    <row r="1720">
      <c r="K1720">
        <f>IF($A1720="","",SUM($E1720:$J1720))</f>
        <v/>
      </c>
      <c r="M1720">
        <f>IF($A1720="","",MAX(0,ROUNDUP(DASHBOARD!$F$3-$D1720,0)))</f>
        <v/>
      </c>
      <c r="N1720">
        <f>IF($A1720="","",$K1720+(5002-ROW())/10000)</f>
        <v/>
      </c>
    </row>
    <row r="1721">
      <c r="K1721">
        <f>IF($A1721="","",SUM($E1721:$J1721))</f>
        <v/>
      </c>
      <c r="M1721">
        <f>IF($A1721="","",MAX(0,ROUNDUP(DASHBOARD!$F$3-$D1721,0)))</f>
        <v/>
      </c>
      <c r="N1721">
        <f>IF($A1721="","",$K1721+(5002-ROW())/10000)</f>
        <v/>
      </c>
    </row>
    <row r="1722">
      <c r="K1722">
        <f>IF($A1722="","",SUM($E1722:$J1722))</f>
        <v/>
      </c>
      <c r="M1722">
        <f>IF($A1722="","",MAX(0,ROUNDUP(DASHBOARD!$F$3-$D1722,0)))</f>
        <v/>
      </c>
      <c r="N1722">
        <f>IF($A1722="","",$K1722+(5002-ROW())/10000)</f>
        <v/>
      </c>
    </row>
    <row r="1723">
      <c r="K1723">
        <f>IF($A1723="","",SUM($E1723:$J1723))</f>
        <v/>
      </c>
      <c r="M1723">
        <f>IF($A1723="","",MAX(0,ROUNDUP(DASHBOARD!$F$3-$D1723,0)))</f>
        <v/>
      </c>
      <c r="N1723">
        <f>IF($A1723="","",$K1723+(5002-ROW())/10000)</f>
        <v/>
      </c>
    </row>
    <row r="1724">
      <c r="K1724">
        <f>IF($A1724="","",SUM($E1724:$J1724))</f>
        <v/>
      </c>
      <c r="M1724">
        <f>IF($A1724="","",MAX(0,ROUNDUP(DASHBOARD!$F$3-$D1724,0)))</f>
        <v/>
      </c>
      <c r="N1724">
        <f>IF($A1724="","",$K1724+(5002-ROW())/10000)</f>
        <v/>
      </c>
    </row>
    <row r="1725">
      <c r="K1725">
        <f>IF($A1725="","",SUM($E1725:$J1725))</f>
        <v/>
      </c>
      <c r="M1725">
        <f>IF($A1725="","",MAX(0,ROUNDUP(DASHBOARD!$F$3-$D1725,0)))</f>
        <v/>
      </c>
      <c r="N1725">
        <f>IF($A1725="","",$K1725+(5002-ROW())/10000)</f>
        <v/>
      </c>
    </row>
    <row r="1726">
      <c r="K1726">
        <f>IF($A1726="","",SUM($E1726:$J1726))</f>
        <v/>
      </c>
      <c r="M1726">
        <f>IF($A1726="","",MAX(0,ROUNDUP(DASHBOARD!$F$3-$D1726,0)))</f>
        <v/>
      </c>
      <c r="N1726">
        <f>IF($A1726="","",$K1726+(5002-ROW())/10000)</f>
        <v/>
      </c>
    </row>
    <row r="1727">
      <c r="K1727">
        <f>IF($A1727="","",SUM($E1727:$J1727))</f>
        <v/>
      </c>
      <c r="M1727">
        <f>IF($A1727="","",MAX(0,ROUNDUP(DASHBOARD!$F$3-$D1727,0)))</f>
        <v/>
      </c>
      <c r="N1727">
        <f>IF($A1727="","",$K1727+(5002-ROW())/10000)</f>
        <v/>
      </c>
    </row>
    <row r="1728">
      <c r="K1728">
        <f>IF($A1728="","",SUM($E1728:$J1728))</f>
        <v/>
      </c>
      <c r="M1728">
        <f>IF($A1728="","",MAX(0,ROUNDUP(DASHBOARD!$F$3-$D1728,0)))</f>
        <v/>
      </c>
      <c r="N1728">
        <f>IF($A1728="","",$K1728+(5002-ROW())/10000)</f>
        <v/>
      </c>
    </row>
    <row r="1729">
      <c r="K1729">
        <f>IF($A1729="","",SUM($E1729:$J1729))</f>
        <v/>
      </c>
      <c r="M1729">
        <f>IF($A1729="","",MAX(0,ROUNDUP(DASHBOARD!$F$3-$D1729,0)))</f>
        <v/>
      </c>
      <c r="N1729">
        <f>IF($A1729="","",$K1729+(5002-ROW())/10000)</f>
        <v/>
      </c>
    </row>
    <row r="1730">
      <c r="K1730">
        <f>IF($A1730="","",SUM($E1730:$J1730))</f>
        <v/>
      </c>
      <c r="M1730">
        <f>IF($A1730="","",MAX(0,ROUNDUP(DASHBOARD!$F$3-$D1730,0)))</f>
        <v/>
      </c>
      <c r="N1730">
        <f>IF($A1730="","",$K1730+(5002-ROW())/10000)</f>
        <v/>
      </c>
    </row>
    <row r="1731">
      <c r="K1731">
        <f>IF($A1731="","",SUM($E1731:$J1731))</f>
        <v/>
      </c>
      <c r="M1731">
        <f>IF($A1731="","",MAX(0,ROUNDUP(DASHBOARD!$F$3-$D1731,0)))</f>
        <v/>
      </c>
      <c r="N1731">
        <f>IF($A1731="","",$K1731+(5002-ROW())/10000)</f>
        <v/>
      </c>
    </row>
    <row r="1732">
      <c r="K1732">
        <f>IF($A1732="","",SUM($E1732:$J1732))</f>
        <v/>
      </c>
      <c r="M1732">
        <f>IF($A1732="","",MAX(0,ROUNDUP(DASHBOARD!$F$3-$D1732,0)))</f>
        <v/>
      </c>
      <c r="N1732">
        <f>IF($A1732="","",$K1732+(5002-ROW())/10000)</f>
        <v/>
      </c>
    </row>
    <row r="1733">
      <c r="K1733">
        <f>IF($A1733="","",SUM($E1733:$J1733))</f>
        <v/>
      </c>
      <c r="M1733">
        <f>IF($A1733="","",MAX(0,ROUNDUP(DASHBOARD!$F$3-$D1733,0)))</f>
        <v/>
      </c>
      <c r="N1733">
        <f>IF($A1733="","",$K1733+(5002-ROW())/10000)</f>
        <v/>
      </c>
    </row>
    <row r="1734">
      <c r="K1734">
        <f>IF($A1734="","",SUM($E1734:$J1734))</f>
        <v/>
      </c>
      <c r="M1734">
        <f>IF($A1734="","",MAX(0,ROUNDUP(DASHBOARD!$F$3-$D1734,0)))</f>
        <v/>
      </c>
      <c r="N1734">
        <f>IF($A1734="","",$K1734+(5002-ROW())/10000)</f>
        <v/>
      </c>
    </row>
    <row r="1735">
      <c r="K1735">
        <f>IF($A1735="","",SUM($E1735:$J1735))</f>
        <v/>
      </c>
      <c r="M1735">
        <f>IF($A1735="","",MAX(0,ROUNDUP(DASHBOARD!$F$3-$D1735,0)))</f>
        <v/>
      </c>
      <c r="N1735">
        <f>IF($A1735="","",$K1735+(5002-ROW())/10000)</f>
        <v/>
      </c>
    </row>
    <row r="1736">
      <c r="K1736">
        <f>IF($A1736="","",SUM($E1736:$J1736))</f>
        <v/>
      </c>
      <c r="M1736">
        <f>IF($A1736="","",MAX(0,ROUNDUP(DASHBOARD!$F$3-$D1736,0)))</f>
        <v/>
      </c>
      <c r="N1736">
        <f>IF($A1736="","",$K1736+(5002-ROW())/10000)</f>
        <v/>
      </c>
    </row>
    <row r="1737">
      <c r="K1737">
        <f>IF($A1737="","",SUM($E1737:$J1737))</f>
        <v/>
      </c>
      <c r="M1737">
        <f>IF($A1737="","",MAX(0,ROUNDUP(DASHBOARD!$F$3-$D1737,0)))</f>
        <v/>
      </c>
      <c r="N1737">
        <f>IF($A1737="","",$K1737+(5002-ROW())/10000)</f>
        <v/>
      </c>
    </row>
    <row r="1738">
      <c r="K1738">
        <f>IF($A1738="","",SUM($E1738:$J1738))</f>
        <v/>
      </c>
      <c r="M1738">
        <f>IF($A1738="","",MAX(0,ROUNDUP(DASHBOARD!$F$3-$D1738,0)))</f>
        <v/>
      </c>
      <c r="N1738">
        <f>IF($A1738="","",$K1738+(5002-ROW())/10000)</f>
        <v/>
      </c>
    </row>
    <row r="1739">
      <c r="K1739">
        <f>IF($A1739="","",SUM($E1739:$J1739))</f>
        <v/>
      </c>
      <c r="M1739">
        <f>IF($A1739="","",MAX(0,ROUNDUP(DASHBOARD!$F$3-$D1739,0)))</f>
        <v/>
      </c>
      <c r="N1739">
        <f>IF($A1739="","",$K1739+(5002-ROW())/10000)</f>
        <v/>
      </c>
    </row>
    <row r="1740">
      <c r="K1740">
        <f>IF($A1740="","",SUM($E1740:$J1740))</f>
        <v/>
      </c>
      <c r="M1740">
        <f>IF($A1740="","",MAX(0,ROUNDUP(DASHBOARD!$F$3-$D1740,0)))</f>
        <v/>
      </c>
      <c r="N1740">
        <f>IF($A1740="","",$K1740+(5002-ROW())/10000)</f>
        <v/>
      </c>
    </row>
    <row r="1741">
      <c r="K1741">
        <f>IF($A1741="","",SUM($E1741:$J1741))</f>
        <v/>
      </c>
      <c r="M1741">
        <f>IF($A1741="","",MAX(0,ROUNDUP(DASHBOARD!$F$3-$D1741,0)))</f>
        <v/>
      </c>
      <c r="N1741">
        <f>IF($A1741="","",$K1741+(5002-ROW())/10000)</f>
        <v/>
      </c>
    </row>
    <row r="1742">
      <c r="K1742">
        <f>IF($A1742="","",SUM($E1742:$J1742))</f>
        <v/>
      </c>
      <c r="M1742">
        <f>IF($A1742="","",MAX(0,ROUNDUP(DASHBOARD!$F$3-$D1742,0)))</f>
        <v/>
      </c>
      <c r="N1742">
        <f>IF($A1742="","",$K1742+(5002-ROW())/10000)</f>
        <v/>
      </c>
    </row>
    <row r="1743">
      <c r="K1743">
        <f>IF($A1743="","",SUM($E1743:$J1743))</f>
        <v/>
      </c>
      <c r="M1743">
        <f>IF($A1743="","",MAX(0,ROUNDUP(DASHBOARD!$F$3-$D1743,0)))</f>
        <v/>
      </c>
      <c r="N1743">
        <f>IF($A1743="","",$K1743+(5002-ROW())/10000)</f>
        <v/>
      </c>
    </row>
    <row r="1744">
      <c r="K1744">
        <f>IF($A1744="","",SUM($E1744:$J1744))</f>
        <v/>
      </c>
      <c r="M1744">
        <f>IF($A1744="","",MAX(0,ROUNDUP(DASHBOARD!$F$3-$D1744,0)))</f>
        <v/>
      </c>
      <c r="N1744">
        <f>IF($A1744="","",$K1744+(5002-ROW())/10000)</f>
        <v/>
      </c>
    </row>
    <row r="1745">
      <c r="K1745">
        <f>IF($A1745="","",SUM($E1745:$J1745))</f>
        <v/>
      </c>
      <c r="M1745">
        <f>IF($A1745="","",MAX(0,ROUNDUP(DASHBOARD!$F$3-$D1745,0)))</f>
        <v/>
      </c>
      <c r="N1745">
        <f>IF($A1745="","",$K1745+(5002-ROW())/10000)</f>
        <v/>
      </c>
    </row>
    <row r="1746">
      <c r="K1746">
        <f>IF($A1746="","",SUM($E1746:$J1746))</f>
        <v/>
      </c>
      <c r="M1746">
        <f>IF($A1746="","",MAX(0,ROUNDUP(DASHBOARD!$F$3-$D1746,0)))</f>
        <v/>
      </c>
      <c r="N1746">
        <f>IF($A1746="","",$K1746+(5002-ROW())/10000)</f>
        <v/>
      </c>
    </row>
    <row r="1747">
      <c r="K1747">
        <f>IF($A1747="","",SUM($E1747:$J1747))</f>
        <v/>
      </c>
      <c r="M1747">
        <f>IF($A1747="","",MAX(0,ROUNDUP(DASHBOARD!$F$3-$D1747,0)))</f>
        <v/>
      </c>
      <c r="N1747">
        <f>IF($A1747="","",$K1747+(5002-ROW())/10000)</f>
        <v/>
      </c>
    </row>
    <row r="1748">
      <c r="K1748">
        <f>IF($A1748="","",SUM($E1748:$J1748))</f>
        <v/>
      </c>
      <c r="M1748">
        <f>IF($A1748="","",MAX(0,ROUNDUP(DASHBOARD!$F$3-$D1748,0)))</f>
        <v/>
      </c>
      <c r="N1748">
        <f>IF($A1748="","",$K1748+(5002-ROW())/10000)</f>
        <v/>
      </c>
    </row>
    <row r="1749">
      <c r="K1749">
        <f>IF($A1749="","",SUM($E1749:$J1749))</f>
        <v/>
      </c>
      <c r="M1749">
        <f>IF($A1749="","",MAX(0,ROUNDUP(DASHBOARD!$F$3-$D1749,0)))</f>
        <v/>
      </c>
      <c r="N1749">
        <f>IF($A1749="","",$K1749+(5002-ROW())/10000)</f>
        <v/>
      </c>
    </row>
    <row r="1750">
      <c r="K1750">
        <f>IF($A1750="","",SUM($E1750:$J1750))</f>
        <v/>
      </c>
      <c r="M1750">
        <f>IF($A1750="","",MAX(0,ROUNDUP(DASHBOARD!$F$3-$D1750,0)))</f>
        <v/>
      </c>
      <c r="N1750">
        <f>IF($A1750="","",$K1750+(5002-ROW())/10000)</f>
        <v/>
      </c>
    </row>
    <row r="1751">
      <c r="K1751">
        <f>IF($A1751="","",SUM($E1751:$J1751))</f>
        <v/>
      </c>
      <c r="M1751">
        <f>IF($A1751="","",MAX(0,ROUNDUP(DASHBOARD!$F$3-$D1751,0)))</f>
        <v/>
      </c>
      <c r="N1751">
        <f>IF($A1751="","",$K1751+(5002-ROW())/10000)</f>
        <v/>
      </c>
    </row>
    <row r="1752">
      <c r="K1752">
        <f>IF($A1752="","",SUM($E1752:$J1752))</f>
        <v/>
      </c>
      <c r="M1752">
        <f>IF($A1752="","",MAX(0,ROUNDUP(DASHBOARD!$F$3-$D1752,0)))</f>
        <v/>
      </c>
      <c r="N1752">
        <f>IF($A1752="","",$K1752+(5002-ROW())/10000)</f>
        <v/>
      </c>
    </row>
    <row r="1753">
      <c r="K1753">
        <f>IF($A1753="","",SUM($E1753:$J1753))</f>
        <v/>
      </c>
      <c r="M1753">
        <f>IF($A1753="","",MAX(0,ROUNDUP(DASHBOARD!$F$3-$D1753,0)))</f>
        <v/>
      </c>
      <c r="N1753">
        <f>IF($A1753="","",$K1753+(5002-ROW())/10000)</f>
        <v/>
      </c>
    </row>
    <row r="1754">
      <c r="K1754">
        <f>IF($A1754="","",SUM($E1754:$J1754))</f>
        <v/>
      </c>
      <c r="M1754">
        <f>IF($A1754="","",MAX(0,ROUNDUP(DASHBOARD!$F$3-$D1754,0)))</f>
        <v/>
      </c>
      <c r="N1754">
        <f>IF($A1754="","",$K1754+(5002-ROW())/10000)</f>
        <v/>
      </c>
    </row>
    <row r="1755">
      <c r="K1755">
        <f>IF($A1755="","",SUM($E1755:$J1755))</f>
        <v/>
      </c>
      <c r="M1755">
        <f>IF($A1755="","",MAX(0,ROUNDUP(DASHBOARD!$F$3-$D1755,0)))</f>
        <v/>
      </c>
      <c r="N1755">
        <f>IF($A1755="","",$K1755+(5002-ROW())/10000)</f>
        <v/>
      </c>
    </row>
    <row r="1756">
      <c r="K1756">
        <f>IF($A1756="","",SUM($E1756:$J1756))</f>
        <v/>
      </c>
      <c r="M1756">
        <f>IF($A1756="","",MAX(0,ROUNDUP(DASHBOARD!$F$3-$D1756,0)))</f>
        <v/>
      </c>
      <c r="N1756">
        <f>IF($A1756="","",$K1756+(5002-ROW())/10000)</f>
        <v/>
      </c>
    </row>
    <row r="1757">
      <c r="K1757">
        <f>IF($A1757="","",SUM($E1757:$J1757))</f>
        <v/>
      </c>
      <c r="M1757">
        <f>IF($A1757="","",MAX(0,ROUNDUP(DASHBOARD!$F$3-$D1757,0)))</f>
        <v/>
      </c>
      <c r="N1757">
        <f>IF($A1757="","",$K1757+(5002-ROW())/10000)</f>
        <v/>
      </c>
    </row>
    <row r="1758">
      <c r="K1758">
        <f>IF($A1758="","",SUM($E1758:$J1758))</f>
        <v/>
      </c>
      <c r="M1758">
        <f>IF($A1758="","",MAX(0,ROUNDUP(DASHBOARD!$F$3-$D1758,0)))</f>
        <v/>
      </c>
      <c r="N1758">
        <f>IF($A1758="","",$K1758+(5002-ROW())/10000)</f>
        <v/>
      </c>
    </row>
    <row r="1759">
      <c r="K1759">
        <f>IF($A1759="","",SUM($E1759:$J1759))</f>
        <v/>
      </c>
      <c r="M1759">
        <f>IF($A1759="","",MAX(0,ROUNDUP(DASHBOARD!$F$3-$D1759,0)))</f>
        <v/>
      </c>
      <c r="N1759">
        <f>IF($A1759="","",$K1759+(5002-ROW())/10000)</f>
        <v/>
      </c>
    </row>
    <row r="1760">
      <c r="K1760">
        <f>IF($A1760="","",SUM($E1760:$J1760))</f>
        <v/>
      </c>
      <c r="M1760">
        <f>IF($A1760="","",MAX(0,ROUNDUP(DASHBOARD!$F$3-$D1760,0)))</f>
        <v/>
      </c>
      <c r="N1760">
        <f>IF($A1760="","",$K1760+(5002-ROW())/10000)</f>
        <v/>
      </c>
    </row>
    <row r="1761">
      <c r="K1761">
        <f>IF($A1761="","",SUM($E1761:$J1761))</f>
        <v/>
      </c>
      <c r="M1761">
        <f>IF($A1761="","",MAX(0,ROUNDUP(DASHBOARD!$F$3-$D1761,0)))</f>
        <v/>
      </c>
      <c r="N1761">
        <f>IF($A1761="","",$K1761+(5002-ROW())/10000)</f>
        <v/>
      </c>
    </row>
    <row r="1762">
      <c r="K1762">
        <f>IF($A1762="","",SUM($E1762:$J1762))</f>
        <v/>
      </c>
      <c r="M1762">
        <f>IF($A1762="","",MAX(0,ROUNDUP(DASHBOARD!$F$3-$D1762,0)))</f>
        <v/>
      </c>
      <c r="N1762">
        <f>IF($A1762="","",$K1762+(5002-ROW())/10000)</f>
        <v/>
      </c>
    </row>
    <row r="1763">
      <c r="K1763">
        <f>IF($A1763="","",SUM($E1763:$J1763))</f>
        <v/>
      </c>
      <c r="M1763">
        <f>IF($A1763="","",MAX(0,ROUNDUP(DASHBOARD!$F$3-$D1763,0)))</f>
        <v/>
      </c>
      <c r="N1763">
        <f>IF($A1763="","",$K1763+(5002-ROW())/10000)</f>
        <v/>
      </c>
    </row>
    <row r="1764">
      <c r="K1764">
        <f>IF($A1764="","",SUM($E1764:$J1764))</f>
        <v/>
      </c>
      <c r="M1764">
        <f>IF($A1764="","",MAX(0,ROUNDUP(DASHBOARD!$F$3-$D1764,0)))</f>
        <v/>
      </c>
      <c r="N1764">
        <f>IF($A1764="","",$K1764+(5002-ROW())/10000)</f>
        <v/>
      </c>
    </row>
    <row r="1765">
      <c r="K1765">
        <f>IF($A1765="","",SUM($E1765:$J1765))</f>
        <v/>
      </c>
      <c r="M1765">
        <f>IF($A1765="","",MAX(0,ROUNDUP(DASHBOARD!$F$3-$D1765,0)))</f>
        <v/>
      </c>
      <c r="N1765">
        <f>IF($A1765="","",$K1765+(5002-ROW())/10000)</f>
        <v/>
      </c>
    </row>
    <row r="1766">
      <c r="K1766">
        <f>IF($A1766="","",SUM($E1766:$J1766))</f>
        <v/>
      </c>
      <c r="M1766">
        <f>IF($A1766="","",MAX(0,ROUNDUP(DASHBOARD!$F$3-$D1766,0)))</f>
        <v/>
      </c>
      <c r="N1766">
        <f>IF($A1766="","",$K1766+(5002-ROW())/10000)</f>
        <v/>
      </c>
    </row>
    <row r="1767">
      <c r="K1767">
        <f>IF($A1767="","",SUM($E1767:$J1767))</f>
        <v/>
      </c>
      <c r="M1767">
        <f>IF($A1767="","",MAX(0,ROUNDUP(DASHBOARD!$F$3-$D1767,0)))</f>
        <v/>
      </c>
      <c r="N1767">
        <f>IF($A1767="","",$K1767+(5002-ROW())/10000)</f>
        <v/>
      </c>
    </row>
    <row r="1768">
      <c r="K1768">
        <f>IF($A1768="","",SUM($E1768:$J1768))</f>
        <v/>
      </c>
      <c r="M1768">
        <f>IF($A1768="","",MAX(0,ROUNDUP(DASHBOARD!$F$3-$D1768,0)))</f>
        <v/>
      </c>
      <c r="N1768">
        <f>IF($A1768="","",$K1768+(5002-ROW())/10000)</f>
        <v/>
      </c>
    </row>
    <row r="1769">
      <c r="K1769">
        <f>IF($A1769="","",SUM($E1769:$J1769))</f>
        <v/>
      </c>
      <c r="M1769">
        <f>IF($A1769="","",MAX(0,ROUNDUP(DASHBOARD!$F$3-$D1769,0)))</f>
        <v/>
      </c>
      <c r="N1769">
        <f>IF($A1769="","",$K1769+(5002-ROW())/10000)</f>
        <v/>
      </c>
    </row>
    <row r="1770">
      <c r="K1770">
        <f>IF($A1770="","",SUM($E1770:$J1770))</f>
        <v/>
      </c>
      <c r="M1770">
        <f>IF($A1770="","",MAX(0,ROUNDUP(DASHBOARD!$F$3-$D1770,0)))</f>
        <v/>
      </c>
      <c r="N1770">
        <f>IF($A1770="","",$K1770+(5002-ROW())/10000)</f>
        <v/>
      </c>
    </row>
    <row r="1771">
      <c r="K1771">
        <f>IF($A1771="","",SUM($E1771:$J1771))</f>
        <v/>
      </c>
      <c r="M1771">
        <f>IF($A1771="","",MAX(0,ROUNDUP(DASHBOARD!$F$3-$D1771,0)))</f>
        <v/>
      </c>
      <c r="N1771">
        <f>IF($A1771="","",$K1771+(5002-ROW())/10000)</f>
        <v/>
      </c>
    </row>
    <row r="1772">
      <c r="K1772">
        <f>IF($A1772="","",SUM($E1772:$J1772))</f>
        <v/>
      </c>
      <c r="M1772">
        <f>IF($A1772="","",MAX(0,ROUNDUP(DASHBOARD!$F$3-$D1772,0)))</f>
        <v/>
      </c>
      <c r="N1772">
        <f>IF($A1772="","",$K1772+(5002-ROW())/10000)</f>
        <v/>
      </c>
    </row>
    <row r="1773">
      <c r="K1773">
        <f>IF($A1773="","",SUM($E1773:$J1773))</f>
        <v/>
      </c>
      <c r="M1773">
        <f>IF($A1773="","",MAX(0,ROUNDUP(DASHBOARD!$F$3-$D1773,0)))</f>
        <v/>
      </c>
      <c r="N1773">
        <f>IF($A1773="","",$K1773+(5002-ROW())/10000)</f>
        <v/>
      </c>
    </row>
    <row r="1774">
      <c r="K1774">
        <f>IF($A1774="","",SUM($E1774:$J1774))</f>
        <v/>
      </c>
      <c r="M1774">
        <f>IF($A1774="","",MAX(0,ROUNDUP(DASHBOARD!$F$3-$D1774,0)))</f>
        <v/>
      </c>
      <c r="N1774">
        <f>IF($A1774="","",$K1774+(5002-ROW())/10000)</f>
        <v/>
      </c>
    </row>
    <row r="1775">
      <c r="K1775">
        <f>IF($A1775="","",SUM($E1775:$J1775))</f>
        <v/>
      </c>
      <c r="M1775">
        <f>IF($A1775="","",MAX(0,ROUNDUP(DASHBOARD!$F$3-$D1775,0)))</f>
        <v/>
      </c>
      <c r="N1775">
        <f>IF($A1775="","",$K1775+(5002-ROW())/10000)</f>
        <v/>
      </c>
    </row>
    <row r="1776">
      <c r="K1776">
        <f>IF($A1776="","",SUM($E1776:$J1776))</f>
        <v/>
      </c>
      <c r="M1776">
        <f>IF($A1776="","",MAX(0,ROUNDUP(DASHBOARD!$F$3-$D1776,0)))</f>
        <v/>
      </c>
      <c r="N1776">
        <f>IF($A1776="","",$K1776+(5002-ROW())/10000)</f>
        <v/>
      </c>
    </row>
    <row r="1777">
      <c r="K1777">
        <f>IF($A1777="","",SUM($E1777:$J1777))</f>
        <v/>
      </c>
      <c r="M1777">
        <f>IF($A1777="","",MAX(0,ROUNDUP(DASHBOARD!$F$3-$D1777,0)))</f>
        <v/>
      </c>
      <c r="N1777">
        <f>IF($A1777="","",$K1777+(5002-ROW())/10000)</f>
        <v/>
      </c>
    </row>
    <row r="1778">
      <c r="K1778">
        <f>IF($A1778="","",SUM($E1778:$J1778))</f>
        <v/>
      </c>
      <c r="M1778">
        <f>IF($A1778="","",MAX(0,ROUNDUP(DASHBOARD!$F$3-$D1778,0)))</f>
        <v/>
      </c>
      <c r="N1778">
        <f>IF($A1778="","",$K1778+(5002-ROW())/10000)</f>
        <v/>
      </c>
    </row>
    <row r="1779">
      <c r="K1779">
        <f>IF($A1779="","",SUM($E1779:$J1779))</f>
        <v/>
      </c>
      <c r="M1779">
        <f>IF($A1779="","",MAX(0,ROUNDUP(DASHBOARD!$F$3-$D1779,0)))</f>
        <v/>
      </c>
      <c r="N1779">
        <f>IF($A1779="","",$K1779+(5002-ROW())/10000)</f>
        <v/>
      </c>
    </row>
    <row r="1780">
      <c r="K1780">
        <f>IF($A1780="","",SUM($E1780:$J1780))</f>
        <v/>
      </c>
      <c r="M1780">
        <f>IF($A1780="","",MAX(0,ROUNDUP(DASHBOARD!$F$3-$D1780,0)))</f>
        <v/>
      </c>
      <c r="N1780">
        <f>IF($A1780="","",$K1780+(5002-ROW())/10000)</f>
        <v/>
      </c>
    </row>
    <row r="1781">
      <c r="K1781">
        <f>IF($A1781="","",SUM($E1781:$J1781))</f>
        <v/>
      </c>
      <c r="M1781">
        <f>IF($A1781="","",MAX(0,ROUNDUP(DASHBOARD!$F$3-$D1781,0)))</f>
        <v/>
      </c>
      <c r="N1781">
        <f>IF($A1781="","",$K1781+(5002-ROW())/10000)</f>
        <v/>
      </c>
    </row>
    <row r="1782">
      <c r="K1782">
        <f>IF($A1782="","",SUM($E1782:$J1782))</f>
        <v/>
      </c>
      <c r="M1782">
        <f>IF($A1782="","",MAX(0,ROUNDUP(DASHBOARD!$F$3-$D1782,0)))</f>
        <v/>
      </c>
      <c r="N1782">
        <f>IF($A1782="","",$K1782+(5002-ROW())/10000)</f>
        <v/>
      </c>
    </row>
    <row r="1783">
      <c r="K1783">
        <f>IF($A1783="","",SUM($E1783:$J1783))</f>
        <v/>
      </c>
      <c r="M1783">
        <f>IF($A1783="","",MAX(0,ROUNDUP(DASHBOARD!$F$3-$D1783,0)))</f>
        <v/>
      </c>
      <c r="N1783">
        <f>IF($A1783="","",$K1783+(5002-ROW())/10000)</f>
        <v/>
      </c>
    </row>
    <row r="1784">
      <c r="K1784">
        <f>IF($A1784="","",SUM($E1784:$J1784))</f>
        <v/>
      </c>
      <c r="M1784">
        <f>IF($A1784="","",MAX(0,ROUNDUP(DASHBOARD!$F$3-$D1784,0)))</f>
        <v/>
      </c>
      <c r="N1784">
        <f>IF($A1784="","",$K1784+(5002-ROW())/10000)</f>
        <v/>
      </c>
    </row>
    <row r="1785">
      <c r="K1785">
        <f>IF($A1785="","",SUM($E1785:$J1785))</f>
        <v/>
      </c>
      <c r="M1785">
        <f>IF($A1785="","",MAX(0,ROUNDUP(DASHBOARD!$F$3-$D1785,0)))</f>
        <v/>
      </c>
      <c r="N1785">
        <f>IF($A1785="","",$K1785+(5002-ROW())/10000)</f>
        <v/>
      </c>
    </row>
    <row r="1786">
      <c r="K1786">
        <f>IF($A1786="","",SUM($E1786:$J1786))</f>
        <v/>
      </c>
      <c r="M1786">
        <f>IF($A1786="","",MAX(0,ROUNDUP(DASHBOARD!$F$3-$D1786,0)))</f>
        <v/>
      </c>
      <c r="N1786">
        <f>IF($A1786="","",$K1786+(5002-ROW())/10000)</f>
        <v/>
      </c>
    </row>
    <row r="1787">
      <c r="K1787">
        <f>IF($A1787="","",SUM($E1787:$J1787))</f>
        <v/>
      </c>
      <c r="M1787">
        <f>IF($A1787="","",MAX(0,ROUNDUP(DASHBOARD!$F$3-$D1787,0)))</f>
        <v/>
      </c>
      <c r="N1787">
        <f>IF($A1787="","",$K1787+(5002-ROW())/10000)</f>
        <v/>
      </c>
    </row>
    <row r="1788">
      <c r="K1788">
        <f>IF($A1788="","",SUM($E1788:$J1788))</f>
        <v/>
      </c>
      <c r="M1788">
        <f>IF($A1788="","",MAX(0,ROUNDUP(DASHBOARD!$F$3-$D1788,0)))</f>
        <v/>
      </c>
      <c r="N1788">
        <f>IF($A1788="","",$K1788+(5002-ROW())/10000)</f>
        <v/>
      </c>
    </row>
    <row r="1789">
      <c r="K1789">
        <f>IF($A1789="","",SUM($E1789:$J1789))</f>
        <v/>
      </c>
      <c r="M1789">
        <f>IF($A1789="","",MAX(0,ROUNDUP(DASHBOARD!$F$3-$D1789,0)))</f>
        <v/>
      </c>
      <c r="N1789">
        <f>IF($A1789="","",$K1789+(5002-ROW())/10000)</f>
        <v/>
      </c>
    </row>
    <row r="1790">
      <c r="K1790">
        <f>IF($A1790="","",SUM($E1790:$J1790))</f>
        <v/>
      </c>
      <c r="M1790">
        <f>IF($A1790="","",MAX(0,ROUNDUP(DASHBOARD!$F$3-$D1790,0)))</f>
        <v/>
      </c>
      <c r="N1790">
        <f>IF($A1790="","",$K1790+(5002-ROW())/10000)</f>
        <v/>
      </c>
    </row>
    <row r="1791">
      <c r="K1791">
        <f>IF($A1791="","",SUM($E1791:$J1791))</f>
        <v/>
      </c>
      <c r="M1791">
        <f>IF($A1791="","",MAX(0,ROUNDUP(DASHBOARD!$F$3-$D1791,0)))</f>
        <v/>
      </c>
      <c r="N1791">
        <f>IF($A1791="","",$K1791+(5002-ROW())/10000)</f>
        <v/>
      </c>
    </row>
    <row r="1792">
      <c r="K1792">
        <f>IF($A1792="","",SUM($E1792:$J1792))</f>
        <v/>
      </c>
      <c r="M1792">
        <f>IF($A1792="","",MAX(0,ROUNDUP(DASHBOARD!$F$3-$D1792,0)))</f>
        <v/>
      </c>
      <c r="N1792">
        <f>IF($A1792="","",$K1792+(5002-ROW())/10000)</f>
        <v/>
      </c>
    </row>
    <row r="1793">
      <c r="K1793">
        <f>IF($A1793="","",SUM($E1793:$J1793))</f>
        <v/>
      </c>
      <c r="M1793">
        <f>IF($A1793="","",MAX(0,ROUNDUP(DASHBOARD!$F$3-$D1793,0)))</f>
        <v/>
      </c>
      <c r="N1793">
        <f>IF($A1793="","",$K1793+(5002-ROW())/10000)</f>
        <v/>
      </c>
    </row>
    <row r="1794">
      <c r="K1794">
        <f>IF($A1794="","",SUM($E1794:$J1794))</f>
        <v/>
      </c>
      <c r="M1794">
        <f>IF($A1794="","",MAX(0,ROUNDUP(DASHBOARD!$F$3-$D1794,0)))</f>
        <v/>
      </c>
      <c r="N1794">
        <f>IF($A1794="","",$K1794+(5002-ROW())/10000)</f>
        <v/>
      </c>
    </row>
    <row r="1795">
      <c r="K1795">
        <f>IF($A1795="","",SUM($E1795:$J1795))</f>
        <v/>
      </c>
      <c r="M1795">
        <f>IF($A1795="","",MAX(0,ROUNDUP(DASHBOARD!$F$3-$D1795,0)))</f>
        <v/>
      </c>
      <c r="N1795">
        <f>IF($A1795="","",$K1795+(5002-ROW())/10000)</f>
        <v/>
      </c>
    </row>
    <row r="1796">
      <c r="K1796">
        <f>IF($A1796="","",SUM($E1796:$J1796))</f>
        <v/>
      </c>
      <c r="M1796">
        <f>IF($A1796="","",MAX(0,ROUNDUP(DASHBOARD!$F$3-$D1796,0)))</f>
        <v/>
      </c>
      <c r="N1796">
        <f>IF($A1796="","",$K1796+(5002-ROW())/10000)</f>
        <v/>
      </c>
    </row>
    <row r="1797">
      <c r="K1797">
        <f>IF($A1797="","",SUM($E1797:$J1797))</f>
        <v/>
      </c>
      <c r="M1797">
        <f>IF($A1797="","",MAX(0,ROUNDUP(DASHBOARD!$F$3-$D1797,0)))</f>
        <v/>
      </c>
      <c r="N1797">
        <f>IF($A1797="","",$K1797+(5002-ROW())/10000)</f>
        <v/>
      </c>
    </row>
    <row r="1798">
      <c r="K1798">
        <f>IF($A1798="","",SUM($E1798:$J1798))</f>
        <v/>
      </c>
      <c r="M1798">
        <f>IF($A1798="","",MAX(0,ROUNDUP(DASHBOARD!$F$3-$D1798,0)))</f>
        <v/>
      </c>
      <c r="N1798">
        <f>IF($A1798="","",$K1798+(5002-ROW())/10000)</f>
        <v/>
      </c>
    </row>
    <row r="1799">
      <c r="K1799">
        <f>IF($A1799="","",SUM($E1799:$J1799))</f>
        <v/>
      </c>
      <c r="M1799">
        <f>IF($A1799="","",MAX(0,ROUNDUP(DASHBOARD!$F$3-$D1799,0)))</f>
        <v/>
      </c>
      <c r="N1799">
        <f>IF($A1799="","",$K1799+(5002-ROW())/10000)</f>
        <v/>
      </c>
    </row>
    <row r="1800">
      <c r="K1800">
        <f>IF($A1800="","",SUM($E1800:$J1800))</f>
        <v/>
      </c>
      <c r="M1800">
        <f>IF($A1800="","",MAX(0,ROUNDUP(DASHBOARD!$F$3-$D1800,0)))</f>
        <v/>
      </c>
      <c r="N1800">
        <f>IF($A1800="","",$K1800+(5002-ROW())/10000)</f>
        <v/>
      </c>
    </row>
    <row r="1801">
      <c r="K1801">
        <f>IF($A1801="","",SUM($E1801:$J1801))</f>
        <v/>
      </c>
      <c r="M1801">
        <f>IF($A1801="","",MAX(0,ROUNDUP(DASHBOARD!$F$3-$D1801,0)))</f>
        <v/>
      </c>
      <c r="N1801">
        <f>IF($A1801="","",$K1801+(5002-ROW())/10000)</f>
        <v/>
      </c>
    </row>
    <row r="1802">
      <c r="K1802">
        <f>IF($A1802="","",SUM($E1802:$J1802))</f>
        <v/>
      </c>
      <c r="M1802">
        <f>IF($A1802="","",MAX(0,ROUNDUP(DASHBOARD!$F$3-$D1802,0)))</f>
        <v/>
      </c>
      <c r="N1802">
        <f>IF($A1802="","",$K1802+(5002-ROW())/10000)</f>
        <v/>
      </c>
    </row>
    <row r="1803">
      <c r="K1803">
        <f>IF($A1803="","",SUM($E1803:$J1803))</f>
        <v/>
      </c>
      <c r="M1803">
        <f>IF($A1803="","",MAX(0,ROUNDUP(DASHBOARD!$F$3-$D1803,0)))</f>
        <v/>
      </c>
      <c r="N1803">
        <f>IF($A1803="","",$K1803+(5002-ROW())/10000)</f>
        <v/>
      </c>
    </row>
    <row r="1804">
      <c r="K1804">
        <f>IF($A1804="","",SUM($E1804:$J1804))</f>
        <v/>
      </c>
      <c r="M1804">
        <f>IF($A1804="","",MAX(0,ROUNDUP(DASHBOARD!$F$3-$D1804,0)))</f>
        <v/>
      </c>
      <c r="N1804">
        <f>IF($A1804="","",$K1804+(5002-ROW())/10000)</f>
        <v/>
      </c>
    </row>
    <row r="1805">
      <c r="K1805">
        <f>IF($A1805="","",SUM($E1805:$J1805))</f>
        <v/>
      </c>
      <c r="M1805">
        <f>IF($A1805="","",MAX(0,ROUNDUP(DASHBOARD!$F$3-$D1805,0)))</f>
        <v/>
      </c>
      <c r="N1805">
        <f>IF($A1805="","",$K1805+(5002-ROW())/10000)</f>
        <v/>
      </c>
    </row>
    <row r="1806">
      <c r="K1806">
        <f>IF($A1806="","",SUM($E1806:$J1806))</f>
        <v/>
      </c>
      <c r="M1806">
        <f>IF($A1806="","",MAX(0,ROUNDUP(DASHBOARD!$F$3-$D1806,0)))</f>
        <v/>
      </c>
      <c r="N1806">
        <f>IF($A1806="","",$K1806+(5002-ROW())/10000)</f>
        <v/>
      </c>
    </row>
    <row r="1807">
      <c r="K1807">
        <f>IF($A1807="","",SUM($E1807:$J1807))</f>
        <v/>
      </c>
      <c r="M1807">
        <f>IF($A1807="","",MAX(0,ROUNDUP(DASHBOARD!$F$3-$D1807,0)))</f>
        <v/>
      </c>
      <c r="N1807">
        <f>IF($A1807="","",$K1807+(5002-ROW())/10000)</f>
        <v/>
      </c>
    </row>
    <row r="1808">
      <c r="K1808">
        <f>IF($A1808="","",SUM($E1808:$J1808))</f>
        <v/>
      </c>
      <c r="M1808">
        <f>IF($A1808="","",MAX(0,ROUNDUP(DASHBOARD!$F$3-$D1808,0)))</f>
        <v/>
      </c>
      <c r="N1808">
        <f>IF($A1808="","",$K1808+(5002-ROW())/10000)</f>
        <v/>
      </c>
    </row>
    <row r="1809">
      <c r="K1809">
        <f>IF($A1809="","",SUM($E1809:$J1809))</f>
        <v/>
      </c>
      <c r="M1809">
        <f>IF($A1809="","",MAX(0,ROUNDUP(DASHBOARD!$F$3-$D1809,0)))</f>
        <v/>
      </c>
      <c r="N1809">
        <f>IF($A1809="","",$K1809+(5002-ROW())/10000)</f>
        <v/>
      </c>
    </row>
    <row r="1810">
      <c r="K1810">
        <f>IF($A1810="","",SUM($E1810:$J1810))</f>
        <v/>
      </c>
      <c r="M1810">
        <f>IF($A1810="","",MAX(0,ROUNDUP(DASHBOARD!$F$3-$D1810,0)))</f>
        <v/>
      </c>
      <c r="N1810">
        <f>IF($A1810="","",$K1810+(5002-ROW())/10000)</f>
        <v/>
      </c>
    </row>
    <row r="1811">
      <c r="K1811">
        <f>IF($A1811="","",SUM($E1811:$J1811))</f>
        <v/>
      </c>
      <c r="M1811">
        <f>IF($A1811="","",MAX(0,ROUNDUP(DASHBOARD!$F$3-$D1811,0)))</f>
        <v/>
      </c>
      <c r="N1811">
        <f>IF($A1811="","",$K1811+(5002-ROW())/10000)</f>
        <v/>
      </c>
    </row>
    <row r="1812">
      <c r="K1812">
        <f>IF($A1812="","",SUM($E1812:$J1812))</f>
        <v/>
      </c>
      <c r="M1812">
        <f>IF($A1812="","",MAX(0,ROUNDUP(DASHBOARD!$F$3-$D1812,0)))</f>
        <v/>
      </c>
      <c r="N1812">
        <f>IF($A1812="","",$K1812+(5002-ROW())/10000)</f>
        <v/>
      </c>
    </row>
    <row r="1813">
      <c r="K1813">
        <f>IF($A1813="","",SUM($E1813:$J1813))</f>
        <v/>
      </c>
      <c r="M1813">
        <f>IF($A1813="","",MAX(0,ROUNDUP(DASHBOARD!$F$3-$D1813,0)))</f>
        <v/>
      </c>
      <c r="N1813">
        <f>IF($A1813="","",$K1813+(5002-ROW())/10000)</f>
        <v/>
      </c>
    </row>
    <row r="1814">
      <c r="K1814">
        <f>IF($A1814="","",SUM($E1814:$J1814))</f>
        <v/>
      </c>
      <c r="M1814">
        <f>IF($A1814="","",MAX(0,ROUNDUP(DASHBOARD!$F$3-$D1814,0)))</f>
        <v/>
      </c>
      <c r="N1814">
        <f>IF($A1814="","",$K1814+(5002-ROW())/10000)</f>
        <v/>
      </c>
    </row>
    <row r="1815">
      <c r="K1815">
        <f>IF($A1815="","",SUM($E1815:$J1815))</f>
        <v/>
      </c>
      <c r="M1815">
        <f>IF($A1815="","",MAX(0,ROUNDUP(DASHBOARD!$F$3-$D1815,0)))</f>
        <v/>
      </c>
      <c r="N1815">
        <f>IF($A1815="","",$K1815+(5002-ROW())/10000)</f>
        <v/>
      </c>
    </row>
    <row r="1816">
      <c r="K1816">
        <f>IF($A1816="","",SUM($E1816:$J1816))</f>
        <v/>
      </c>
      <c r="M1816">
        <f>IF($A1816="","",MAX(0,ROUNDUP(DASHBOARD!$F$3-$D1816,0)))</f>
        <v/>
      </c>
      <c r="N1816">
        <f>IF($A1816="","",$K1816+(5002-ROW())/10000)</f>
        <v/>
      </c>
    </row>
    <row r="1817">
      <c r="K1817">
        <f>IF($A1817="","",SUM($E1817:$J1817))</f>
        <v/>
      </c>
      <c r="M1817">
        <f>IF($A1817="","",MAX(0,ROUNDUP(DASHBOARD!$F$3-$D1817,0)))</f>
        <v/>
      </c>
      <c r="N1817">
        <f>IF($A1817="","",$K1817+(5002-ROW())/10000)</f>
        <v/>
      </c>
    </row>
    <row r="1818">
      <c r="K1818">
        <f>IF($A1818="","",SUM($E1818:$J1818))</f>
        <v/>
      </c>
      <c r="M1818">
        <f>IF($A1818="","",MAX(0,ROUNDUP(DASHBOARD!$F$3-$D1818,0)))</f>
        <v/>
      </c>
      <c r="N1818">
        <f>IF($A1818="","",$K1818+(5002-ROW())/10000)</f>
        <v/>
      </c>
    </row>
    <row r="1819">
      <c r="K1819">
        <f>IF($A1819="","",SUM($E1819:$J1819))</f>
        <v/>
      </c>
      <c r="M1819">
        <f>IF($A1819="","",MAX(0,ROUNDUP(DASHBOARD!$F$3-$D1819,0)))</f>
        <v/>
      </c>
      <c r="N1819">
        <f>IF($A1819="","",$K1819+(5002-ROW())/10000)</f>
        <v/>
      </c>
    </row>
    <row r="1820">
      <c r="K1820">
        <f>IF($A1820="","",SUM($E1820:$J1820))</f>
        <v/>
      </c>
      <c r="M1820">
        <f>IF($A1820="","",MAX(0,ROUNDUP(DASHBOARD!$F$3-$D1820,0)))</f>
        <v/>
      </c>
      <c r="N1820">
        <f>IF($A1820="","",$K1820+(5002-ROW())/10000)</f>
        <v/>
      </c>
    </row>
    <row r="1821">
      <c r="K1821">
        <f>IF($A1821="","",SUM($E1821:$J1821))</f>
        <v/>
      </c>
      <c r="M1821">
        <f>IF($A1821="","",MAX(0,ROUNDUP(DASHBOARD!$F$3-$D1821,0)))</f>
        <v/>
      </c>
      <c r="N1821">
        <f>IF($A1821="","",$K1821+(5002-ROW())/10000)</f>
        <v/>
      </c>
    </row>
    <row r="1822">
      <c r="K1822">
        <f>IF($A1822="","",SUM($E1822:$J1822))</f>
        <v/>
      </c>
      <c r="M1822">
        <f>IF($A1822="","",MAX(0,ROUNDUP(DASHBOARD!$F$3-$D1822,0)))</f>
        <v/>
      </c>
      <c r="N1822">
        <f>IF($A1822="","",$K1822+(5002-ROW())/10000)</f>
        <v/>
      </c>
    </row>
    <row r="1823">
      <c r="K1823">
        <f>IF($A1823="","",SUM($E1823:$J1823))</f>
        <v/>
      </c>
      <c r="M1823">
        <f>IF($A1823="","",MAX(0,ROUNDUP(DASHBOARD!$F$3-$D1823,0)))</f>
        <v/>
      </c>
      <c r="N1823">
        <f>IF($A1823="","",$K1823+(5002-ROW())/10000)</f>
        <v/>
      </c>
    </row>
    <row r="1824">
      <c r="K1824">
        <f>IF($A1824="","",SUM($E1824:$J1824))</f>
        <v/>
      </c>
      <c r="M1824">
        <f>IF($A1824="","",MAX(0,ROUNDUP(DASHBOARD!$F$3-$D1824,0)))</f>
        <v/>
      </c>
      <c r="N1824">
        <f>IF($A1824="","",$K1824+(5002-ROW())/10000)</f>
        <v/>
      </c>
    </row>
    <row r="1825">
      <c r="K1825">
        <f>IF($A1825="","",SUM($E1825:$J1825))</f>
        <v/>
      </c>
      <c r="M1825">
        <f>IF($A1825="","",MAX(0,ROUNDUP(DASHBOARD!$F$3-$D1825,0)))</f>
        <v/>
      </c>
      <c r="N1825">
        <f>IF($A1825="","",$K1825+(5002-ROW())/10000)</f>
        <v/>
      </c>
    </row>
    <row r="1826">
      <c r="K1826">
        <f>IF($A1826="","",SUM($E1826:$J1826))</f>
        <v/>
      </c>
      <c r="M1826">
        <f>IF($A1826="","",MAX(0,ROUNDUP(DASHBOARD!$F$3-$D1826,0)))</f>
        <v/>
      </c>
      <c r="N1826">
        <f>IF($A1826="","",$K1826+(5002-ROW())/10000)</f>
        <v/>
      </c>
    </row>
    <row r="1827">
      <c r="K1827">
        <f>IF($A1827="","",SUM($E1827:$J1827))</f>
        <v/>
      </c>
      <c r="M1827">
        <f>IF($A1827="","",MAX(0,ROUNDUP(DASHBOARD!$F$3-$D1827,0)))</f>
        <v/>
      </c>
      <c r="N1827">
        <f>IF($A1827="","",$K1827+(5002-ROW())/10000)</f>
        <v/>
      </c>
    </row>
    <row r="1828">
      <c r="K1828">
        <f>IF($A1828="","",SUM($E1828:$J1828))</f>
        <v/>
      </c>
      <c r="M1828">
        <f>IF($A1828="","",MAX(0,ROUNDUP(DASHBOARD!$F$3-$D1828,0)))</f>
        <v/>
      </c>
      <c r="N1828">
        <f>IF($A1828="","",$K1828+(5002-ROW())/10000)</f>
        <v/>
      </c>
    </row>
    <row r="1829">
      <c r="K1829">
        <f>IF($A1829="","",SUM($E1829:$J1829))</f>
        <v/>
      </c>
      <c r="M1829">
        <f>IF($A1829="","",MAX(0,ROUNDUP(DASHBOARD!$F$3-$D1829,0)))</f>
        <v/>
      </c>
      <c r="N1829">
        <f>IF($A1829="","",$K1829+(5002-ROW())/10000)</f>
        <v/>
      </c>
    </row>
    <row r="1830">
      <c r="K1830">
        <f>IF($A1830="","",SUM($E1830:$J1830))</f>
        <v/>
      </c>
      <c r="M1830">
        <f>IF($A1830="","",MAX(0,ROUNDUP(DASHBOARD!$F$3-$D1830,0)))</f>
        <v/>
      </c>
      <c r="N1830">
        <f>IF($A1830="","",$K1830+(5002-ROW())/10000)</f>
        <v/>
      </c>
    </row>
    <row r="1831">
      <c r="K1831">
        <f>IF($A1831="","",SUM($E1831:$J1831))</f>
        <v/>
      </c>
      <c r="M1831">
        <f>IF($A1831="","",MAX(0,ROUNDUP(DASHBOARD!$F$3-$D1831,0)))</f>
        <v/>
      </c>
      <c r="N1831">
        <f>IF($A1831="","",$K1831+(5002-ROW())/10000)</f>
        <v/>
      </c>
    </row>
    <row r="1832">
      <c r="K1832">
        <f>IF($A1832="","",SUM($E1832:$J1832))</f>
        <v/>
      </c>
      <c r="M1832">
        <f>IF($A1832="","",MAX(0,ROUNDUP(DASHBOARD!$F$3-$D1832,0)))</f>
        <v/>
      </c>
      <c r="N1832">
        <f>IF($A1832="","",$K1832+(5002-ROW())/10000)</f>
        <v/>
      </c>
    </row>
    <row r="1833">
      <c r="K1833">
        <f>IF($A1833="","",SUM($E1833:$J1833))</f>
        <v/>
      </c>
      <c r="M1833">
        <f>IF($A1833="","",MAX(0,ROUNDUP(DASHBOARD!$F$3-$D1833,0)))</f>
        <v/>
      </c>
      <c r="N1833">
        <f>IF($A1833="","",$K1833+(5002-ROW())/10000)</f>
        <v/>
      </c>
    </row>
    <row r="1834">
      <c r="K1834">
        <f>IF($A1834="","",SUM($E1834:$J1834))</f>
        <v/>
      </c>
      <c r="M1834">
        <f>IF($A1834="","",MAX(0,ROUNDUP(DASHBOARD!$F$3-$D1834,0)))</f>
        <v/>
      </c>
      <c r="N1834">
        <f>IF($A1834="","",$K1834+(5002-ROW())/10000)</f>
        <v/>
      </c>
    </row>
    <row r="1835">
      <c r="K1835">
        <f>IF($A1835="","",SUM($E1835:$J1835))</f>
        <v/>
      </c>
      <c r="M1835">
        <f>IF($A1835="","",MAX(0,ROUNDUP(DASHBOARD!$F$3-$D1835,0)))</f>
        <v/>
      </c>
      <c r="N1835">
        <f>IF($A1835="","",$K1835+(5002-ROW())/10000)</f>
        <v/>
      </c>
    </row>
    <row r="1836">
      <c r="K1836">
        <f>IF($A1836="","",SUM($E1836:$J1836))</f>
        <v/>
      </c>
      <c r="M1836">
        <f>IF($A1836="","",MAX(0,ROUNDUP(DASHBOARD!$F$3-$D1836,0)))</f>
        <v/>
      </c>
      <c r="N1836">
        <f>IF($A1836="","",$K1836+(5002-ROW())/10000)</f>
        <v/>
      </c>
    </row>
    <row r="1837">
      <c r="K1837">
        <f>IF($A1837="","",SUM($E1837:$J1837))</f>
        <v/>
      </c>
      <c r="M1837">
        <f>IF($A1837="","",MAX(0,ROUNDUP(DASHBOARD!$F$3-$D1837,0)))</f>
        <v/>
      </c>
      <c r="N1837">
        <f>IF($A1837="","",$K1837+(5002-ROW())/10000)</f>
        <v/>
      </c>
    </row>
    <row r="1838">
      <c r="K1838">
        <f>IF($A1838="","",SUM($E1838:$J1838))</f>
        <v/>
      </c>
      <c r="M1838">
        <f>IF($A1838="","",MAX(0,ROUNDUP(DASHBOARD!$F$3-$D1838,0)))</f>
        <v/>
      </c>
      <c r="N1838">
        <f>IF($A1838="","",$K1838+(5002-ROW())/10000)</f>
        <v/>
      </c>
    </row>
    <row r="1839">
      <c r="K1839">
        <f>IF($A1839="","",SUM($E1839:$J1839))</f>
        <v/>
      </c>
      <c r="M1839">
        <f>IF($A1839="","",MAX(0,ROUNDUP(DASHBOARD!$F$3-$D1839,0)))</f>
        <v/>
      </c>
      <c r="N1839">
        <f>IF($A1839="","",$K1839+(5002-ROW())/10000)</f>
        <v/>
      </c>
    </row>
    <row r="1840">
      <c r="K1840">
        <f>IF($A1840="","",SUM($E1840:$J1840))</f>
        <v/>
      </c>
      <c r="M1840">
        <f>IF($A1840="","",MAX(0,ROUNDUP(DASHBOARD!$F$3-$D1840,0)))</f>
        <v/>
      </c>
      <c r="N1840">
        <f>IF($A1840="","",$K1840+(5002-ROW())/10000)</f>
        <v/>
      </c>
    </row>
    <row r="1841">
      <c r="K1841">
        <f>IF($A1841="","",SUM($E1841:$J1841))</f>
        <v/>
      </c>
      <c r="M1841">
        <f>IF($A1841="","",MAX(0,ROUNDUP(DASHBOARD!$F$3-$D1841,0)))</f>
        <v/>
      </c>
      <c r="N1841">
        <f>IF($A1841="","",$K1841+(5002-ROW())/10000)</f>
        <v/>
      </c>
    </row>
    <row r="1842">
      <c r="K1842">
        <f>IF($A1842="","",SUM($E1842:$J1842))</f>
        <v/>
      </c>
      <c r="M1842">
        <f>IF($A1842="","",MAX(0,ROUNDUP(DASHBOARD!$F$3-$D1842,0)))</f>
        <v/>
      </c>
      <c r="N1842">
        <f>IF($A1842="","",$K1842+(5002-ROW())/10000)</f>
        <v/>
      </c>
    </row>
    <row r="1843">
      <c r="K1843">
        <f>IF($A1843="","",SUM($E1843:$J1843))</f>
        <v/>
      </c>
      <c r="M1843">
        <f>IF($A1843="","",MAX(0,ROUNDUP(DASHBOARD!$F$3-$D1843,0)))</f>
        <v/>
      </c>
      <c r="N1843">
        <f>IF($A1843="","",$K1843+(5002-ROW())/10000)</f>
        <v/>
      </c>
    </row>
    <row r="1844">
      <c r="K1844">
        <f>IF($A1844="","",SUM($E1844:$J1844))</f>
        <v/>
      </c>
      <c r="M1844">
        <f>IF($A1844="","",MAX(0,ROUNDUP(DASHBOARD!$F$3-$D1844,0)))</f>
        <v/>
      </c>
      <c r="N1844">
        <f>IF($A1844="","",$K1844+(5002-ROW())/10000)</f>
        <v/>
      </c>
    </row>
    <row r="1845">
      <c r="K1845">
        <f>IF($A1845="","",SUM($E1845:$J1845))</f>
        <v/>
      </c>
      <c r="M1845">
        <f>IF($A1845="","",MAX(0,ROUNDUP(DASHBOARD!$F$3-$D1845,0)))</f>
        <v/>
      </c>
      <c r="N1845">
        <f>IF($A1845="","",$K1845+(5002-ROW())/10000)</f>
        <v/>
      </c>
    </row>
    <row r="1846">
      <c r="K1846">
        <f>IF($A1846="","",SUM($E1846:$J1846))</f>
        <v/>
      </c>
      <c r="M1846">
        <f>IF($A1846="","",MAX(0,ROUNDUP(DASHBOARD!$F$3-$D1846,0)))</f>
        <v/>
      </c>
      <c r="N1846">
        <f>IF($A1846="","",$K1846+(5002-ROW())/10000)</f>
        <v/>
      </c>
    </row>
    <row r="1847">
      <c r="K1847">
        <f>IF($A1847="","",SUM($E1847:$J1847))</f>
        <v/>
      </c>
      <c r="M1847">
        <f>IF($A1847="","",MAX(0,ROUNDUP(DASHBOARD!$F$3-$D1847,0)))</f>
        <v/>
      </c>
      <c r="N1847">
        <f>IF($A1847="","",$K1847+(5002-ROW())/10000)</f>
        <v/>
      </c>
    </row>
    <row r="1848">
      <c r="K1848">
        <f>IF($A1848="","",SUM($E1848:$J1848))</f>
        <v/>
      </c>
      <c r="M1848">
        <f>IF($A1848="","",MAX(0,ROUNDUP(DASHBOARD!$F$3-$D1848,0)))</f>
        <v/>
      </c>
      <c r="N1848">
        <f>IF($A1848="","",$K1848+(5002-ROW())/10000)</f>
        <v/>
      </c>
    </row>
    <row r="1849">
      <c r="K1849">
        <f>IF($A1849="","",SUM($E1849:$J1849))</f>
        <v/>
      </c>
      <c r="M1849">
        <f>IF($A1849="","",MAX(0,ROUNDUP(DASHBOARD!$F$3-$D1849,0)))</f>
        <v/>
      </c>
      <c r="N1849">
        <f>IF($A1849="","",$K1849+(5002-ROW())/10000)</f>
        <v/>
      </c>
    </row>
    <row r="1850">
      <c r="K1850">
        <f>IF($A1850="","",SUM($E1850:$J1850))</f>
        <v/>
      </c>
      <c r="M1850">
        <f>IF($A1850="","",MAX(0,ROUNDUP(DASHBOARD!$F$3-$D1850,0)))</f>
        <v/>
      </c>
      <c r="N1850">
        <f>IF($A1850="","",$K1850+(5002-ROW())/10000)</f>
        <v/>
      </c>
    </row>
    <row r="1851">
      <c r="K1851">
        <f>IF($A1851="","",SUM($E1851:$J1851))</f>
        <v/>
      </c>
      <c r="M1851">
        <f>IF($A1851="","",MAX(0,ROUNDUP(DASHBOARD!$F$3-$D1851,0)))</f>
        <v/>
      </c>
      <c r="N1851">
        <f>IF($A1851="","",$K1851+(5002-ROW())/10000)</f>
        <v/>
      </c>
    </row>
    <row r="1852">
      <c r="K1852">
        <f>IF($A1852="","",SUM($E1852:$J1852))</f>
        <v/>
      </c>
      <c r="M1852">
        <f>IF($A1852="","",MAX(0,ROUNDUP(DASHBOARD!$F$3-$D1852,0)))</f>
        <v/>
      </c>
      <c r="N1852">
        <f>IF($A1852="","",$K1852+(5002-ROW())/10000)</f>
        <v/>
      </c>
    </row>
    <row r="1853">
      <c r="K1853">
        <f>IF($A1853="","",SUM($E1853:$J1853))</f>
        <v/>
      </c>
      <c r="M1853">
        <f>IF($A1853="","",MAX(0,ROUNDUP(DASHBOARD!$F$3-$D1853,0)))</f>
        <v/>
      </c>
      <c r="N1853">
        <f>IF($A1853="","",$K1853+(5002-ROW())/10000)</f>
        <v/>
      </c>
    </row>
    <row r="1854">
      <c r="K1854">
        <f>IF($A1854="","",SUM($E1854:$J1854))</f>
        <v/>
      </c>
      <c r="M1854">
        <f>IF($A1854="","",MAX(0,ROUNDUP(DASHBOARD!$F$3-$D1854,0)))</f>
        <v/>
      </c>
      <c r="N1854">
        <f>IF($A1854="","",$K1854+(5002-ROW())/10000)</f>
        <v/>
      </c>
    </row>
    <row r="1855">
      <c r="K1855">
        <f>IF($A1855="","",SUM($E1855:$J1855))</f>
        <v/>
      </c>
      <c r="M1855">
        <f>IF($A1855="","",MAX(0,ROUNDUP(DASHBOARD!$F$3-$D1855,0)))</f>
        <v/>
      </c>
      <c r="N1855">
        <f>IF($A1855="","",$K1855+(5002-ROW())/10000)</f>
        <v/>
      </c>
    </row>
    <row r="1856">
      <c r="K1856">
        <f>IF($A1856="","",SUM($E1856:$J1856))</f>
        <v/>
      </c>
      <c r="M1856">
        <f>IF($A1856="","",MAX(0,ROUNDUP(DASHBOARD!$F$3-$D1856,0)))</f>
        <v/>
      </c>
      <c r="N1856">
        <f>IF($A1856="","",$K1856+(5002-ROW())/10000)</f>
        <v/>
      </c>
    </row>
    <row r="1857">
      <c r="K1857">
        <f>IF($A1857="","",SUM($E1857:$J1857))</f>
        <v/>
      </c>
      <c r="M1857">
        <f>IF($A1857="","",MAX(0,ROUNDUP(DASHBOARD!$F$3-$D1857,0)))</f>
        <v/>
      </c>
      <c r="N1857">
        <f>IF($A1857="","",$K1857+(5002-ROW())/10000)</f>
        <v/>
      </c>
    </row>
    <row r="1858">
      <c r="K1858">
        <f>IF($A1858="","",SUM($E1858:$J1858))</f>
        <v/>
      </c>
      <c r="M1858">
        <f>IF($A1858="","",MAX(0,ROUNDUP(DASHBOARD!$F$3-$D1858,0)))</f>
        <v/>
      </c>
      <c r="N1858">
        <f>IF($A1858="","",$K1858+(5002-ROW())/10000)</f>
        <v/>
      </c>
    </row>
    <row r="1859">
      <c r="K1859">
        <f>IF($A1859="","",SUM($E1859:$J1859))</f>
        <v/>
      </c>
      <c r="M1859">
        <f>IF($A1859="","",MAX(0,ROUNDUP(DASHBOARD!$F$3-$D1859,0)))</f>
        <v/>
      </c>
      <c r="N1859">
        <f>IF($A1859="","",$K1859+(5002-ROW())/10000)</f>
        <v/>
      </c>
    </row>
    <row r="1860">
      <c r="K1860">
        <f>IF($A1860="","",SUM($E1860:$J1860))</f>
        <v/>
      </c>
      <c r="M1860">
        <f>IF($A1860="","",MAX(0,ROUNDUP(DASHBOARD!$F$3-$D1860,0)))</f>
        <v/>
      </c>
      <c r="N1860">
        <f>IF($A1860="","",$K1860+(5002-ROW())/10000)</f>
        <v/>
      </c>
    </row>
    <row r="1861">
      <c r="K1861">
        <f>IF($A1861="","",SUM($E1861:$J1861))</f>
        <v/>
      </c>
      <c r="M1861">
        <f>IF($A1861="","",MAX(0,ROUNDUP(DASHBOARD!$F$3-$D1861,0)))</f>
        <v/>
      </c>
      <c r="N1861">
        <f>IF($A1861="","",$K1861+(5002-ROW())/10000)</f>
        <v/>
      </c>
    </row>
    <row r="1862">
      <c r="K1862">
        <f>IF($A1862="","",SUM($E1862:$J1862))</f>
        <v/>
      </c>
      <c r="M1862">
        <f>IF($A1862="","",MAX(0,ROUNDUP(DASHBOARD!$F$3-$D1862,0)))</f>
        <v/>
      </c>
      <c r="N1862">
        <f>IF($A1862="","",$K1862+(5002-ROW())/10000)</f>
        <v/>
      </c>
    </row>
    <row r="1863">
      <c r="K1863">
        <f>IF($A1863="","",SUM($E1863:$J1863))</f>
        <v/>
      </c>
      <c r="M1863">
        <f>IF($A1863="","",MAX(0,ROUNDUP(DASHBOARD!$F$3-$D1863,0)))</f>
        <v/>
      </c>
      <c r="N1863">
        <f>IF($A1863="","",$K1863+(5002-ROW())/10000)</f>
        <v/>
      </c>
    </row>
    <row r="1864">
      <c r="K1864">
        <f>IF($A1864="","",SUM($E1864:$J1864))</f>
        <v/>
      </c>
      <c r="M1864">
        <f>IF($A1864="","",MAX(0,ROUNDUP(DASHBOARD!$F$3-$D1864,0)))</f>
        <v/>
      </c>
      <c r="N1864">
        <f>IF($A1864="","",$K1864+(5002-ROW())/10000)</f>
        <v/>
      </c>
    </row>
    <row r="1865">
      <c r="K1865">
        <f>IF($A1865="","",SUM($E1865:$J1865))</f>
        <v/>
      </c>
      <c r="M1865">
        <f>IF($A1865="","",MAX(0,ROUNDUP(DASHBOARD!$F$3-$D1865,0)))</f>
        <v/>
      </c>
      <c r="N1865">
        <f>IF($A1865="","",$K1865+(5002-ROW())/10000)</f>
        <v/>
      </c>
    </row>
    <row r="1866">
      <c r="K1866">
        <f>IF($A1866="","",SUM($E1866:$J1866))</f>
        <v/>
      </c>
      <c r="M1866">
        <f>IF($A1866="","",MAX(0,ROUNDUP(DASHBOARD!$F$3-$D1866,0)))</f>
        <v/>
      </c>
      <c r="N1866">
        <f>IF($A1866="","",$K1866+(5002-ROW())/10000)</f>
        <v/>
      </c>
    </row>
    <row r="1867">
      <c r="K1867">
        <f>IF($A1867="","",SUM($E1867:$J1867))</f>
        <v/>
      </c>
      <c r="M1867">
        <f>IF($A1867="","",MAX(0,ROUNDUP(DASHBOARD!$F$3-$D1867,0)))</f>
        <v/>
      </c>
      <c r="N1867">
        <f>IF($A1867="","",$K1867+(5002-ROW())/10000)</f>
        <v/>
      </c>
    </row>
    <row r="1868">
      <c r="K1868">
        <f>IF($A1868="","",SUM($E1868:$J1868))</f>
        <v/>
      </c>
      <c r="M1868">
        <f>IF($A1868="","",MAX(0,ROUNDUP(DASHBOARD!$F$3-$D1868,0)))</f>
        <v/>
      </c>
      <c r="N1868">
        <f>IF($A1868="","",$K1868+(5002-ROW())/10000)</f>
        <v/>
      </c>
    </row>
    <row r="1869">
      <c r="K1869">
        <f>IF($A1869="","",SUM($E1869:$J1869))</f>
        <v/>
      </c>
      <c r="M1869">
        <f>IF($A1869="","",MAX(0,ROUNDUP(DASHBOARD!$F$3-$D1869,0)))</f>
        <v/>
      </c>
      <c r="N1869">
        <f>IF($A1869="","",$K1869+(5002-ROW())/10000)</f>
        <v/>
      </c>
    </row>
    <row r="1870">
      <c r="K1870">
        <f>IF($A1870="","",SUM($E1870:$J1870))</f>
        <v/>
      </c>
      <c r="M1870">
        <f>IF($A1870="","",MAX(0,ROUNDUP(DASHBOARD!$F$3-$D1870,0)))</f>
        <v/>
      </c>
      <c r="N1870">
        <f>IF($A1870="","",$K1870+(5002-ROW())/10000)</f>
        <v/>
      </c>
    </row>
    <row r="1871">
      <c r="K1871">
        <f>IF($A1871="","",SUM($E1871:$J1871))</f>
        <v/>
      </c>
      <c r="M1871">
        <f>IF($A1871="","",MAX(0,ROUNDUP(DASHBOARD!$F$3-$D1871,0)))</f>
        <v/>
      </c>
      <c r="N1871">
        <f>IF($A1871="","",$K1871+(5002-ROW())/10000)</f>
        <v/>
      </c>
    </row>
    <row r="1872">
      <c r="K1872">
        <f>IF($A1872="","",SUM($E1872:$J1872))</f>
        <v/>
      </c>
      <c r="M1872">
        <f>IF($A1872="","",MAX(0,ROUNDUP(DASHBOARD!$F$3-$D1872,0)))</f>
        <v/>
      </c>
      <c r="N1872">
        <f>IF($A1872="","",$K1872+(5002-ROW())/10000)</f>
        <v/>
      </c>
    </row>
    <row r="1873">
      <c r="K1873">
        <f>IF($A1873="","",SUM($E1873:$J1873))</f>
        <v/>
      </c>
      <c r="M1873">
        <f>IF($A1873="","",MAX(0,ROUNDUP(DASHBOARD!$F$3-$D1873,0)))</f>
        <v/>
      </c>
      <c r="N1873">
        <f>IF($A1873="","",$K1873+(5002-ROW())/10000)</f>
        <v/>
      </c>
    </row>
    <row r="1874">
      <c r="K1874">
        <f>IF($A1874="","",SUM($E1874:$J1874))</f>
        <v/>
      </c>
      <c r="M1874">
        <f>IF($A1874="","",MAX(0,ROUNDUP(DASHBOARD!$F$3-$D1874,0)))</f>
        <v/>
      </c>
      <c r="N1874">
        <f>IF($A1874="","",$K1874+(5002-ROW())/10000)</f>
        <v/>
      </c>
    </row>
    <row r="1875">
      <c r="K1875">
        <f>IF($A1875="","",SUM($E1875:$J1875))</f>
        <v/>
      </c>
      <c r="M1875">
        <f>IF($A1875="","",MAX(0,ROUNDUP(DASHBOARD!$F$3-$D1875,0)))</f>
        <v/>
      </c>
      <c r="N1875">
        <f>IF($A1875="","",$K1875+(5002-ROW())/10000)</f>
        <v/>
      </c>
    </row>
    <row r="1876">
      <c r="K1876">
        <f>IF($A1876="","",SUM($E1876:$J1876))</f>
        <v/>
      </c>
      <c r="M1876">
        <f>IF($A1876="","",MAX(0,ROUNDUP(DASHBOARD!$F$3-$D1876,0)))</f>
        <v/>
      </c>
      <c r="N1876">
        <f>IF($A1876="","",$K1876+(5002-ROW())/10000)</f>
        <v/>
      </c>
    </row>
    <row r="1877">
      <c r="K1877">
        <f>IF($A1877="","",SUM($E1877:$J1877))</f>
        <v/>
      </c>
      <c r="M1877">
        <f>IF($A1877="","",MAX(0,ROUNDUP(DASHBOARD!$F$3-$D1877,0)))</f>
        <v/>
      </c>
      <c r="N1877">
        <f>IF($A1877="","",$K1877+(5002-ROW())/10000)</f>
        <v/>
      </c>
    </row>
    <row r="1878">
      <c r="K1878">
        <f>IF($A1878="","",SUM($E1878:$J1878))</f>
        <v/>
      </c>
      <c r="M1878">
        <f>IF($A1878="","",MAX(0,ROUNDUP(DASHBOARD!$F$3-$D1878,0)))</f>
        <v/>
      </c>
      <c r="N1878">
        <f>IF($A1878="","",$K1878+(5002-ROW())/10000)</f>
        <v/>
      </c>
    </row>
    <row r="1879">
      <c r="K1879">
        <f>IF($A1879="","",SUM($E1879:$J1879))</f>
        <v/>
      </c>
      <c r="M1879">
        <f>IF($A1879="","",MAX(0,ROUNDUP(DASHBOARD!$F$3-$D1879,0)))</f>
        <v/>
      </c>
      <c r="N1879">
        <f>IF($A1879="","",$K1879+(5002-ROW())/10000)</f>
        <v/>
      </c>
    </row>
    <row r="1880">
      <c r="K1880">
        <f>IF($A1880="","",SUM($E1880:$J1880))</f>
        <v/>
      </c>
      <c r="M1880">
        <f>IF($A1880="","",MAX(0,ROUNDUP(DASHBOARD!$F$3-$D1880,0)))</f>
        <v/>
      </c>
      <c r="N1880">
        <f>IF($A1880="","",$K1880+(5002-ROW())/10000)</f>
        <v/>
      </c>
    </row>
    <row r="1881">
      <c r="K1881">
        <f>IF($A1881="","",SUM($E1881:$J1881))</f>
        <v/>
      </c>
      <c r="M1881">
        <f>IF($A1881="","",MAX(0,ROUNDUP(DASHBOARD!$F$3-$D1881,0)))</f>
        <v/>
      </c>
      <c r="N1881">
        <f>IF($A1881="","",$K1881+(5002-ROW())/10000)</f>
        <v/>
      </c>
    </row>
    <row r="1882">
      <c r="K1882">
        <f>IF($A1882="","",SUM($E1882:$J1882))</f>
        <v/>
      </c>
      <c r="M1882">
        <f>IF($A1882="","",MAX(0,ROUNDUP(DASHBOARD!$F$3-$D1882,0)))</f>
        <v/>
      </c>
      <c r="N1882">
        <f>IF($A1882="","",$K1882+(5002-ROW())/10000)</f>
        <v/>
      </c>
    </row>
    <row r="1883">
      <c r="K1883">
        <f>IF($A1883="","",SUM($E1883:$J1883))</f>
        <v/>
      </c>
      <c r="M1883">
        <f>IF($A1883="","",MAX(0,ROUNDUP(DASHBOARD!$F$3-$D1883,0)))</f>
        <v/>
      </c>
      <c r="N1883">
        <f>IF($A1883="","",$K1883+(5002-ROW())/10000)</f>
        <v/>
      </c>
    </row>
    <row r="1884">
      <c r="K1884">
        <f>IF($A1884="","",SUM($E1884:$J1884))</f>
        <v/>
      </c>
      <c r="M1884">
        <f>IF($A1884="","",MAX(0,ROUNDUP(DASHBOARD!$F$3-$D1884,0)))</f>
        <v/>
      </c>
      <c r="N1884">
        <f>IF($A1884="","",$K1884+(5002-ROW())/10000)</f>
        <v/>
      </c>
    </row>
    <row r="1885">
      <c r="K1885">
        <f>IF($A1885="","",SUM($E1885:$J1885))</f>
        <v/>
      </c>
      <c r="M1885">
        <f>IF($A1885="","",MAX(0,ROUNDUP(DASHBOARD!$F$3-$D1885,0)))</f>
        <v/>
      </c>
      <c r="N1885">
        <f>IF($A1885="","",$K1885+(5002-ROW())/10000)</f>
        <v/>
      </c>
    </row>
    <row r="1886">
      <c r="K1886">
        <f>IF($A1886="","",SUM($E1886:$J1886))</f>
        <v/>
      </c>
      <c r="M1886">
        <f>IF($A1886="","",MAX(0,ROUNDUP(DASHBOARD!$F$3-$D1886,0)))</f>
        <v/>
      </c>
      <c r="N1886">
        <f>IF($A1886="","",$K1886+(5002-ROW())/10000)</f>
        <v/>
      </c>
    </row>
    <row r="1887">
      <c r="K1887">
        <f>IF($A1887="","",SUM($E1887:$J1887))</f>
        <v/>
      </c>
      <c r="M1887">
        <f>IF($A1887="","",MAX(0,ROUNDUP(DASHBOARD!$F$3-$D1887,0)))</f>
        <v/>
      </c>
      <c r="N1887">
        <f>IF($A1887="","",$K1887+(5002-ROW())/10000)</f>
        <v/>
      </c>
    </row>
    <row r="1888">
      <c r="K1888">
        <f>IF($A1888="","",SUM($E1888:$J1888))</f>
        <v/>
      </c>
      <c r="M1888">
        <f>IF($A1888="","",MAX(0,ROUNDUP(DASHBOARD!$F$3-$D1888,0)))</f>
        <v/>
      </c>
      <c r="N1888">
        <f>IF($A1888="","",$K1888+(5002-ROW())/10000)</f>
        <v/>
      </c>
    </row>
    <row r="1889">
      <c r="K1889">
        <f>IF($A1889="","",SUM($E1889:$J1889))</f>
        <v/>
      </c>
      <c r="M1889">
        <f>IF($A1889="","",MAX(0,ROUNDUP(DASHBOARD!$F$3-$D1889,0)))</f>
        <v/>
      </c>
      <c r="N1889">
        <f>IF($A1889="","",$K1889+(5002-ROW())/10000)</f>
        <v/>
      </c>
    </row>
    <row r="1890">
      <c r="K1890">
        <f>IF($A1890="","",SUM($E1890:$J1890))</f>
        <v/>
      </c>
      <c r="M1890">
        <f>IF($A1890="","",MAX(0,ROUNDUP(DASHBOARD!$F$3-$D1890,0)))</f>
        <v/>
      </c>
      <c r="N1890">
        <f>IF($A1890="","",$K1890+(5002-ROW())/10000)</f>
        <v/>
      </c>
    </row>
    <row r="1891">
      <c r="K1891">
        <f>IF($A1891="","",SUM($E1891:$J1891))</f>
        <v/>
      </c>
      <c r="M1891">
        <f>IF($A1891="","",MAX(0,ROUNDUP(DASHBOARD!$F$3-$D1891,0)))</f>
        <v/>
      </c>
      <c r="N1891">
        <f>IF($A1891="","",$K1891+(5002-ROW())/10000)</f>
        <v/>
      </c>
    </row>
    <row r="1892">
      <c r="K1892">
        <f>IF($A1892="","",SUM($E1892:$J1892))</f>
        <v/>
      </c>
      <c r="M1892">
        <f>IF($A1892="","",MAX(0,ROUNDUP(DASHBOARD!$F$3-$D1892,0)))</f>
        <v/>
      </c>
      <c r="N1892">
        <f>IF($A1892="","",$K1892+(5002-ROW())/10000)</f>
        <v/>
      </c>
    </row>
    <row r="1893">
      <c r="K1893">
        <f>IF($A1893="","",SUM($E1893:$J1893))</f>
        <v/>
      </c>
      <c r="M1893">
        <f>IF($A1893="","",MAX(0,ROUNDUP(DASHBOARD!$F$3-$D1893,0)))</f>
        <v/>
      </c>
      <c r="N1893">
        <f>IF($A1893="","",$K1893+(5002-ROW())/10000)</f>
        <v/>
      </c>
    </row>
    <row r="1894">
      <c r="K1894">
        <f>IF($A1894="","",SUM($E1894:$J1894))</f>
        <v/>
      </c>
      <c r="M1894">
        <f>IF($A1894="","",MAX(0,ROUNDUP(DASHBOARD!$F$3-$D1894,0)))</f>
        <v/>
      </c>
      <c r="N1894">
        <f>IF($A1894="","",$K1894+(5002-ROW())/10000)</f>
        <v/>
      </c>
    </row>
    <row r="1895">
      <c r="K1895">
        <f>IF($A1895="","",SUM($E1895:$J1895))</f>
        <v/>
      </c>
      <c r="M1895">
        <f>IF($A1895="","",MAX(0,ROUNDUP(DASHBOARD!$F$3-$D1895,0)))</f>
        <v/>
      </c>
      <c r="N1895">
        <f>IF($A1895="","",$K1895+(5002-ROW())/10000)</f>
        <v/>
      </c>
    </row>
    <row r="1896">
      <c r="K1896">
        <f>IF($A1896="","",SUM($E1896:$J1896))</f>
        <v/>
      </c>
      <c r="M1896">
        <f>IF($A1896="","",MAX(0,ROUNDUP(DASHBOARD!$F$3-$D1896,0)))</f>
        <v/>
      </c>
      <c r="N1896">
        <f>IF($A1896="","",$K1896+(5002-ROW())/10000)</f>
        <v/>
      </c>
    </row>
    <row r="1897">
      <c r="K1897">
        <f>IF($A1897="","",SUM($E1897:$J1897))</f>
        <v/>
      </c>
      <c r="M1897">
        <f>IF($A1897="","",MAX(0,ROUNDUP(DASHBOARD!$F$3-$D1897,0)))</f>
        <v/>
      </c>
      <c r="N1897">
        <f>IF($A1897="","",$K1897+(5002-ROW())/10000)</f>
        <v/>
      </c>
    </row>
    <row r="1898">
      <c r="K1898">
        <f>IF($A1898="","",SUM($E1898:$J1898))</f>
        <v/>
      </c>
      <c r="M1898">
        <f>IF($A1898="","",MAX(0,ROUNDUP(DASHBOARD!$F$3-$D1898,0)))</f>
        <v/>
      </c>
      <c r="N1898">
        <f>IF($A1898="","",$K1898+(5002-ROW())/10000)</f>
        <v/>
      </c>
    </row>
    <row r="1899">
      <c r="K1899">
        <f>IF($A1899="","",SUM($E1899:$J1899))</f>
        <v/>
      </c>
      <c r="M1899">
        <f>IF($A1899="","",MAX(0,ROUNDUP(DASHBOARD!$F$3-$D1899,0)))</f>
        <v/>
      </c>
      <c r="N1899">
        <f>IF($A1899="","",$K1899+(5002-ROW())/10000)</f>
        <v/>
      </c>
    </row>
    <row r="1900">
      <c r="K1900">
        <f>IF($A1900="","",SUM($E1900:$J1900))</f>
        <v/>
      </c>
      <c r="M1900">
        <f>IF($A1900="","",MAX(0,ROUNDUP(DASHBOARD!$F$3-$D1900,0)))</f>
        <v/>
      </c>
      <c r="N1900">
        <f>IF($A1900="","",$K1900+(5002-ROW())/10000)</f>
        <v/>
      </c>
    </row>
    <row r="1901">
      <c r="K1901">
        <f>IF($A1901="","",SUM($E1901:$J1901))</f>
        <v/>
      </c>
      <c r="M1901">
        <f>IF($A1901="","",MAX(0,ROUNDUP(DASHBOARD!$F$3-$D1901,0)))</f>
        <v/>
      </c>
      <c r="N1901">
        <f>IF($A1901="","",$K1901+(5002-ROW())/10000)</f>
        <v/>
      </c>
    </row>
    <row r="1902">
      <c r="K1902">
        <f>IF($A1902="","",SUM($E1902:$J1902))</f>
        <v/>
      </c>
      <c r="M1902">
        <f>IF($A1902="","",MAX(0,ROUNDUP(DASHBOARD!$F$3-$D1902,0)))</f>
        <v/>
      </c>
      <c r="N1902">
        <f>IF($A1902="","",$K1902+(5002-ROW())/10000)</f>
        <v/>
      </c>
    </row>
    <row r="1903">
      <c r="K1903">
        <f>IF($A1903="","",SUM($E1903:$J1903))</f>
        <v/>
      </c>
      <c r="M1903">
        <f>IF($A1903="","",MAX(0,ROUNDUP(DASHBOARD!$F$3-$D1903,0)))</f>
        <v/>
      </c>
      <c r="N1903">
        <f>IF($A1903="","",$K1903+(5002-ROW())/10000)</f>
        <v/>
      </c>
    </row>
    <row r="1904">
      <c r="K1904">
        <f>IF($A1904="","",SUM($E1904:$J1904))</f>
        <v/>
      </c>
      <c r="M1904">
        <f>IF($A1904="","",MAX(0,ROUNDUP(DASHBOARD!$F$3-$D1904,0)))</f>
        <v/>
      </c>
      <c r="N1904">
        <f>IF($A1904="","",$K1904+(5002-ROW())/10000)</f>
        <v/>
      </c>
    </row>
    <row r="1905">
      <c r="K1905">
        <f>IF($A1905="","",SUM($E1905:$J1905))</f>
        <v/>
      </c>
      <c r="M1905">
        <f>IF($A1905="","",MAX(0,ROUNDUP(DASHBOARD!$F$3-$D1905,0)))</f>
        <v/>
      </c>
      <c r="N1905">
        <f>IF($A1905="","",$K1905+(5002-ROW())/10000)</f>
        <v/>
      </c>
    </row>
    <row r="1906">
      <c r="K1906">
        <f>IF($A1906="","",SUM($E1906:$J1906))</f>
        <v/>
      </c>
      <c r="M1906">
        <f>IF($A1906="","",MAX(0,ROUNDUP(DASHBOARD!$F$3-$D1906,0)))</f>
        <v/>
      </c>
      <c r="N1906">
        <f>IF($A1906="","",$K1906+(5002-ROW())/10000)</f>
        <v/>
      </c>
    </row>
    <row r="1907">
      <c r="K1907">
        <f>IF($A1907="","",SUM($E1907:$J1907))</f>
        <v/>
      </c>
      <c r="M1907">
        <f>IF($A1907="","",MAX(0,ROUNDUP(DASHBOARD!$F$3-$D1907,0)))</f>
        <v/>
      </c>
      <c r="N1907">
        <f>IF($A1907="","",$K1907+(5002-ROW())/10000)</f>
        <v/>
      </c>
    </row>
    <row r="1908">
      <c r="K1908">
        <f>IF($A1908="","",SUM($E1908:$J1908))</f>
        <v/>
      </c>
      <c r="M1908">
        <f>IF($A1908="","",MAX(0,ROUNDUP(DASHBOARD!$F$3-$D1908,0)))</f>
        <v/>
      </c>
      <c r="N1908">
        <f>IF($A1908="","",$K1908+(5002-ROW())/10000)</f>
        <v/>
      </c>
    </row>
    <row r="1909">
      <c r="K1909">
        <f>IF($A1909="","",SUM($E1909:$J1909))</f>
        <v/>
      </c>
      <c r="M1909">
        <f>IF($A1909="","",MAX(0,ROUNDUP(DASHBOARD!$F$3-$D1909,0)))</f>
        <v/>
      </c>
      <c r="N1909">
        <f>IF($A1909="","",$K1909+(5002-ROW())/10000)</f>
        <v/>
      </c>
    </row>
    <row r="1910">
      <c r="K1910">
        <f>IF($A1910="","",SUM($E1910:$J1910))</f>
        <v/>
      </c>
      <c r="M1910">
        <f>IF($A1910="","",MAX(0,ROUNDUP(DASHBOARD!$F$3-$D1910,0)))</f>
        <v/>
      </c>
      <c r="N1910">
        <f>IF($A1910="","",$K1910+(5002-ROW())/10000)</f>
        <v/>
      </c>
    </row>
    <row r="1911">
      <c r="K1911">
        <f>IF($A1911="","",SUM($E1911:$J1911))</f>
        <v/>
      </c>
      <c r="M1911">
        <f>IF($A1911="","",MAX(0,ROUNDUP(DASHBOARD!$F$3-$D1911,0)))</f>
        <v/>
      </c>
      <c r="N1911">
        <f>IF($A1911="","",$K1911+(5002-ROW())/10000)</f>
        <v/>
      </c>
    </row>
    <row r="1912">
      <c r="K1912">
        <f>IF($A1912="","",SUM($E1912:$J1912))</f>
        <v/>
      </c>
      <c r="M1912">
        <f>IF($A1912="","",MAX(0,ROUNDUP(DASHBOARD!$F$3-$D1912,0)))</f>
        <v/>
      </c>
      <c r="N1912">
        <f>IF($A1912="","",$K1912+(5002-ROW())/10000)</f>
        <v/>
      </c>
    </row>
    <row r="1913">
      <c r="K1913">
        <f>IF($A1913="","",SUM($E1913:$J1913))</f>
        <v/>
      </c>
      <c r="M1913">
        <f>IF($A1913="","",MAX(0,ROUNDUP(DASHBOARD!$F$3-$D1913,0)))</f>
        <v/>
      </c>
      <c r="N1913">
        <f>IF($A1913="","",$K1913+(5002-ROW())/10000)</f>
        <v/>
      </c>
    </row>
    <row r="1914">
      <c r="K1914">
        <f>IF($A1914="","",SUM($E1914:$J1914))</f>
        <v/>
      </c>
      <c r="M1914">
        <f>IF($A1914="","",MAX(0,ROUNDUP(DASHBOARD!$F$3-$D1914,0)))</f>
        <v/>
      </c>
      <c r="N1914">
        <f>IF($A1914="","",$K1914+(5002-ROW())/10000)</f>
        <v/>
      </c>
    </row>
    <row r="1915">
      <c r="K1915">
        <f>IF($A1915="","",SUM($E1915:$J1915))</f>
        <v/>
      </c>
      <c r="M1915">
        <f>IF($A1915="","",MAX(0,ROUNDUP(DASHBOARD!$F$3-$D1915,0)))</f>
        <v/>
      </c>
      <c r="N1915">
        <f>IF($A1915="","",$K1915+(5002-ROW())/10000)</f>
        <v/>
      </c>
    </row>
    <row r="1916">
      <c r="K1916">
        <f>IF($A1916="","",SUM($E1916:$J1916))</f>
        <v/>
      </c>
      <c r="M1916">
        <f>IF($A1916="","",MAX(0,ROUNDUP(DASHBOARD!$F$3-$D1916,0)))</f>
        <v/>
      </c>
      <c r="N1916">
        <f>IF($A1916="","",$K1916+(5002-ROW())/10000)</f>
        <v/>
      </c>
    </row>
    <row r="1917">
      <c r="K1917">
        <f>IF($A1917="","",SUM($E1917:$J1917))</f>
        <v/>
      </c>
      <c r="M1917">
        <f>IF($A1917="","",MAX(0,ROUNDUP(DASHBOARD!$F$3-$D1917,0)))</f>
        <v/>
      </c>
      <c r="N1917">
        <f>IF($A1917="","",$K1917+(5002-ROW())/10000)</f>
        <v/>
      </c>
    </row>
    <row r="1918">
      <c r="K1918">
        <f>IF($A1918="","",SUM($E1918:$J1918))</f>
        <v/>
      </c>
      <c r="M1918">
        <f>IF($A1918="","",MAX(0,ROUNDUP(DASHBOARD!$F$3-$D1918,0)))</f>
        <v/>
      </c>
      <c r="N1918">
        <f>IF($A1918="","",$K1918+(5002-ROW())/10000)</f>
        <v/>
      </c>
    </row>
    <row r="1919">
      <c r="K1919">
        <f>IF($A1919="","",SUM($E1919:$J1919))</f>
        <v/>
      </c>
      <c r="M1919">
        <f>IF($A1919="","",MAX(0,ROUNDUP(DASHBOARD!$F$3-$D1919,0)))</f>
        <v/>
      </c>
      <c r="N1919">
        <f>IF($A1919="","",$K1919+(5002-ROW())/10000)</f>
        <v/>
      </c>
    </row>
    <row r="1920">
      <c r="K1920">
        <f>IF($A1920="","",SUM($E1920:$J1920))</f>
        <v/>
      </c>
      <c r="M1920">
        <f>IF($A1920="","",MAX(0,ROUNDUP(DASHBOARD!$F$3-$D1920,0)))</f>
        <v/>
      </c>
      <c r="N1920">
        <f>IF($A1920="","",$K1920+(5002-ROW())/10000)</f>
        <v/>
      </c>
    </row>
    <row r="1921">
      <c r="K1921">
        <f>IF($A1921="","",SUM($E1921:$J1921))</f>
        <v/>
      </c>
      <c r="M1921">
        <f>IF($A1921="","",MAX(0,ROUNDUP(DASHBOARD!$F$3-$D1921,0)))</f>
        <v/>
      </c>
      <c r="N1921">
        <f>IF($A1921="","",$K1921+(5002-ROW())/10000)</f>
        <v/>
      </c>
    </row>
    <row r="1922">
      <c r="K1922">
        <f>IF($A1922="","",SUM($E1922:$J1922))</f>
        <v/>
      </c>
      <c r="M1922">
        <f>IF($A1922="","",MAX(0,ROUNDUP(DASHBOARD!$F$3-$D1922,0)))</f>
        <v/>
      </c>
      <c r="N1922">
        <f>IF($A1922="","",$K1922+(5002-ROW())/10000)</f>
        <v/>
      </c>
    </row>
    <row r="1923">
      <c r="K1923">
        <f>IF($A1923="","",SUM($E1923:$J1923))</f>
        <v/>
      </c>
      <c r="M1923">
        <f>IF($A1923="","",MAX(0,ROUNDUP(DASHBOARD!$F$3-$D1923,0)))</f>
        <v/>
      </c>
      <c r="N1923">
        <f>IF($A1923="","",$K1923+(5002-ROW())/10000)</f>
        <v/>
      </c>
    </row>
    <row r="1924">
      <c r="K1924">
        <f>IF($A1924="","",SUM($E1924:$J1924))</f>
        <v/>
      </c>
      <c r="M1924">
        <f>IF($A1924="","",MAX(0,ROUNDUP(DASHBOARD!$F$3-$D1924,0)))</f>
        <v/>
      </c>
      <c r="N1924">
        <f>IF($A1924="","",$K1924+(5002-ROW())/10000)</f>
        <v/>
      </c>
    </row>
    <row r="1925">
      <c r="K1925">
        <f>IF($A1925="","",SUM($E1925:$J1925))</f>
        <v/>
      </c>
      <c r="M1925">
        <f>IF($A1925="","",MAX(0,ROUNDUP(DASHBOARD!$F$3-$D1925,0)))</f>
        <v/>
      </c>
      <c r="N1925">
        <f>IF($A1925="","",$K1925+(5002-ROW())/10000)</f>
        <v/>
      </c>
    </row>
    <row r="1926">
      <c r="K1926">
        <f>IF($A1926="","",SUM($E1926:$J1926))</f>
        <v/>
      </c>
      <c r="M1926">
        <f>IF($A1926="","",MAX(0,ROUNDUP(DASHBOARD!$F$3-$D1926,0)))</f>
        <v/>
      </c>
      <c r="N1926">
        <f>IF($A1926="","",$K1926+(5002-ROW())/10000)</f>
        <v/>
      </c>
    </row>
    <row r="1927">
      <c r="K1927">
        <f>IF($A1927="","",SUM($E1927:$J1927))</f>
        <v/>
      </c>
      <c r="M1927">
        <f>IF($A1927="","",MAX(0,ROUNDUP(DASHBOARD!$F$3-$D1927,0)))</f>
        <v/>
      </c>
      <c r="N1927">
        <f>IF($A1927="","",$K1927+(5002-ROW())/10000)</f>
        <v/>
      </c>
    </row>
    <row r="1928">
      <c r="K1928">
        <f>IF($A1928="","",SUM($E1928:$J1928))</f>
        <v/>
      </c>
      <c r="M1928">
        <f>IF($A1928="","",MAX(0,ROUNDUP(DASHBOARD!$F$3-$D1928,0)))</f>
        <v/>
      </c>
      <c r="N1928">
        <f>IF($A1928="","",$K1928+(5002-ROW())/10000)</f>
        <v/>
      </c>
    </row>
    <row r="1929">
      <c r="K1929">
        <f>IF($A1929="","",SUM($E1929:$J1929))</f>
        <v/>
      </c>
      <c r="M1929">
        <f>IF($A1929="","",MAX(0,ROUNDUP(DASHBOARD!$F$3-$D1929,0)))</f>
        <v/>
      </c>
      <c r="N1929">
        <f>IF($A1929="","",$K1929+(5002-ROW())/10000)</f>
        <v/>
      </c>
    </row>
    <row r="1930">
      <c r="K1930">
        <f>IF($A1930="","",SUM($E1930:$J1930))</f>
        <v/>
      </c>
      <c r="M1930">
        <f>IF($A1930="","",MAX(0,ROUNDUP(DASHBOARD!$F$3-$D1930,0)))</f>
        <v/>
      </c>
      <c r="N1930">
        <f>IF($A1930="","",$K1930+(5002-ROW())/10000)</f>
        <v/>
      </c>
    </row>
    <row r="1931">
      <c r="K1931">
        <f>IF($A1931="","",SUM($E1931:$J1931))</f>
        <v/>
      </c>
      <c r="M1931">
        <f>IF($A1931="","",MAX(0,ROUNDUP(DASHBOARD!$F$3-$D1931,0)))</f>
        <v/>
      </c>
      <c r="N1931">
        <f>IF($A1931="","",$K1931+(5002-ROW())/10000)</f>
        <v/>
      </c>
    </row>
    <row r="1932">
      <c r="K1932">
        <f>IF($A1932="","",SUM($E1932:$J1932))</f>
        <v/>
      </c>
      <c r="M1932">
        <f>IF($A1932="","",MAX(0,ROUNDUP(DASHBOARD!$F$3-$D1932,0)))</f>
        <v/>
      </c>
      <c r="N1932">
        <f>IF($A1932="","",$K1932+(5002-ROW())/10000)</f>
        <v/>
      </c>
    </row>
    <row r="1933">
      <c r="K1933">
        <f>IF($A1933="","",SUM($E1933:$J1933))</f>
        <v/>
      </c>
      <c r="M1933">
        <f>IF($A1933="","",MAX(0,ROUNDUP(DASHBOARD!$F$3-$D1933,0)))</f>
        <v/>
      </c>
      <c r="N1933">
        <f>IF($A1933="","",$K1933+(5002-ROW())/10000)</f>
        <v/>
      </c>
    </row>
    <row r="1934">
      <c r="K1934">
        <f>IF($A1934="","",SUM($E1934:$J1934))</f>
        <v/>
      </c>
      <c r="M1934">
        <f>IF($A1934="","",MAX(0,ROUNDUP(DASHBOARD!$F$3-$D1934,0)))</f>
        <v/>
      </c>
      <c r="N1934">
        <f>IF($A1934="","",$K1934+(5002-ROW())/10000)</f>
        <v/>
      </c>
    </row>
    <row r="1935">
      <c r="K1935">
        <f>IF($A1935="","",SUM($E1935:$J1935))</f>
        <v/>
      </c>
      <c r="M1935">
        <f>IF($A1935="","",MAX(0,ROUNDUP(DASHBOARD!$F$3-$D1935,0)))</f>
        <v/>
      </c>
      <c r="N1935">
        <f>IF($A1935="","",$K1935+(5002-ROW())/10000)</f>
        <v/>
      </c>
    </row>
    <row r="1936">
      <c r="K1936">
        <f>IF($A1936="","",SUM($E1936:$J1936))</f>
        <v/>
      </c>
      <c r="M1936">
        <f>IF($A1936="","",MAX(0,ROUNDUP(DASHBOARD!$F$3-$D1936,0)))</f>
        <v/>
      </c>
      <c r="N1936">
        <f>IF($A1936="","",$K1936+(5002-ROW())/10000)</f>
        <v/>
      </c>
    </row>
    <row r="1937">
      <c r="K1937">
        <f>IF($A1937="","",SUM($E1937:$J1937))</f>
        <v/>
      </c>
      <c r="M1937">
        <f>IF($A1937="","",MAX(0,ROUNDUP(DASHBOARD!$F$3-$D1937,0)))</f>
        <v/>
      </c>
      <c r="N1937">
        <f>IF($A1937="","",$K1937+(5002-ROW())/10000)</f>
        <v/>
      </c>
    </row>
    <row r="1938">
      <c r="K1938">
        <f>IF($A1938="","",SUM($E1938:$J1938))</f>
        <v/>
      </c>
      <c r="M1938">
        <f>IF($A1938="","",MAX(0,ROUNDUP(DASHBOARD!$F$3-$D1938,0)))</f>
        <v/>
      </c>
      <c r="N1938">
        <f>IF($A1938="","",$K1938+(5002-ROW())/10000)</f>
        <v/>
      </c>
    </row>
    <row r="1939">
      <c r="K1939">
        <f>IF($A1939="","",SUM($E1939:$J1939))</f>
        <v/>
      </c>
      <c r="M1939">
        <f>IF($A1939="","",MAX(0,ROUNDUP(DASHBOARD!$F$3-$D1939,0)))</f>
        <v/>
      </c>
      <c r="N1939">
        <f>IF($A1939="","",$K1939+(5002-ROW())/10000)</f>
        <v/>
      </c>
    </row>
    <row r="1940">
      <c r="K1940">
        <f>IF($A1940="","",SUM($E1940:$J1940))</f>
        <v/>
      </c>
      <c r="M1940">
        <f>IF($A1940="","",MAX(0,ROUNDUP(DASHBOARD!$F$3-$D1940,0)))</f>
        <v/>
      </c>
      <c r="N1940">
        <f>IF($A1940="","",$K1940+(5002-ROW())/10000)</f>
        <v/>
      </c>
    </row>
    <row r="1941">
      <c r="K1941">
        <f>IF($A1941="","",SUM($E1941:$J1941))</f>
        <v/>
      </c>
      <c r="M1941">
        <f>IF($A1941="","",MAX(0,ROUNDUP(DASHBOARD!$F$3-$D1941,0)))</f>
        <v/>
      </c>
      <c r="N1941">
        <f>IF($A1941="","",$K1941+(5002-ROW())/10000)</f>
        <v/>
      </c>
    </row>
    <row r="1942">
      <c r="K1942">
        <f>IF($A1942="","",SUM($E1942:$J1942))</f>
        <v/>
      </c>
      <c r="M1942">
        <f>IF($A1942="","",MAX(0,ROUNDUP(DASHBOARD!$F$3-$D1942,0)))</f>
        <v/>
      </c>
      <c r="N1942">
        <f>IF($A1942="","",$K1942+(5002-ROW())/10000)</f>
        <v/>
      </c>
    </row>
    <row r="1943">
      <c r="K1943">
        <f>IF($A1943="","",SUM($E1943:$J1943))</f>
        <v/>
      </c>
      <c r="M1943">
        <f>IF($A1943="","",MAX(0,ROUNDUP(DASHBOARD!$F$3-$D1943,0)))</f>
        <v/>
      </c>
      <c r="N1943">
        <f>IF($A1943="","",$K1943+(5002-ROW())/10000)</f>
        <v/>
      </c>
    </row>
    <row r="1944">
      <c r="K1944">
        <f>IF($A1944="","",SUM($E1944:$J1944))</f>
        <v/>
      </c>
      <c r="M1944">
        <f>IF($A1944="","",MAX(0,ROUNDUP(DASHBOARD!$F$3-$D1944,0)))</f>
        <v/>
      </c>
      <c r="N1944">
        <f>IF($A1944="","",$K1944+(5002-ROW())/10000)</f>
        <v/>
      </c>
    </row>
    <row r="1945">
      <c r="K1945">
        <f>IF($A1945="","",SUM($E1945:$J1945))</f>
        <v/>
      </c>
      <c r="M1945">
        <f>IF($A1945="","",MAX(0,ROUNDUP(DASHBOARD!$F$3-$D1945,0)))</f>
        <v/>
      </c>
      <c r="N1945">
        <f>IF($A1945="","",$K1945+(5002-ROW())/10000)</f>
        <v/>
      </c>
    </row>
    <row r="1946">
      <c r="K1946">
        <f>IF($A1946="","",SUM($E1946:$J1946))</f>
        <v/>
      </c>
      <c r="M1946">
        <f>IF($A1946="","",MAX(0,ROUNDUP(DASHBOARD!$F$3-$D1946,0)))</f>
        <v/>
      </c>
      <c r="N1946">
        <f>IF($A1946="","",$K1946+(5002-ROW())/10000)</f>
        <v/>
      </c>
    </row>
    <row r="1947">
      <c r="K1947">
        <f>IF($A1947="","",SUM($E1947:$J1947))</f>
        <v/>
      </c>
      <c r="M1947">
        <f>IF($A1947="","",MAX(0,ROUNDUP(DASHBOARD!$F$3-$D1947,0)))</f>
        <v/>
      </c>
      <c r="N1947">
        <f>IF($A1947="","",$K1947+(5002-ROW())/10000)</f>
        <v/>
      </c>
    </row>
    <row r="1948">
      <c r="K1948">
        <f>IF($A1948="","",SUM($E1948:$J1948))</f>
        <v/>
      </c>
      <c r="M1948">
        <f>IF($A1948="","",MAX(0,ROUNDUP(DASHBOARD!$F$3-$D1948,0)))</f>
        <v/>
      </c>
      <c r="N1948">
        <f>IF($A1948="","",$K1948+(5002-ROW())/10000)</f>
        <v/>
      </c>
    </row>
    <row r="1949">
      <c r="K1949">
        <f>IF($A1949="","",SUM($E1949:$J1949))</f>
        <v/>
      </c>
      <c r="M1949">
        <f>IF($A1949="","",MAX(0,ROUNDUP(DASHBOARD!$F$3-$D1949,0)))</f>
        <v/>
      </c>
      <c r="N1949">
        <f>IF($A1949="","",$K1949+(5002-ROW())/10000)</f>
        <v/>
      </c>
    </row>
    <row r="1950">
      <c r="K1950">
        <f>IF($A1950="","",SUM($E1950:$J1950))</f>
        <v/>
      </c>
      <c r="M1950">
        <f>IF($A1950="","",MAX(0,ROUNDUP(DASHBOARD!$F$3-$D1950,0)))</f>
        <v/>
      </c>
      <c r="N1950">
        <f>IF($A1950="","",$K1950+(5002-ROW())/10000)</f>
        <v/>
      </c>
    </row>
    <row r="1951">
      <c r="K1951">
        <f>IF($A1951="","",SUM($E1951:$J1951))</f>
        <v/>
      </c>
      <c r="M1951">
        <f>IF($A1951="","",MAX(0,ROUNDUP(DASHBOARD!$F$3-$D1951,0)))</f>
        <v/>
      </c>
      <c r="N1951">
        <f>IF($A1951="","",$K1951+(5002-ROW())/10000)</f>
        <v/>
      </c>
    </row>
    <row r="1952">
      <c r="K1952">
        <f>IF($A1952="","",SUM($E1952:$J1952))</f>
        <v/>
      </c>
      <c r="M1952">
        <f>IF($A1952="","",MAX(0,ROUNDUP(DASHBOARD!$F$3-$D1952,0)))</f>
        <v/>
      </c>
      <c r="N1952">
        <f>IF($A1952="","",$K1952+(5002-ROW())/10000)</f>
        <v/>
      </c>
    </row>
    <row r="1953">
      <c r="K1953">
        <f>IF($A1953="","",SUM($E1953:$J1953))</f>
        <v/>
      </c>
      <c r="M1953">
        <f>IF($A1953="","",MAX(0,ROUNDUP(DASHBOARD!$F$3-$D1953,0)))</f>
        <v/>
      </c>
      <c r="N1953">
        <f>IF($A1953="","",$K1953+(5002-ROW())/10000)</f>
        <v/>
      </c>
    </row>
    <row r="1954">
      <c r="K1954">
        <f>IF($A1954="","",SUM($E1954:$J1954))</f>
        <v/>
      </c>
      <c r="M1954">
        <f>IF($A1954="","",MAX(0,ROUNDUP(DASHBOARD!$F$3-$D1954,0)))</f>
        <v/>
      </c>
      <c r="N1954">
        <f>IF($A1954="","",$K1954+(5002-ROW())/10000)</f>
        <v/>
      </c>
    </row>
    <row r="1955">
      <c r="K1955">
        <f>IF($A1955="","",SUM($E1955:$J1955))</f>
        <v/>
      </c>
      <c r="M1955">
        <f>IF($A1955="","",MAX(0,ROUNDUP(DASHBOARD!$F$3-$D1955,0)))</f>
        <v/>
      </c>
      <c r="N1955">
        <f>IF($A1955="","",$K1955+(5002-ROW())/10000)</f>
        <v/>
      </c>
    </row>
    <row r="1956">
      <c r="K1956">
        <f>IF($A1956="","",SUM($E1956:$J1956))</f>
        <v/>
      </c>
      <c r="M1956">
        <f>IF($A1956="","",MAX(0,ROUNDUP(DASHBOARD!$F$3-$D1956,0)))</f>
        <v/>
      </c>
      <c r="N1956">
        <f>IF($A1956="","",$K1956+(5002-ROW())/10000)</f>
        <v/>
      </c>
    </row>
    <row r="1957">
      <c r="K1957">
        <f>IF($A1957="","",SUM($E1957:$J1957))</f>
        <v/>
      </c>
      <c r="M1957">
        <f>IF($A1957="","",MAX(0,ROUNDUP(DASHBOARD!$F$3-$D1957,0)))</f>
        <v/>
      </c>
      <c r="N1957">
        <f>IF($A1957="","",$K1957+(5002-ROW())/10000)</f>
        <v/>
      </c>
    </row>
    <row r="1958">
      <c r="K1958">
        <f>IF($A1958="","",SUM($E1958:$J1958))</f>
        <v/>
      </c>
      <c r="M1958">
        <f>IF($A1958="","",MAX(0,ROUNDUP(DASHBOARD!$F$3-$D1958,0)))</f>
        <v/>
      </c>
      <c r="N1958">
        <f>IF($A1958="","",$K1958+(5002-ROW())/10000)</f>
        <v/>
      </c>
    </row>
    <row r="1959">
      <c r="K1959">
        <f>IF($A1959="","",SUM($E1959:$J1959))</f>
        <v/>
      </c>
      <c r="M1959">
        <f>IF($A1959="","",MAX(0,ROUNDUP(DASHBOARD!$F$3-$D1959,0)))</f>
        <v/>
      </c>
      <c r="N1959">
        <f>IF($A1959="","",$K1959+(5002-ROW())/10000)</f>
        <v/>
      </c>
    </row>
    <row r="1960">
      <c r="K1960">
        <f>IF($A1960="","",SUM($E1960:$J1960))</f>
        <v/>
      </c>
      <c r="M1960">
        <f>IF($A1960="","",MAX(0,ROUNDUP(DASHBOARD!$F$3-$D1960,0)))</f>
        <v/>
      </c>
      <c r="N1960">
        <f>IF($A1960="","",$K1960+(5002-ROW())/10000)</f>
        <v/>
      </c>
    </row>
    <row r="1961">
      <c r="K1961">
        <f>IF($A1961="","",SUM($E1961:$J1961))</f>
        <v/>
      </c>
      <c r="M1961">
        <f>IF($A1961="","",MAX(0,ROUNDUP(DASHBOARD!$F$3-$D1961,0)))</f>
        <v/>
      </c>
      <c r="N1961">
        <f>IF($A1961="","",$K1961+(5002-ROW())/10000)</f>
        <v/>
      </c>
    </row>
    <row r="1962">
      <c r="K1962">
        <f>IF($A1962="","",SUM($E1962:$J1962))</f>
        <v/>
      </c>
      <c r="M1962">
        <f>IF($A1962="","",MAX(0,ROUNDUP(DASHBOARD!$F$3-$D1962,0)))</f>
        <v/>
      </c>
      <c r="N1962">
        <f>IF($A1962="","",$K1962+(5002-ROW())/10000)</f>
        <v/>
      </c>
    </row>
    <row r="1963">
      <c r="K1963">
        <f>IF($A1963="","",SUM($E1963:$J1963))</f>
        <v/>
      </c>
      <c r="M1963">
        <f>IF($A1963="","",MAX(0,ROUNDUP(DASHBOARD!$F$3-$D1963,0)))</f>
        <v/>
      </c>
      <c r="N1963">
        <f>IF($A1963="","",$K1963+(5002-ROW())/10000)</f>
        <v/>
      </c>
    </row>
    <row r="1964">
      <c r="K1964">
        <f>IF($A1964="","",SUM($E1964:$J1964))</f>
        <v/>
      </c>
      <c r="M1964">
        <f>IF($A1964="","",MAX(0,ROUNDUP(DASHBOARD!$F$3-$D1964,0)))</f>
        <v/>
      </c>
      <c r="N1964">
        <f>IF($A1964="","",$K1964+(5002-ROW())/10000)</f>
        <v/>
      </c>
    </row>
    <row r="1965">
      <c r="K1965">
        <f>IF($A1965="","",SUM($E1965:$J1965))</f>
        <v/>
      </c>
      <c r="M1965">
        <f>IF($A1965="","",MAX(0,ROUNDUP(DASHBOARD!$F$3-$D1965,0)))</f>
        <v/>
      </c>
      <c r="N1965">
        <f>IF($A1965="","",$K1965+(5002-ROW())/10000)</f>
        <v/>
      </c>
    </row>
    <row r="1966">
      <c r="K1966">
        <f>IF($A1966="","",SUM($E1966:$J1966))</f>
        <v/>
      </c>
      <c r="M1966">
        <f>IF($A1966="","",MAX(0,ROUNDUP(DASHBOARD!$F$3-$D1966,0)))</f>
        <v/>
      </c>
      <c r="N1966">
        <f>IF($A1966="","",$K1966+(5002-ROW())/10000)</f>
        <v/>
      </c>
    </row>
    <row r="1967">
      <c r="K1967">
        <f>IF($A1967="","",SUM($E1967:$J1967))</f>
        <v/>
      </c>
      <c r="M1967">
        <f>IF($A1967="","",MAX(0,ROUNDUP(DASHBOARD!$F$3-$D1967,0)))</f>
        <v/>
      </c>
      <c r="N1967">
        <f>IF($A1967="","",$K1967+(5002-ROW())/10000)</f>
        <v/>
      </c>
    </row>
    <row r="1968">
      <c r="K1968">
        <f>IF($A1968="","",SUM($E1968:$J1968))</f>
        <v/>
      </c>
      <c r="M1968">
        <f>IF($A1968="","",MAX(0,ROUNDUP(DASHBOARD!$F$3-$D1968,0)))</f>
        <v/>
      </c>
      <c r="N1968">
        <f>IF($A1968="","",$K1968+(5002-ROW())/10000)</f>
        <v/>
      </c>
    </row>
    <row r="1969">
      <c r="K1969">
        <f>IF($A1969="","",SUM($E1969:$J1969))</f>
        <v/>
      </c>
      <c r="M1969">
        <f>IF($A1969="","",MAX(0,ROUNDUP(DASHBOARD!$F$3-$D1969,0)))</f>
        <v/>
      </c>
      <c r="N1969">
        <f>IF($A1969="","",$K1969+(5002-ROW())/10000)</f>
        <v/>
      </c>
    </row>
    <row r="1970">
      <c r="K1970">
        <f>IF($A1970="","",SUM($E1970:$J1970))</f>
        <v/>
      </c>
      <c r="M1970">
        <f>IF($A1970="","",MAX(0,ROUNDUP(DASHBOARD!$F$3-$D1970,0)))</f>
        <v/>
      </c>
      <c r="N1970">
        <f>IF($A1970="","",$K1970+(5002-ROW())/10000)</f>
        <v/>
      </c>
    </row>
    <row r="1971">
      <c r="K1971">
        <f>IF($A1971="","",SUM($E1971:$J1971))</f>
        <v/>
      </c>
      <c r="M1971">
        <f>IF($A1971="","",MAX(0,ROUNDUP(DASHBOARD!$F$3-$D1971,0)))</f>
        <v/>
      </c>
      <c r="N1971">
        <f>IF($A1971="","",$K1971+(5002-ROW())/10000)</f>
        <v/>
      </c>
    </row>
    <row r="1972">
      <c r="K1972">
        <f>IF($A1972="","",SUM($E1972:$J1972))</f>
        <v/>
      </c>
      <c r="M1972">
        <f>IF($A1972="","",MAX(0,ROUNDUP(DASHBOARD!$F$3-$D1972,0)))</f>
        <v/>
      </c>
      <c r="N1972">
        <f>IF($A1972="","",$K1972+(5002-ROW())/10000)</f>
        <v/>
      </c>
    </row>
    <row r="1973">
      <c r="K1973">
        <f>IF($A1973="","",SUM($E1973:$J1973))</f>
        <v/>
      </c>
      <c r="M1973">
        <f>IF($A1973="","",MAX(0,ROUNDUP(DASHBOARD!$F$3-$D1973,0)))</f>
        <v/>
      </c>
      <c r="N1973">
        <f>IF($A1973="","",$K1973+(5002-ROW())/10000)</f>
        <v/>
      </c>
    </row>
    <row r="1974">
      <c r="K1974">
        <f>IF($A1974="","",SUM($E1974:$J1974))</f>
        <v/>
      </c>
      <c r="M1974">
        <f>IF($A1974="","",MAX(0,ROUNDUP(DASHBOARD!$F$3-$D1974,0)))</f>
        <v/>
      </c>
      <c r="N1974">
        <f>IF($A1974="","",$K1974+(5002-ROW())/10000)</f>
        <v/>
      </c>
    </row>
    <row r="1975">
      <c r="K1975">
        <f>IF($A1975="","",SUM($E1975:$J1975))</f>
        <v/>
      </c>
      <c r="M1975">
        <f>IF($A1975="","",MAX(0,ROUNDUP(DASHBOARD!$F$3-$D1975,0)))</f>
        <v/>
      </c>
      <c r="N1975">
        <f>IF($A1975="","",$K1975+(5002-ROW())/10000)</f>
        <v/>
      </c>
    </row>
    <row r="1976">
      <c r="K1976">
        <f>IF($A1976="","",SUM($E1976:$J1976))</f>
        <v/>
      </c>
      <c r="M1976">
        <f>IF($A1976="","",MAX(0,ROUNDUP(DASHBOARD!$F$3-$D1976,0)))</f>
        <v/>
      </c>
      <c r="N1976">
        <f>IF($A1976="","",$K1976+(5002-ROW())/10000)</f>
        <v/>
      </c>
    </row>
    <row r="1977">
      <c r="K1977">
        <f>IF($A1977="","",SUM($E1977:$J1977))</f>
        <v/>
      </c>
      <c r="M1977">
        <f>IF($A1977="","",MAX(0,ROUNDUP(DASHBOARD!$F$3-$D1977,0)))</f>
        <v/>
      </c>
      <c r="N1977">
        <f>IF($A1977="","",$K1977+(5002-ROW())/10000)</f>
        <v/>
      </c>
    </row>
    <row r="1978">
      <c r="K1978">
        <f>IF($A1978="","",SUM($E1978:$J1978))</f>
        <v/>
      </c>
      <c r="M1978">
        <f>IF($A1978="","",MAX(0,ROUNDUP(DASHBOARD!$F$3-$D1978,0)))</f>
        <v/>
      </c>
      <c r="N1978">
        <f>IF($A1978="","",$K1978+(5002-ROW())/10000)</f>
        <v/>
      </c>
    </row>
    <row r="1979">
      <c r="K1979">
        <f>IF($A1979="","",SUM($E1979:$J1979))</f>
        <v/>
      </c>
      <c r="M1979">
        <f>IF($A1979="","",MAX(0,ROUNDUP(DASHBOARD!$F$3-$D1979,0)))</f>
        <v/>
      </c>
      <c r="N1979">
        <f>IF($A1979="","",$K1979+(5002-ROW())/10000)</f>
        <v/>
      </c>
    </row>
    <row r="1980">
      <c r="K1980">
        <f>IF($A1980="","",SUM($E1980:$J1980))</f>
        <v/>
      </c>
      <c r="M1980">
        <f>IF($A1980="","",MAX(0,ROUNDUP(DASHBOARD!$F$3-$D1980,0)))</f>
        <v/>
      </c>
      <c r="N1980">
        <f>IF($A1980="","",$K1980+(5002-ROW())/10000)</f>
        <v/>
      </c>
    </row>
    <row r="1981">
      <c r="K1981">
        <f>IF($A1981="","",SUM($E1981:$J1981))</f>
        <v/>
      </c>
      <c r="M1981">
        <f>IF($A1981="","",MAX(0,ROUNDUP(DASHBOARD!$F$3-$D1981,0)))</f>
        <v/>
      </c>
      <c r="N1981">
        <f>IF($A1981="","",$K1981+(5002-ROW())/10000)</f>
        <v/>
      </c>
    </row>
    <row r="1982">
      <c r="K1982">
        <f>IF($A1982="","",SUM($E1982:$J1982))</f>
        <v/>
      </c>
      <c r="M1982">
        <f>IF($A1982="","",MAX(0,ROUNDUP(DASHBOARD!$F$3-$D1982,0)))</f>
        <v/>
      </c>
      <c r="N1982">
        <f>IF($A1982="","",$K1982+(5002-ROW())/10000)</f>
        <v/>
      </c>
    </row>
    <row r="1983">
      <c r="K1983">
        <f>IF($A1983="","",SUM($E1983:$J1983))</f>
        <v/>
      </c>
      <c r="M1983">
        <f>IF($A1983="","",MAX(0,ROUNDUP(DASHBOARD!$F$3-$D1983,0)))</f>
        <v/>
      </c>
      <c r="N1983">
        <f>IF($A1983="","",$K1983+(5002-ROW())/10000)</f>
        <v/>
      </c>
    </row>
    <row r="1984">
      <c r="K1984">
        <f>IF($A1984="","",SUM($E1984:$J1984))</f>
        <v/>
      </c>
      <c r="M1984">
        <f>IF($A1984="","",MAX(0,ROUNDUP(DASHBOARD!$F$3-$D1984,0)))</f>
        <v/>
      </c>
      <c r="N1984">
        <f>IF($A1984="","",$K1984+(5002-ROW())/10000)</f>
        <v/>
      </c>
    </row>
    <row r="1985">
      <c r="K1985">
        <f>IF($A1985="","",SUM($E1985:$J1985))</f>
        <v/>
      </c>
      <c r="M1985">
        <f>IF($A1985="","",MAX(0,ROUNDUP(DASHBOARD!$F$3-$D1985,0)))</f>
        <v/>
      </c>
      <c r="N1985">
        <f>IF($A1985="","",$K1985+(5002-ROW())/10000)</f>
        <v/>
      </c>
    </row>
    <row r="1986">
      <c r="K1986">
        <f>IF($A1986="","",SUM($E1986:$J1986))</f>
        <v/>
      </c>
      <c r="M1986">
        <f>IF($A1986="","",MAX(0,ROUNDUP(DASHBOARD!$F$3-$D1986,0)))</f>
        <v/>
      </c>
      <c r="N1986">
        <f>IF($A1986="","",$K1986+(5002-ROW())/10000)</f>
        <v/>
      </c>
    </row>
    <row r="1987">
      <c r="K1987">
        <f>IF($A1987="","",SUM($E1987:$J1987))</f>
        <v/>
      </c>
      <c r="M1987">
        <f>IF($A1987="","",MAX(0,ROUNDUP(DASHBOARD!$F$3-$D1987,0)))</f>
        <v/>
      </c>
      <c r="N1987">
        <f>IF($A1987="","",$K1987+(5002-ROW())/10000)</f>
        <v/>
      </c>
    </row>
    <row r="1988">
      <c r="K1988">
        <f>IF($A1988="","",SUM($E1988:$J1988))</f>
        <v/>
      </c>
      <c r="M1988">
        <f>IF($A1988="","",MAX(0,ROUNDUP(DASHBOARD!$F$3-$D1988,0)))</f>
        <v/>
      </c>
      <c r="N1988">
        <f>IF($A1988="","",$K1988+(5002-ROW())/10000)</f>
        <v/>
      </c>
    </row>
    <row r="1989">
      <c r="K1989">
        <f>IF($A1989="","",SUM($E1989:$J1989))</f>
        <v/>
      </c>
      <c r="M1989">
        <f>IF($A1989="","",MAX(0,ROUNDUP(DASHBOARD!$F$3-$D1989,0)))</f>
        <v/>
      </c>
      <c r="N1989">
        <f>IF($A1989="","",$K1989+(5002-ROW())/10000)</f>
        <v/>
      </c>
    </row>
    <row r="1990">
      <c r="K1990">
        <f>IF($A1990="","",SUM($E1990:$J1990))</f>
        <v/>
      </c>
      <c r="M1990">
        <f>IF($A1990="","",MAX(0,ROUNDUP(DASHBOARD!$F$3-$D1990,0)))</f>
        <v/>
      </c>
      <c r="N1990">
        <f>IF($A1990="","",$K1990+(5002-ROW())/10000)</f>
        <v/>
      </c>
    </row>
    <row r="1991">
      <c r="K1991">
        <f>IF($A1991="","",SUM($E1991:$J1991))</f>
        <v/>
      </c>
      <c r="M1991">
        <f>IF($A1991="","",MAX(0,ROUNDUP(DASHBOARD!$F$3-$D1991,0)))</f>
        <v/>
      </c>
      <c r="N1991">
        <f>IF($A1991="","",$K1991+(5002-ROW())/10000)</f>
        <v/>
      </c>
    </row>
    <row r="1992">
      <c r="K1992">
        <f>IF($A1992="","",SUM($E1992:$J1992))</f>
        <v/>
      </c>
      <c r="M1992">
        <f>IF($A1992="","",MAX(0,ROUNDUP(DASHBOARD!$F$3-$D1992,0)))</f>
        <v/>
      </c>
      <c r="N1992">
        <f>IF($A1992="","",$K1992+(5002-ROW())/10000)</f>
        <v/>
      </c>
    </row>
    <row r="1993">
      <c r="K1993">
        <f>IF($A1993="","",SUM($E1993:$J1993))</f>
        <v/>
      </c>
      <c r="M1993">
        <f>IF($A1993="","",MAX(0,ROUNDUP(DASHBOARD!$F$3-$D1993,0)))</f>
        <v/>
      </c>
      <c r="N1993">
        <f>IF($A1993="","",$K1993+(5002-ROW())/10000)</f>
        <v/>
      </c>
    </row>
    <row r="1994">
      <c r="K1994">
        <f>IF($A1994="","",SUM($E1994:$J1994))</f>
        <v/>
      </c>
      <c r="M1994">
        <f>IF($A1994="","",MAX(0,ROUNDUP(DASHBOARD!$F$3-$D1994,0)))</f>
        <v/>
      </c>
      <c r="N1994">
        <f>IF($A1994="","",$K1994+(5002-ROW())/10000)</f>
        <v/>
      </c>
    </row>
    <row r="1995">
      <c r="K1995">
        <f>IF($A1995="","",SUM($E1995:$J1995))</f>
        <v/>
      </c>
      <c r="M1995">
        <f>IF($A1995="","",MAX(0,ROUNDUP(DASHBOARD!$F$3-$D1995,0)))</f>
        <v/>
      </c>
      <c r="N1995">
        <f>IF($A1995="","",$K1995+(5002-ROW())/10000)</f>
        <v/>
      </c>
    </row>
    <row r="1996">
      <c r="K1996">
        <f>IF($A1996="","",SUM($E1996:$J1996))</f>
        <v/>
      </c>
      <c r="M1996">
        <f>IF($A1996="","",MAX(0,ROUNDUP(DASHBOARD!$F$3-$D1996,0)))</f>
        <v/>
      </c>
      <c r="N1996">
        <f>IF($A1996="","",$K1996+(5002-ROW())/10000)</f>
        <v/>
      </c>
    </row>
    <row r="1997">
      <c r="K1997">
        <f>IF($A1997="","",SUM($E1997:$J1997))</f>
        <v/>
      </c>
      <c r="M1997">
        <f>IF($A1997="","",MAX(0,ROUNDUP(DASHBOARD!$F$3-$D1997,0)))</f>
        <v/>
      </c>
      <c r="N1997">
        <f>IF($A1997="","",$K1997+(5002-ROW())/10000)</f>
        <v/>
      </c>
    </row>
    <row r="1998">
      <c r="K1998">
        <f>IF($A1998="","",SUM($E1998:$J1998))</f>
        <v/>
      </c>
      <c r="M1998">
        <f>IF($A1998="","",MAX(0,ROUNDUP(DASHBOARD!$F$3-$D1998,0)))</f>
        <v/>
      </c>
      <c r="N1998">
        <f>IF($A1998="","",$K1998+(5002-ROW())/10000)</f>
        <v/>
      </c>
    </row>
    <row r="1999">
      <c r="K1999">
        <f>IF($A1999="","",SUM($E1999:$J1999))</f>
        <v/>
      </c>
      <c r="M1999">
        <f>IF($A1999="","",MAX(0,ROUNDUP(DASHBOARD!$F$3-$D1999,0)))</f>
        <v/>
      </c>
      <c r="N1999">
        <f>IF($A1999="","",$K1999+(5002-ROW())/10000)</f>
        <v/>
      </c>
    </row>
    <row r="2000">
      <c r="K2000">
        <f>IF($A2000="","",SUM($E2000:$J2000))</f>
        <v/>
      </c>
      <c r="M2000">
        <f>IF($A2000="","",MAX(0,ROUNDUP(DASHBOARD!$F$3-$D2000,0)))</f>
        <v/>
      </c>
      <c r="N2000">
        <f>IF($A2000="","",$K2000+(5002-ROW())/10000)</f>
        <v/>
      </c>
    </row>
    <row r="2001">
      <c r="K2001">
        <f>IF($A2001="","",SUM($E2001:$J2001))</f>
        <v/>
      </c>
      <c r="M2001">
        <f>IF($A2001="","",MAX(0,ROUNDUP(DASHBOARD!$F$3-$D2001,0)))</f>
        <v/>
      </c>
      <c r="N2001">
        <f>IF($A2001="","",$K2001+(5002-ROW())/10000)</f>
        <v/>
      </c>
    </row>
    <row r="2002">
      <c r="K2002">
        <f>IF($A2002="","",SUM($E2002:$J2002))</f>
        <v/>
      </c>
      <c r="M2002">
        <f>IF($A2002="","",MAX(0,ROUNDUP(DASHBOARD!$F$3-$D2002,0)))</f>
        <v/>
      </c>
      <c r="N2002">
        <f>IF($A2002="","",$K2002+(5002-ROW())/10000)</f>
        <v/>
      </c>
    </row>
    <row r="2003">
      <c r="K2003">
        <f>IF($A2003="","",SUM($E2003:$J2003))</f>
        <v/>
      </c>
      <c r="M2003">
        <f>IF($A2003="","",MAX(0,ROUNDUP(DASHBOARD!$F$3-$D2003,0)))</f>
        <v/>
      </c>
      <c r="N2003">
        <f>IF($A2003="","",$K2003+(5002-ROW())/10000)</f>
        <v/>
      </c>
    </row>
    <row r="2004">
      <c r="K2004">
        <f>IF($A2004="","",SUM($E2004:$J2004))</f>
        <v/>
      </c>
      <c r="M2004">
        <f>IF($A2004="","",MAX(0,ROUNDUP(DASHBOARD!$F$3-$D2004,0)))</f>
        <v/>
      </c>
      <c r="N2004">
        <f>IF($A2004="","",$K2004+(5002-ROW())/10000)</f>
        <v/>
      </c>
    </row>
    <row r="2005">
      <c r="K2005">
        <f>IF($A2005="","",SUM($E2005:$J2005))</f>
        <v/>
      </c>
      <c r="M2005">
        <f>IF($A2005="","",MAX(0,ROUNDUP(DASHBOARD!$F$3-$D2005,0)))</f>
        <v/>
      </c>
      <c r="N2005">
        <f>IF($A2005="","",$K2005+(5002-ROW())/10000)</f>
        <v/>
      </c>
    </row>
    <row r="2006">
      <c r="K2006">
        <f>IF($A2006="","",SUM($E2006:$J2006))</f>
        <v/>
      </c>
      <c r="M2006">
        <f>IF($A2006="","",MAX(0,ROUNDUP(DASHBOARD!$F$3-$D2006,0)))</f>
        <v/>
      </c>
      <c r="N2006">
        <f>IF($A2006="","",$K2006+(5002-ROW())/10000)</f>
        <v/>
      </c>
    </row>
    <row r="2007">
      <c r="K2007">
        <f>IF($A2007="","",SUM($E2007:$J2007))</f>
        <v/>
      </c>
      <c r="M2007">
        <f>IF($A2007="","",MAX(0,ROUNDUP(DASHBOARD!$F$3-$D2007,0)))</f>
        <v/>
      </c>
      <c r="N2007">
        <f>IF($A2007="","",$K2007+(5002-ROW())/10000)</f>
        <v/>
      </c>
    </row>
    <row r="2008">
      <c r="K2008">
        <f>IF($A2008="","",SUM($E2008:$J2008))</f>
        <v/>
      </c>
      <c r="M2008">
        <f>IF($A2008="","",MAX(0,ROUNDUP(DASHBOARD!$F$3-$D2008,0)))</f>
        <v/>
      </c>
      <c r="N2008">
        <f>IF($A2008="","",$K2008+(5002-ROW())/10000)</f>
        <v/>
      </c>
    </row>
    <row r="2009">
      <c r="K2009">
        <f>IF($A2009="","",SUM($E2009:$J2009))</f>
        <v/>
      </c>
      <c r="M2009">
        <f>IF($A2009="","",MAX(0,ROUNDUP(DASHBOARD!$F$3-$D2009,0)))</f>
        <v/>
      </c>
      <c r="N2009">
        <f>IF($A2009="","",$K2009+(5002-ROW())/10000)</f>
        <v/>
      </c>
    </row>
    <row r="2010">
      <c r="K2010">
        <f>IF($A2010="","",SUM($E2010:$J2010))</f>
        <v/>
      </c>
      <c r="M2010">
        <f>IF($A2010="","",MAX(0,ROUNDUP(DASHBOARD!$F$3-$D2010,0)))</f>
        <v/>
      </c>
      <c r="N2010">
        <f>IF($A2010="","",$K2010+(5002-ROW())/10000)</f>
        <v/>
      </c>
    </row>
    <row r="2011">
      <c r="K2011">
        <f>IF($A2011="","",SUM($E2011:$J2011))</f>
        <v/>
      </c>
      <c r="M2011">
        <f>IF($A2011="","",MAX(0,ROUNDUP(DASHBOARD!$F$3-$D2011,0)))</f>
        <v/>
      </c>
      <c r="N2011">
        <f>IF($A2011="","",$K2011+(5002-ROW())/10000)</f>
        <v/>
      </c>
    </row>
    <row r="2012">
      <c r="K2012">
        <f>IF($A2012="","",SUM($E2012:$J2012))</f>
        <v/>
      </c>
      <c r="M2012">
        <f>IF($A2012="","",MAX(0,ROUNDUP(DASHBOARD!$F$3-$D2012,0)))</f>
        <v/>
      </c>
      <c r="N2012">
        <f>IF($A2012="","",$K2012+(5002-ROW())/10000)</f>
        <v/>
      </c>
    </row>
    <row r="2013">
      <c r="K2013">
        <f>IF($A2013="","",SUM($E2013:$J2013))</f>
        <v/>
      </c>
      <c r="M2013">
        <f>IF($A2013="","",MAX(0,ROUNDUP(DASHBOARD!$F$3-$D2013,0)))</f>
        <v/>
      </c>
      <c r="N2013">
        <f>IF($A2013="","",$K2013+(5002-ROW())/10000)</f>
        <v/>
      </c>
    </row>
    <row r="2014">
      <c r="K2014">
        <f>IF($A2014="","",SUM($E2014:$J2014))</f>
        <v/>
      </c>
      <c r="M2014">
        <f>IF($A2014="","",MAX(0,ROUNDUP(DASHBOARD!$F$3-$D2014,0)))</f>
        <v/>
      </c>
      <c r="N2014">
        <f>IF($A2014="","",$K2014+(5002-ROW())/10000)</f>
        <v/>
      </c>
    </row>
    <row r="2015">
      <c r="K2015">
        <f>IF($A2015="","",SUM($E2015:$J2015))</f>
        <v/>
      </c>
      <c r="M2015">
        <f>IF($A2015="","",MAX(0,ROUNDUP(DASHBOARD!$F$3-$D2015,0)))</f>
        <v/>
      </c>
      <c r="N2015">
        <f>IF($A2015="","",$K2015+(5002-ROW())/10000)</f>
        <v/>
      </c>
    </row>
    <row r="2016">
      <c r="K2016">
        <f>IF($A2016="","",SUM($E2016:$J2016))</f>
        <v/>
      </c>
      <c r="M2016">
        <f>IF($A2016="","",MAX(0,ROUNDUP(DASHBOARD!$F$3-$D2016,0)))</f>
        <v/>
      </c>
      <c r="N2016">
        <f>IF($A2016="","",$K2016+(5002-ROW())/10000)</f>
        <v/>
      </c>
    </row>
    <row r="2017">
      <c r="K2017">
        <f>IF($A2017="","",SUM($E2017:$J2017))</f>
        <v/>
      </c>
      <c r="M2017">
        <f>IF($A2017="","",MAX(0,ROUNDUP(DASHBOARD!$F$3-$D2017,0)))</f>
        <v/>
      </c>
      <c r="N2017">
        <f>IF($A2017="","",$K2017+(5002-ROW())/10000)</f>
        <v/>
      </c>
    </row>
    <row r="2018">
      <c r="K2018">
        <f>IF($A2018="","",SUM($E2018:$J2018))</f>
        <v/>
      </c>
      <c r="M2018">
        <f>IF($A2018="","",MAX(0,ROUNDUP(DASHBOARD!$F$3-$D2018,0)))</f>
        <v/>
      </c>
      <c r="N2018">
        <f>IF($A2018="","",$K2018+(5002-ROW())/10000)</f>
        <v/>
      </c>
    </row>
    <row r="2019">
      <c r="K2019">
        <f>IF($A2019="","",SUM($E2019:$J2019))</f>
        <v/>
      </c>
      <c r="M2019">
        <f>IF($A2019="","",MAX(0,ROUNDUP(DASHBOARD!$F$3-$D2019,0)))</f>
        <v/>
      </c>
      <c r="N2019">
        <f>IF($A2019="","",$K2019+(5002-ROW())/10000)</f>
        <v/>
      </c>
    </row>
    <row r="2020">
      <c r="K2020">
        <f>IF($A2020="","",SUM($E2020:$J2020))</f>
        <v/>
      </c>
      <c r="M2020">
        <f>IF($A2020="","",MAX(0,ROUNDUP(DASHBOARD!$F$3-$D2020,0)))</f>
        <v/>
      </c>
      <c r="N2020">
        <f>IF($A2020="","",$K2020+(5002-ROW())/10000)</f>
        <v/>
      </c>
    </row>
    <row r="2021">
      <c r="K2021">
        <f>IF($A2021="","",SUM($E2021:$J2021))</f>
        <v/>
      </c>
      <c r="M2021">
        <f>IF($A2021="","",MAX(0,ROUNDUP(DASHBOARD!$F$3-$D2021,0)))</f>
        <v/>
      </c>
      <c r="N2021">
        <f>IF($A2021="","",$K2021+(5002-ROW())/10000)</f>
        <v/>
      </c>
    </row>
    <row r="2022">
      <c r="K2022">
        <f>IF($A2022="","",SUM($E2022:$J2022))</f>
        <v/>
      </c>
      <c r="M2022">
        <f>IF($A2022="","",MAX(0,ROUNDUP(DASHBOARD!$F$3-$D2022,0)))</f>
        <v/>
      </c>
      <c r="N2022">
        <f>IF($A2022="","",$K2022+(5002-ROW())/10000)</f>
        <v/>
      </c>
    </row>
    <row r="2023">
      <c r="K2023">
        <f>IF($A2023="","",SUM($E2023:$J2023))</f>
        <v/>
      </c>
      <c r="M2023">
        <f>IF($A2023="","",MAX(0,ROUNDUP(DASHBOARD!$F$3-$D2023,0)))</f>
        <v/>
      </c>
      <c r="N2023">
        <f>IF($A2023="","",$K2023+(5002-ROW())/10000)</f>
        <v/>
      </c>
    </row>
    <row r="2024">
      <c r="K2024">
        <f>IF($A2024="","",SUM($E2024:$J2024))</f>
        <v/>
      </c>
      <c r="M2024">
        <f>IF($A2024="","",MAX(0,ROUNDUP(DASHBOARD!$F$3-$D2024,0)))</f>
        <v/>
      </c>
      <c r="N2024">
        <f>IF($A2024="","",$K2024+(5002-ROW())/10000)</f>
        <v/>
      </c>
    </row>
    <row r="2025">
      <c r="K2025">
        <f>IF($A2025="","",SUM($E2025:$J2025))</f>
        <v/>
      </c>
      <c r="M2025">
        <f>IF($A2025="","",MAX(0,ROUNDUP(DASHBOARD!$F$3-$D2025,0)))</f>
        <v/>
      </c>
      <c r="N2025">
        <f>IF($A2025="","",$K2025+(5002-ROW())/10000)</f>
        <v/>
      </c>
    </row>
    <row r="2026">
      <c r="K2026">
        <f>IF($A2026="","",SUM($E2026:$J2026))</f>
        <v/>
      </c>
      <c r="M2026">
        <f>IF($A2026="","",MAX(0,ROUNDUP(DASHBOARD!$F$3-$D2026,0)))</f>
        <v/>
      </c>
      <c r="N2026">
        <f>IF($A2026="","",$K2026+(5002-ROW())/10000)</f>
        <v/>
      </c>
    </row>
    <row r="2027">
      <c r="K2027">
        <f>IF($A2027="","",SUM($E2027:$J2027))</f>
        <v/>
      </c>
      <c r="M2027">
        <f>IF($A2027="","",MAX(0,ROUNDUP(DASHBOARD!$F$3-$D2027,0)))</f>
        <v/>
      </c>
      <c r="N2027">
        <f>IF($A2027="","",$K2027+(5002-ROW())/10000)</f>
        <v/>
      </c>
    </row>
    <row r="2028">
      <c r="K2028">
        <f>IF($A2028="","",SUM($E2028:$J2028))</f>
        <v/>
      </c>
      <c r="M2028">
        <f>IF($A2028="","",MAX(0,ROUNDUP(DASHBOARD!$F$3-$D2028,0)))</f>
        <v/>
      </c>
      <c r="N2028">
        <f>IF($A2028="","",$K2028+(5002-ROW())/10000)</f>
        <v/>
      </c>
    </row>
    <row r="2029">
      <c r="K2029">
        <f>IF($A2029="","",SUM($E2029:$J2029))</f>
        <v/>
      </c>
      <c r="M2029">
        <f>IF($A2029="","",MAX(0,ROUNDUP(DASHBOARD!$F$3-$D2029,0)))</f>
        <v/>
      </c>
      <c r="N2029">
        <f>IF($A2029="","",$K2029+(5002-ROW())/10000)</f>
        <v/>
      </c>
    </row>
    <row r="2030">
      <c r="K2030">
        <f>IF($A2030="","",SUM($E2030:$J2030))</f>
        <v/>
      </c>
      <c r="M2030">
        <f>IF($A2030="","",MAX(0,ROUNDUP(DASHBOARD!$F$3-$D2030,0)))</f>
        <v/>
      </c>
      <c r="N2030">
        <f>IF($A2030="","",$K2030+(5002-ROW())/10000)</f>
        <v/>
      </c>
    </row>
    <row r="2031">
      <c r="K2031">
        <f>IF($A2031="","",SUM($E2031:$J2031))</f>
        <v/>
      </c>
      <c r="M2031">
        <f>IF($A2031="","",MAX(0,ROUNDUP(DASHBOARD!$F$3-$D2031,0)))</f>
        <v/>
      </c>
      <c r="N2031">
        <f>IF($A2031="","",$K2031+(5002-ROW())/10000)</f>
        <v/>
      </c>
    </row>
    <row r="2032">
      <c r="K2032">
        <f>IF($A2032="","",SUM($E2032:$J2032))</f>
        <v/>
      </c>
      <c r="M2032">
        <f>IF($A2032="","",MAX(0,ROUNDUP(DASHBOARD!$F$3-$D2032,0)))</f>
        <v/>
      </c>
      <c r="N2032">
        <f>IF($A2032="","",$K2032+(5002-ROW())/10000)</f>
        <v/>
      </c>
    </row>
    <row r="2033">
      <c r="K2033">
        <f>IF($A2033="","",SUM($E2033:$J2033))</f>
        <v/>
      </c>
      <c r="M2033">
        <f>IF($A2033="","",MAX(0,ROUNDUP(DASHBOARD!$F$3-$D2033,0)))</f>
        <v/>
      </c>
      <c r="N2033">
        <f>IF($A2033="","",$K2033+(5002-ROW())/10000)</f>
        <v/>
      </c>
    </row>
    <row r="2034">
      <c r="K2034">
        <f>IF($A2034="","",SUM($E2034:$J2034))</f>
        <v/>
      </c>
      <c r="M2034">
        <f>IF($A2034="","",MAX(0,ROUNDUP(DASHBOARD!$F$3-$D2034,0)))</f>
        <v/>
      </c>
      <c r="N2034">
        <f>IF($A2034="","",$K2034+(5002-ROW())/10000)</f>
        <v/>
      </c>
    </row>
    <row r="2035">
      <c r="K2035">
        <f>IF($A2035="","",SUM($E2035:$J2035))</f>
        <v/>
      </c>
      <c r="M2035">
        <f>IF($A2035="","",MAX(0,ROUNDUP(DASHBOARD!$F$3-$D2035,0)))</f>
        <v/>
      </c>
      <c r="N2035">
        <f>IF($A2035="","",$K2035+(5002-ROW())/10000)</f>
        <v/>
      </c>
    </row>
    <row r="2036">
      <c r="K2036">
        <f>IF($A2036="","",SUM($E2036:$J2036))</f>
        <v/>
      </c>
      <c r="M2036">
        <f>IF($A2036="","",MAX(0,ROUNDUP(DASHBOARD!$F$3-$D2036,0)))</f>
        <v/>
      </c>
      <c r="N2036">
        <f>IF($A2036="","",$K2036+(5002-ROW())/10000)</f>
        <v/>
      </c>
    </row>
    <row r="2037">
      <c r="K2037">
        <f>IF($A2037="","",SUM($E2037:$J2037))</f>
        <v/>
      </c>
      <c r="M2037">
        <f>IF($A2037="","",MAX(0,ROUNDUP(DASHBOARD!$F$3-$D2037,0)))</f>
        <v/>
      </c>
      <c r="N2037">
        <f>IF($A2037="","",$K2037+(5002-ROW())/10000)</f>
        <v/>
      </c>
    </row>
    <row r="2038">
      <c r="K2038">
        <f>IF($A2038="","",SUM($E2038:$J2038))</f>
        <v/>
      </c>
      <c r="M2038">
        <f>IF($A2038="","",MAX(0,ROUNDUP(DASHBOARD!$F$3-$D2038,0)))</f>
        <v/>
      </c>
      <c r="N2038">
        <f>IF($A2038="","",$K2038+(5002-ROW())/10000)</f>
        <v/>
      </c>
    </row>
    <row r="2039">
      <c r="K2039">
        <f>IF($A2039="","",SUM($E2039:$J2039))</f>
        <v/>
      </c>
      <c r="M2039">
        <f>IF($A2039="","",MAX(0,ROUNDUP(DASHBOARD!$F$3-$D2039,0)))</f>
        <v/>
      </c>
      <c r="N2039">
        <f>IF($A2039="","",$K2039+(5002-ROW())/10000)</f>
        <v/>
      </c>
    </row>
    <row r="2040">
      <c r="K2040">
        <f>IF($A2040="","",SUM($E2040:$J2040))</f>
        <v/>
      </c>
      <c r="M2040">
        <f>IF($A2040="","",MAX(0,ROUNDUP(DASHBOARD!$F$3-$D2040,0)))</f>
        <v/>
      </c>
      <c r="N2040">
        <f>IF($A2040="","",$K2040+(5002-ROW())/10000)</f>
        <v/>
      </c>
    </row>
    <row r="2041">
      <c r="K2041">
        <f>IF($A2041="","",SUM($E2041:$J2041))</f>
        <v/>
      </c>
      <c r="M2041">
        <f>IF($A2041="","",MAX(0,ROUNDUP(DASHBOARD!$F$3-$D2041,0)))</f>
        <v/>
      </c>
      <c r="N2041">
        <f>IF($A2041="","",$K2041+(5002-ROW())/10000)</f>
        <v/>
      </c>
    </row>
    <row r="2042">
      <c r="K2042">
        <f>IF($A2042="","",SUM($E2042:$J2042))</f>
        <v/>
      </c>
      <c r="M2042">
        <f>IF($A2042="","",MAX(0,ROUNDUP(DASHBOARD!$F$3-$D2042,0)))</f>
        <v/>
      </c>
      <c r="N2042">
        <f>IF($A2042="","",$K2042+(5002-ROW())/10000)</f>
        <v/>
      </c>
    </row>
    <row r="2043">
      <c r="K2043">
        <f>IF($A2043="","",SUM($E2043:$J2043))</f>
        <v/>
      </c>
      <c r="M2043">
        <f>IF($A2043="","",MAX(0,ROUNDUP(DASHBOARD!$F$3-$D2043,0)))</f>
        <v/>
      </c>
      <c r="N2043">
        <f>IF($A2043="","",$K2043+(5002-ROW())/10000)</f>
        <v/>
      </c>
    </row>
    <row r="2044">
      <c r="K2044">
        <f>IF($A2044="","",SUM($E2044:$J2044))</f>
        <v/>
      </c>
      <c r="M2044">
        <f>IF($A2044="","",MAX(0,ROUNDUP(DASHBOARD!$F$3-$D2044,0)))</f>
        <v/>
      </c>
      <c r="N2044">
        <f>IF($A2044="","",$K2044+(5002-ROW())/10000)</f>
        <v/>
      </c>
    </row>
    <row r="2045">
      <c r="K2045">
        <f>IF($A2045="","",SUM($E2045:$J2045))</f>
        <v/>
      </c>
      <c r="M2045">
        <f>IF($A2045="","",MAX(0,ROUNDUP(DASHBOARD!$F$3-$D2045,0)))</f>
        <v/>
      </c>
      <c r="N2045">
        <f>IF($A2045="","",$K2045+(5002-ROW())/10000)</f>
        <v/>
      </c>
    </row>
    <row r="2046">
      <c r="K2046">
        <f>IF($A2046="","",SUM($E2046:$J2046))</f>
        <v/>
      </c>
      <c r="M2046">
        <f>IF($A2046="","",MAX(0,ROUNDUP(DASHBOARD!$F$3-$D2046,0)))</f>
        <v/>
      </c>
      <c r="N2046">
        <f>IF($A2046="","",$K2046+(5002-ROW())/10000)</f>
        <v/>
      </c>
    </row>
    <row r="2047">
      <c r="K2047">
        <f>IF($A2047="","",SUM($E2047:$J2047))</f>
        <v/>
      </c>
      <c r="M2047">
        <f>IF($A2047="","",MAX(0,ROUNDUP(DASHBOARD!$F$3-$D2047,0)))</f>
        <v/>
      </c>
      <c r="N2047">
        <f>IF($A2047="","",$K2047+(5002-ROW())/10000)</f>
        <v/>
      </c>
    </row>
    <row r="2048">
      <c r="K2048">
        <f>IF($A2048="","",SUM($E2048:$J2048))</f>
        <v/>
      </c>
      <c r="M2048">
        <f>IF($A2048="","",MAX(0,ROUNDUP(DASHBOARD!$F$3-$D2048,0)))</f>
        <v/>
      </c>
      <c r="N2048">
        <f>IF($A2048="","",$K2048+(5002-ROW())/10000)</f>
        <v/>
      </c>
    </row>
    <row r="2049">
      <c r="K2049">
        <f>IF($A2049="","",SUM($E2049:$J2049))</f>
        <v/>
      </c>
      <c r="M2049">
        <f>IF($A2049="","",MAX(0,ROUNDUP(DASHBOARD!$F$3-$D2049,0)))</f>
        <v/>
      </c>
      <c r="N2049">
        <f>IF($A2049="","",$K2049+(5002-ROW())/10000)</f>
        <v/>
      </c>
    </row>
    <row r="2050">
      <c r="K2050">
        <f>IF($A2050="","",SUM($E2050:$J2050))</f>
        <v/>
      </c>
      <c r="M2050">
        <f>IF($A2050="","",MAX(0,ROUNDUP(DASHBOARD!$F$3-$D2050,0)))</f>
        <v/>
      </c>
      <c r="N2050">
        <f>IF($A2050="","",$K2050+(5002-ROW())/10000)</f>
        <v/>
      </c>
    </row>
    <row r="2051">
      <c r="K2051">
        <f>IF($A2051="","",SUM($E2051:$J2051))</f>
        <v/>
      </c>
      <c r="M2051">
        <f>IF($A2051="","",MAX(0,ROUNDUP(DASHBOARD!$F$3-$D2051,0)))</f>
        <v/>
      </c>
      <c r="N2051">
        <f>IF($A2051="","",$K2051+(5002-ROW())/10000)</f>
        <v/>
      </c>
    </row>
    <row r="2052">
      <c r="K2052">
        <f>IF($A2052="","",SUM($E2052:$J2052))</f>
        <v/>
      </c>
      <c r="M2052">
        <f>IF($A2052="","",MAX(0,ROUNDUP(DASHBOARD!$F$3-$D2052,0)))</f>
        <v/>
      </c>
      <c r="N2052">
        <f>IF($A2052="","",$K2052+(5002-ROW())/10000)</f>
        <v/>
      </c>
    </row>
    <row r="2053">
      <c r="K2053">
        <f>IF($A2053="","",SUM($E2053:$J2053))</f>
        <v/>
      </c>
      <c r="M2053">
        <f>IF($A2053="","",MAX(0,ROUNDUP(DASHBOARD!$F$3-$D2053,0)))</f>
        <v/>
      </c>
      <c r="N2053">
        <f>IF($A2053="","",$K2053+(5002-ROW())/10000)</f>
        <v/>
      </c>
    </row>
    <row r="2054">
      <c r="K2054">
        <f>IF($A2054="","",SUM($E2054:$J2054))</f>
        <v/>
      </c>
      <c r="M2054">
        <f>IF($A2054="","",MAX(0,ROUNDUP(DASHBOARD!$F$3-$D2054,0)))</f>
        <v/>
      </c>
      <c r="N2054">
        <f>IF($A2054="","",$K2054+(5002-ROW())/10000)</f>
        <v/>
      </c>
    </row>
    <row r="2055">
      <c r="K2055">
        <f>IF($A2055="","",SUM($E2055:$J2055))</f>
        <v/>
      </c>
      <c r="M2055">
        <f>IF($A2055="","",MAX(0,ROUNDUP(DASHBOARD!$F$3-$D2055,0)))</f>
        <v/>
      </c>
      <c r="N2055">
        <f>IF($A2055="","",$K2055+(5002-ROW())/10000)</f>
        <v/>
      </c>
    </row>
    <row r="2056">
      <c r="K2056">
        <f>IF($A2056="","",SUM($E2056:$J2056))</f>
        <v/>
      </c>
      <c r="M2056">
        <f>IF($A2056="","",MAX(0,ROUNDUP(DASHBOARD!$F$3-$D2056,0)))</f>
        <v/>
      </c>
      <c r="N2056">
        <f>IF($A2056="","",$K2056+(5002-ROW())/10000)</f>
        <v/>
      </c>
    </row>
    <row r="2057">
      <c r="K2057">
        <f>IF($A2057="","",SUM($E2057:$J2057))</f>
        <v/>
      </c>
      <c r="M2057">
        <f>IF($A2057="","",MAX(0,ROUNDUP(DASHBOARD!$F$3-$D2057,0)))</f>
        <v/>
      </c>
      <c r="N2057">
        <f>IF($A2057="","",$K2057+(5002-ROW())/10000)</f>
        <v/>
      </c>
    </row>
    <row r="2058">
      <c r="K2058">
        <f>IF($A2058="","",SUM($E2058:$J2058))</f>
        <v/>
      </c>
      <c r="M2058">
        <f>IF($A2058="","",MAX(0,ROUNDUP(DASHBOARD!$F$3-$D2058,0)))</f>
        <v/>
      </c>
      <c r="N2058">
        <f>IF($A2058="","",$K2058+(5002-ROW())/10000)</f>
        <v/>
      </c>
    </row>
    <row r="2059">
      <c r="K2059">
        <f>IF($A2059="","",SUM($E2059:$J2059))</f>
        <v/>
      </c>
      <c r="M2059">
        <f>IF($A2059="","",MAX(0,ROUNDUP(DASHBOARD!$F$3-$D2059,0)))</f>
        <v/>
      </c>
      <c r="N2059">
        <f>IF($A2059="","",$K2059+(5002-ROW())/10000)</f>
        <v/>
      </c>
    </row>
    <row r="2060">
      <c r="K2060">
        <f>IF($A2060="","",SUM($E2060:$J2060))</f>
        <v/>
      </c>
      <c r="M2060">
        <f>IF($A2060="","",MAX(0,ROUNDUP(DASHBOARD!$F$3-$D2060,0)))</f>
        <v/>
      </c>
      <c r="N2060">
        <f>IF($A2060="","",$K2060+(5002-ROW())/10000)</f>
        <v/>
      </c>
    </row>
    <row r="2061">
      <c r="K2061">
        <f>IF($A2061="","",SUM($E2061:$J2061))</f>
        <v/>
      </c>
      <c r="M2061">
        <f>IF($A2061="","",MAX(0,ROUNDUP(DASHBOARD!$F$3-$D2061,0)))</f>
        <v/>
      </c>
      <c r="N2061">
        <f>IF($A2061="","",$K2061+(5002-ROW())/10000)</f>
        <v/>
      </c>
    </row>
    <row r="2062">
      <c r="K2062">
        <f>IF($A2062="","",SUM($E2062:$J2062))</f>
        <v/>
      </c>
      <c r="M2062">
        <f>IF($A2062="","",MAX(0,ROUNDUP(DASHBOARD!$F$3-$D2062,0)))</f>
        <v/>
      </c>
      <c r="N2062">
        <f>IF($A2062="","",$K2062+(5002-ROW())/10000)</f>
        <v/>
      </c>
    </row>
    <row r="2063">
      <c r="K2063">
        <f>IF($A2063="","",SUM($E2063:$J2063))</f>
        <v/>
      </c>
      <c r="M2063">
        <f>IF($A2063="","",MAX(0,ROUNDUP(DASHBOARD!$F$3-$D2063,0)))</f>
        <v/>
      </c>
      <c r="N2063">
        <f>IF($A2063="","",$K2063+(5002-ROW())/10000)</f>
        <v/>
      </c>
    </row>
    <row r="2064">
      <c r="K2064">
        <f>IF($A2064="","",SUM($E2064:$J2064))</f>
        <v/>
      </c>
      <c r="M2064">
        <f>IF($A2064="","",MAX(0,ROUNDUP(DASHBOARD!$F$3-$D2064,0)))</f>
        <v/>
      </c>
      <c r="N2064">
        <f>IF($A2064="","",$K2064+(5002-ROW())/10000)</f>
        <v/>
      </c>
    </row>
    <row r="2065">
      <c r="K2065">
        <f>IF($A2065="","",SUM($E2065:$J2065))</f>
        <v/>
      </c>
      <c r="M2065">
        <f>IF($A2065="","",MAX(0,ROUNDUP(DASHBOARD!$F$3-$D2065,0)))</f>
        <v/>
      </c>
      <c r="N2065">
        <f>IF($A2065="","",$K2065+(5002-ROW())/10000)</f>
        <v/>
      </c>
    </row>
    <row r="2066">
      <c r="K2066">
        <f>IF($A2066="","",SUM($E2066:$J2066))</f>
        <v/>
      </c>
      <c r="M2066">
        <f>IF($A2066="","",MAX(0,ROUNDUP(DASHBOARD!$F$3-$D2066,0)))</f>
        <v/>
      </c>
      <c r="N2066">
        <f>IF($A2066="","",$K2066+(5002-ROW())/10000)</f>
        <v/>
      </c>
    </row>
    <row r="2067">
      <c r="K2067">
        <f>IF($A2067="","",SUM($E2067:$J2067))</f>
        <v/>
      </c>
      <c r="M2067">
        <f>IF($A2067="","",MAX(0,ROUNDUP(DASHBOARD!$F$3-$D2067,0)))</f>
        <v/>
      </c>
      <c r="N2067">
        <f>IF($A2067="","",$K2067+(5002-ROW())/10000)</f>
        <v/>
      </c>
    </row>
    <row r="2068">
      <c r="K2068">
        <f>IF($A2068="","",SUM($E2068:$J2068))</f>
        <v/>
      </c>
      <c r="M2068">
        <f>IF($A2068="","",MAX(0,ROUNDUP(DASHBOARD!$F$3-$D2068,0)))</f>
        <v/>
      </c>
      <c r="N2068">
        <f>IF($A2068="","",$K2068+(5002-ROW())/10000)</f>
        <v/>
      </c>
    </row>
    <row r="2069">
      <c r="K2069">
        <f>IF($A2069="","",SUM($E2069:$J2069))</f>
        <v/>
      </c>
      <c r="M2069">
        <f>IF($A2069="","",MAX(0,ROUNDUP(DASHBOARD!$F$3-$D2069,0)))</f>
        <v/>
      </c>
      <c r="N2069">
        <f>IF($A2069="","",$K2069+(5002-ROW())/10000)</f>
        <v/>
      </c>
    </row>
    <row r="2070">
      <c r="K2070">
        <f>IF($A2070="","",SUM($E2070:$J2070))</f>
        <v/>
      </c>
      <c r="M2070">
        <f>IF($A2070="","",MAX(0,ROUNDUP(DASHBOARD!$F$3-$D2070,0)))</f>
        <v/>
      </c>
      <c r="N2070">
        <f>IF($A2070="","",$K2070+(5002-ROW())/10000)</f>
        <v/>
      </c>
    </row>
    <row r="2071">
      <c r="K2071">
        <f>IF($A2071="","",SUM($E2071:$J2071))</f>
        <v/>
      </c>
      <c r="M2071">
        <f>IF($A2071="","",MAX(0,ROUNDUP(DASHBOARD!$F$3-$D2071,0)))</f>
        <v/>
      </c>
      <c r="N2071">
        <f>IF($A2071="","",$K2071+(5002-ROW())/10000)</f>
        <v/>
      </c>
    </row>
    <row r="2072">
      <c r="K2072">
        <f>IF($A2072="","",SUM($E2072:$J2072))</f>
        <v/>
      </c>
      <c r="M2072">
        <f>IF($A2072="","",MAX(0,ROUNDUP(DASHBOARD!$F$3-$D2072,0)))</f>
        <v/>
      </c>
      <c r="N2072">
        <f>IF($A2072="","",$K2072+(5002-ROW())/10000)</f>
        <v/>
      </c>
    </row>
    <row r="2073">
      <c r="K2073">
        <f>IF($A2073="","",SUM($E2073:$J2073))</f>
        <v/>
      </c>
      <c r="M2073">
        <f>IF($A2073="","",MAX(0,ROUNDUP(DASHBOARD!$F$3-$D2073,0)))</f>
        <v/>
      </c>
      <c r="N2073">
        <f>IF($A2073="","",$K2073+(5002-ROW())/10000)</f>
        <v/>
      </c>
    </row>
    <row r="2074">
      <c r="K2074">
        <f>IF($A2074="","",SUM($E2074:$J2074))</f>
        <v/>
      </c>
      <c r="M2074">
        <f>IF($A2074="","",MAX(0,ROUNDUP(DASHBOARD!$F$3-$D2074,0)))</f>
        <v/>
      </c>
      <c r="N2074">
        <f>IF($A2074="","",$K2074+(5002-ROW())/10000)</f>
        <v/>
      </c>
    </row>
    <row r="2075">
      <c r="K2075">
        <f>IF($A2075="","",SUM($E2075:$J2075))</f>
        <v/>
      </c>
      <c r="M2075">
        <f>IF($A2075="","",MAX(0,ROUNDUP(DASHBOARD!$F$3-$D2075,0)))</f>
        <v/>
      </c>
      <c r="N2075">
        <f>IF($A2075="","",$K2075+(5002-ROW())/10000)</f>
        <v/>
      </c>
    </row>
    <row r="2076">
      <c r="K2076">
        <f>IF($A2076="","",SUM($E2076:$J2076))</f>
        <v/>
      </c>
      <c r="M2076">
        <f>IF($A2076="","",MAX(0,ROUNDUP(DASHBOARD!$F$3-$D2076,0)))</f>
        <v/>
      </c>
      <c r="N2076">
        <f>IF($A2076="","",$K2076+(5002-ROW())/10000)</f>
        <v/>
      </c>
    </row>
    <row r="2077">
      <c r="K2077">
        <f>IF($A2077="","",SUM($E2077:$J2077))</f>
        <v/>
      </c>
      <c r="M2077">
        <f>IF($A2077="","",MAX(0,ROUNDUP(DASHBOARD!$F$3-$D2077,0)))</f>
        <v/>
      </c>
      <c r="N2077">
        <f>IF($A2077="","",$K2077+(5002-ROW())/10000)</f>
        <v/>
      </c>
    </row>
    <row r="2078">
      <c r="K2078">
        <f>IF($A2078="","",SUM($E2078:$J2078))</f>
        <v/>
      </c>
      <c r="M2078">
        <f>IF($A2078="","",MAX(0,ROUNDUP(DASHBOARD!$F$3-$D2078,0)))</f>
        <v/>
      </c>
      <c r="N2078">
        <f>IF($A2078="","",$K2078+(5002-ROW())/10000)</f>
        <v/>
      </c>
    </row>
    <row r="2079">
      <c r="K2079">
        <f>IF($A2079="","",SUM($E2079:$J2079))</f>
        <v/>
      </c>
      <c r="M2079">
        <f>IF($A2079="","",MAX(0,ROUNDUP(DASHBOARD!$F$3-$D2079,0)))</f>
        <v/>
      </c>
      <c r="N2079">
        <f>IF($A2079="","",$K2079+(5002-ROW())/10000)</f>
        <v/>
      </c>
    </row>
    <row r="2080">
      <c r="K2080">
        <f>IF($A2080="","",SUM($E2080:$J2080))</f>
        <v/>
      </c>
      <c r="M2080">
        <f>IF($A2080="","",MAX(0,ROUNDUP(DASHBOARD!$F$3-$D2080,0)))</f>
        <v/>
      </c>
      <c r="N2080">
        <f>IF($A2080="","",$K2080+(5002-ROW())/10000)</f>
        <v/>
      </c>
    </row>
    <row r="2081">
      <c r="K2081">
        <f>IF($A2081="","",SUM($E2081:$J2081))</f>
        <v/>
      </c>
      <c r="M2081">
        <f>IF($A2081="","",MAX(0,ROUNDUP(DASHBOARD!$F$3-$D2081,0)))</f>
        <v/>
      </c>
      <c r="N2081">
        <f>IF($A2081="","",$K2081+(5002-ROW())/10000)</f>
        <v/>
      </c>
    </row>
    <row r="2082">
      <c r="K2082">
        <f>IF($A2082="","",SUM($E2082:$J2082))</f>
        <v/>
      </c>
      <c r="M2082">
        <f>IF($A2082="","",MAX(0,ROUNDUP(DASHBOARD!$F$3-$D2082,0)))</f>
        <v/>
      </c>
      <c r="N2082">
        <f>IF($A2082="","",$K2082+(5002-ROW())/10000)</f>
        <v/>
      </c>
    </row>
    <row r="2083">
      <c r="K2083">
        <f>IF($A2083="","",SUM($E2083:$J2083))</f>
        <v/>
      </c>
      <c r="M2083">
        <f>IF($A2083="","",MAX(0,ROUNDUP(DASHBOARD!$F$3-$D2083,0)))</f>
        <v/>
      </c>
      <c r="N2083">
        <f>IF($A2083="","",$K2083+(5002-ROW())/10000)</f>
        <v/>
      </c>
    </row>
    <row r="2084">
      <c r="K2084">
        <f>IF($A2084="","",SUM($E2084:$J2084))</f>
        <v/>
      </c>
      <c r="M2084">
        <f>IF($A2084="","",MAX(0,ROUNDUP(DASHBOARD!$F$3-$D2084,0)))</f>
        <v/>
      </c>
      <c r="N2084">
        <f>IF($A2084="","",$K2084+(5002-ROW())/10000)</f>
        <v/>
      </c>
    </row>
    <row r="2085">
      <c r="K2085">
        <f>IF($A2085="","",SUM($E2085:$J2085))</f>
        <v/>
      </c>
      <c r="M2085">
        <f>IF($A2085="","",MAX(0,ROUNDUP(DASHBOARD!$F$3-$D2085,0)))</f>
        <v/>
      </c>
      <c r="N2085">
        <f>IF($A2085="","",$K2085+(5002-ROW())/10000)</f>
        <v/>
      </c>
    </row>
    <row r="2086">
      <c r="K2086">
        <f>IF($A2086="","",SUM($E2086:$J2086))</f>
        <v/>
      </c>
      <c r="M2086">
        <f>IF($A2086="","",MAX(0,ROUNDUP(DASHBOARD!$F$3-$D2086,0)))</f>
        <v/>
      </c>
      <c r="N2086">
        <f>IF($A2086="","",$K2086+(5002-ROW())/10000)</f>
        <v/>
      </c>
    </row>
    <row r="2087">
      <c r="K2087">
        <f>IF($A2087="","",SUM($E2087:$J2087))</f>
        <v/>
      </c>
      <c r="M2087">
        <f>IF($A2087="","",MAX(0,ROUNDUP(DASHBOARD!$F$3-$D2087,0)))</f>
        <v/>
      </c>
      <c r="N2087">
        <f>IF($A2087="","",$K2087+(5002-ROW())/10000)</f>
        <v/>
      </c>
    </row>
    <row r="2088">
      <c r="K2088">
        <f>IF($A2088="","",SUM($E2088:$J2088))</f>
        <v/>
      </c>
      <c r="M2088">
        <f>IF($A2088="","",MAX(0,ROUNDUP(DASHBOARD!$F$3-$D2088,0)))</f>
        <v/>
      </c>
      <c r="N2088">
        <f>IF($A2088="","",$K2088+(5002-ROW())/10000)</f>
        <v/>
      </c>
    </row>
    <row r="2089">
      <c r="K2089">
        <f>IF($A2089="","",SUM($E2089:$J2089))</f>
        <v/>
      </c>
      <c r="M2089">
        <f>IF($A2089="","",MAX(0,ROUNDUP(DASHBOARD!$F$3-$D2089,0)))</f>
        <v/>
      </c>
      <c r="N2089">
        <f>IF($A2089="","",$K2089+(5002-ROW())/10000)</f>
        <v/>
      </c>
    </row>
    <row r="2090">
      <c r="K2090">
        <f>IF($A2090="","",SUM($E2090:$J2090))</f>
        <v/>
      </c>
      <c r="M2090">
        <f>IF($A2090="","",MAX(0,ROUNDUP(DASHBOARD!$F$3-$D2090,0)))</f>
        <v/>
      </c>
      <c r="N2090">
        <f>IF($A2090="","",$K2090+(5002-ROW())/10000)</f>
        <v/>
      </c>
    </row>
    <row r="2091">
      <c r="K2091">
        <f>IF($A2091="","",SUM($E2091:$J2091))</f>
        <v/>
      </c>
      <c r="M2091">
        <f>IF($A2091="","",MAX(0,ROUNDUP(DASHBOARD!$F$3-$D2091,0)))</f>
        <v/>
      </c>
      <c r="N2091">
        <f>IF($A2091="","",$K2091+(5002-ROW())/10000)</f>
        <v/>
      </c>
    </row>
    <row r="2092">
      <c r="K2092">
        <f>IF($A2092="","",SUM($E2092:$J2092))</f>
        <v/>
      </c>
      <c r="M2092">
        <f>IF($A2092="","",MAX(0,ROUNDUP(DASHBOARD!$F$3-$D2092,0)))</f>
        <v/>
      </c>
      <c r="N2092">
        <f>IF($A2092="","",$K2092+(5002-ROW())/10000)</f>
        <v/>
      </c>
    </row>
    <row r="2093">
      <c r="K2093">
        <f>IF($A2093="","",SUM($E2093:$J2093))</f>
        <v/>
      </c>
      <c r="M2093">
        <f>IF($A2093="","",MAX(0,ROUNDUP(DASHBOARD!$F$3-$D2093,0)))</f>
        <v/>
      </c>
      <c r="N2093">
        <f>IF($A2093="","",$K2093+(5002-ROW())/10000)</f>
        <v/>
      </c>
    </row>
    <row r="2094">
      <c r="K2094">
        <f>IF($A2094="","",SUM($E2094:$J2094))</f>
        <v/>
      </c>
      <c r="M2094">
        <f>IF($A2094="","",MAX(0,ROUNDUP(DASHBOARD!$F$3-$D2094,0)))</f>
        <v/>
      </c>
      <c r="N2094">
        <f>IF($A2094="","",$K2094+(5002-ROW())/10000)</f>
        <v/>
      </c>
    </row>
    <row r="2095">
      <c r="K2095">
        <f>IF($A2095="","",SUM($E2095:$J2095))</f>
        <v/>
      </c>
      <c r="M2095">
        <f>IF($A2095="","",MAX(0,ROUNDUP(DASHBOARD!$F$3-$D2095,0)))</f>
        <v/>
      </c>
      <c r="N2095">
        <f>IF($A2095="","",$K2095+(5002-ROW())/10000)</f>
        <v/>
      </c>
    </row>
    <row r="2096">
      <c r="K2096">
        <f>IF($A2096="","",SUM($E2096:$J2096))</f>
        <v/>
      </c>
      <c r="M2096">
        <f>IF($A2096="","",MAX(0,ROUNDUP(DASHBOARD!$F$3-$D2096,0)))</f>
        <v/>
      </c>
      <c r="N2096">
        <f>IF($A2096="","",$K2096+(5002-ROW())/10000)</f>
        <v/>
      </c>
    </row>
    <row r="2097">
      <c r="K2097">
        <f>IF($A2097="","",SUM($E2097:$J2097))</f>
        <v/>
      </c>
      <c r="M2097">
        <f>IF($A2097="","",MAX(0,ROUNDUP(DASHBOARD!$F$3-$D2097,0)))</f>
        <v/>
      </c>
      <c r="N2097">
        <f>IF($A2097="","",$K2097+(5002-ROW())/10000)</f>
        <v/>
      </c>
    </row>
    <row r="2098">
      <c r="K2098">
        <f>IF($A2098="","",SUM($E2098:$J2098))</f>
        <v/>
      </c>
      <c r="M2098">
        <f>IF($A2098="","",MAX(0,ROUNDUP(DASHBOARD!$F$3-$D2098,0)))</f>
        <v/>
      </c>
      <c r="N2098">
        <f>IF($A2098="","",$K2098+(5002-ROW())/10000)</f>
        <v/>
      </c>
    </row>
    <row r="2099">
      <c r="K2099">
        <f>IF($A2099="","",SUM($E2099:$J2099))</f>
        <v/>
      </c>
      <c r="M2099">
        <f>IF($A2099="","",MAX(0,ROUNDUP(DASHBOARD!$F$3-$D2099,0)))</f>
        <v/>
      </c>
      <c r="N2099">
        <f>IF($A2099="","",$K2099+(5002-ROW())/10000)</f>
        <v/>
      </c>
    </row>
    <row r="2100">
      <c r="K2100">
        <f>IF($A2100="","",SUM($E2100:$J2100))</f>
        <v/>
      </c>
      <c r="M2100">
        <f>IF($A2100="","",MAX(0,ROUNDUP(DASHBOARD!$F$3-$D2100,0)))</f>
        <v/>
      </c>
      <c r="N2100">
        <f>IF($A2100="","",$K2100+(5002-ROW())/10000)</f>
        <v/>
      </c>
    </row>
    <row r="2101">
      <c r="K2101">
        <f>IF($A2101="","",SUM($E2101:$J2101))</f>
        <v/>
      </c>
      <c r="M2101">
        <f>IF($A2101="","",MAX(0,ROUNDUP(DASHBOARD!$F$3-$D2101,0)))</f>
        <v/>
      </c>
      <c r="N2101">
        <f>IF($A2101="","",$K2101+(5002-ROW())/10000)</f>
        <v/>
      </c>
    </row>
    <row r="2102">
      <c r="K2102">
        <f>IF($A2102="","",SUM($E2102:$J2102))</f>
        <v/>
      </c>
      <c r="M2102">
        <f>IF($A2102="","",MAX(0,ROUNDUP(DASHBOARD!$F$3-$D2102,0)))</f>
        <v/>
      </c>
      <c r="N2102">
        <f>IF($A2102="","",$K2102+(5002-ROW())/10000)</f>
        <v/>
      </c>
    </row>
    <row r="2103">
      <c r="K2103">
        <f>IF($A2103="","",SUM($E2103:$J2103))</f>
        <v/>
      </c>
      <c r="M2103">
        <f>IF($A2103="","",MAX(0,ROUNDUP(DASHBOARD!$F$3-$D2103,0)))</f>
        <v/>
      </c>
      <c r="N2103">
        <f>IF($A2103="","",$K2103+(5002-ROW())/10000)</f>
        <v/>
      </c>
    </row>
    <row r="2104">
      <c r="K2104">
        <f>IF($A2104="","",SUM($E2104:$J2104))</f>
        <v/>
      </c>
      <c r="M2104">
        <f>IF($A2104="","",MAX(0,ROUNDUP(DASHBOARD!$F$3-$D2104,0)))</f>
        <v/>
      </c>
      <c r="N2104">
        <f>IF($A2104="","",$K2104+(5002-ROW())/10000)</f>
        <v/>
      </c>
    </row>
    <row r="2105">
      <c r="K2105">
        <f>IF($A2105="","",SUM($E2105:$J2105))</f>
        <v/>
      </c>
      <c r="M2105">
        <f>IF($A2105="","",MAX(0,ROUNDUP(DASHBOARD!$F$3-$D2105,0)))</f>
        <v/>
      </c>
      <c r="N2105">
        <f>IF($A2105="","",$K2105+(5002-ROW())/10000)</f>
        <v/>
      </c>
    </row>
    <row r="2106">
      <c r="K2106">
        <f>IF($A2106="","",SUM($E2106:$J2106))</f>
        <v/>
      </c>
      <c r="M2106">
        <f>IF($A2106="","",MAX(0,ROUNDUP(DASHBOARD!$F$3-$D2106,0)))</f>
        <v/>
      </c>
      <c r="N2106">
        <f>IF($A2106="","",$K2106+(5002-ROW())/10000)</f>
        <v/>
      </c>
    </row>
    <row r="2107">
      <c r="K2107">
        <f>IF($A2107="","",SUM($E2107:$J2107))</f>
        <v/>
      </c>
      <c r="M2107">
        <f>IF($A2107="","",MAX(0,ROUNDUP(DASHBOARD!$F$3-$D2107,0)))</f>
        <v/>
      </c>
      <c r="N2107">
        <f>IF($A2107="","",$K2107+(5002-ROW())/10000)</f>
        <v/>
      </c>
    </row>
    <row r="2108">
      <c r="K2108">
        <f>IF($A2108="","",SUM($E2108:$J2108))</f>
        <v/>
      </c>
      <c r="M2108">
        <f>IF($A2108="","",MAX(0,ROUNDUP(DASHBOARD!$F$3-$D2108,0)))</f>
        <v/>
      </c>
      <c r="N2108">
        <f>IF($A2108="","",$K2108+(5002-ROW())/10000)</f>
        <v/>
      </c>
    </row>
    <row r="2109">
      <c r="K2109">
        <f>IF($A2109="","",SUM($E2109:$J2109))</f>
        <v/>
      </c>
      <c r="M2109">
        <f>IF($A2109="","",MAX(0,ROUNDUP(DASHBOARD!$F$3-$D2109,0)))</f>
        <v/>
      </c>
      <c r="N2109">
        <f>IF($A2109="","",$K2109+(5002-ROW())/10000)</f>
        <v/>
      </c>
    </row>
    <row r="2110">
      <c r="K2110">
        <f>IF($A2110="","",SUM($E2110:$J2110))</f>
        <v/>
      </c>
      <c r="M2110">
        <f>IF($A2110="","",MAX(0,ROUNDUP(DASHBOARD!$F$3-$D2110,0)))</f>
        <v/>
      </c>
      <c r="N2110">
        <f>IF($A2110="","",$K2110+(5002-ROW())/10000)</f>
        <v/>
      </c>
    </row>
    <row r="2111">
      <c r="K2111">
        <f>IF($A2111="","",SUM($E2111:$J2111))</f>
        <v/>
      </c>
      <c r="M2111">
        <f>IF($A2111="","",MAX(0,ROUNDUP(DASHBOARD!$F$3-$D2111,0)))</f>
        <v/>
      </c>
      <c r="N2111">
        <f>IF($A2111="","",$K2111+(5002-ROW())/10000)</f>
        <v/>
      </c>
    </row>
    <row r="2112">
      <c r="K2112">
        <f>IF($A2112="","",SUM($E2112:$J2112))</f>
        <v/>
      </c>
      <c r="M2112">
        <f>IF($A2112="","",MAX(0,ROUNDUP(DASHBOARD!$F$3-$D2112,0)))</f>
        <v/>
      </c>
      <c r="N2112">
        <f>IF($A2112="","",$K2112+(5002-ROW())/10000)</f>
        <v/>
      </c>
    </row>
    <row r="2113">
      <c r="K2113">
        <f>IF($A2113="","",SUM($E2113:$J2113))</f>
        <v/>
      </c>
      <c r="M2113">
        <f>IF($A2113="","",MAX(0,ROUNDUP(DASHBOARD!$F$3-$D2113,0)))</f>
        <v/>
      </c>
      <c r="N2113">
        <f>IF($A2113="","",$K2113+(5002-ROW())/10000)</f>
        <v/>
      </c>
    </row>
    <row r="2114">
      <c r="K2114">
        <f>IF($A2114="","",SUM($E2114:$J2114))</f>
        <v/>
      </c>
      <c r="M2114">
        <f>IF($A2114="","",MAX(0,ROUNDUP(DASHBOARD!$F$3-$D2114,0)))</f>
        <v/>
      </c>
      <c r="N2114">
        <f>IF($A2114="","",$K2114+(5002-ROW())/10000)</f>
        <v/>
      </c>
    </row>
    <row r="2115">
      <c r="K2115">
        <f>IF($A2115="","",SUM($E2115:$J2115))</f>
        <v/>
      </c>
      <c r="M2115">
        <f>IF($A2115="","",MAX(0,ROUNDUP(DASHBOARD!$F$3-$D2115,0)))</f>
        <v/>
      </c>
      <c r="N2115">
        <f>IF($A2115="","",$K2115+(5002-ROW())/10000)</f>
        <v/>
      </c>
    </row>
    <row r="2116">
      <c r="K2116">
        <f>IF($A2116="","",SUM($E2116:$J2116))</f>
        <v/>
      </c>
      <c r="M2116">
        <f>IF($A2116="","",MAX(0,ROUNDUP(DASHBOARD!$F$3-$D2116,0)))</f>
        <v/>
      </c>
      <c r="N2116">
        <f>IF($A2116="","",$K2116+(5002-ROW())/10000)</f>
        <v/>
      </c>
    </row>
    <row r="2117">
      <c r="K2117">
        <f>IF($A2117="","",SUM($E2117:$J2117))</f>
        <v/>
      </c>
      <c r="M2117">
        <f>IF($A2117="","",MAX(0,ROUNDUP(DASHBOARD!$F$3-$D2117,0)))</f>
        <v/>
      </c>
      <c r="N2117">
        <f>IF($A2117="","",$K2117+(5002-ROW())/10000)</f>
        <v/>
      </c>
    </row>
    <row r="2118">
      <c r="K2118">
        <f>IF($A2118="","",SUM($E2118:$J2118))</f>
        <v/>
      </c>
      <c r="M2118">
        <f>IF($A2118="","",MAX(0,ROUNDUP(DASHBOARD!$F$3-$D2118,0)))</f>
        <v/>
      </c>
      <c r="N2118">
        <f>IF($A2118="","",$K2118+(5002-ROW())/10000)</f>
        <v/>
      </c>
    </row>
    <row r="2119">
      <c r="K2119">
        <f>IF($A2119="","",SUM($E2119:$J2119))</f>
        <v/>
      </c>
      <c r="M2119">
        <f>IF($A2119="","",MAX(0,ROUNDUP(DASHBOARD!$F$3-$D2119,0)))</f>
        <v/>
      </c>
      <c r="N2119">
        <f>IF($A2119="","",$K2119+(5002-ROW())/10000)</f>
        <v/>
      </c>
    </row>
    <row r="2120">
      <c r="K2120">
        <f>IF($A2120="","",SUM($E2120:$J2120))</f>
        <v/>
      </c>
      <c r="M2120">
        <f>IF($A2120="","",MAX(0,ROUNDUP(DASHBOARD!$F$3-$D2120,0)))</f>
        <v/>
      </c>
      <c r="N2120">
        <f>IF($A2120="","",$K2120+(5002-ROW())/10000)</f>
        <v/>
      </c>
    </row>
    <row r="2121">
      <c r="K2121">
        <f>IF($A2121="","",SUM($E2121:$J2121))</f>
        <v/>
      </c>
      <c r="M2121">
        <f>IF($A2121="","",MAX(0,ROUNDUP(DASHBOARD!$F$3-$D2121,0)))</f>
        <v/>
      </c>
      <c r="N2121">
        <f>IF($A2121="","",$K2121+(5002-ROW())/10000)</f>
        <v/>
      </c>
    </row>
    <row r="2122">
      <c r="K2122">
        <f>IF($A2122="","",SUM($E2122:$J2122))</f>
        <v/>
      </c>
      <c r="M2122">
        <f>IF($A2122="","",MAX(0,ROUNDUP(DASHBOARD!$F$3-$D2122,0)))</f>
        <v/>
      </c>
      <c r="N2122">
        <f>IF($A2122="","",$K2122+(5002-ROW())/10000)</f>
        <v/>
      </c>
    </row>
    <row r="2123">
      <c r="K2123">
        <f>IF($A2123="","",SUM($E2123:$J2123))</f>
        <v/>
      </c>
      <c r="M2123">
        <f>IF($A2123="","",MAX(0,ROUNDUP(DASHBOARD!$F$3-$D2123,0)))</f>
        <v/>
      </c>
      <c r="N2123">
        <f>IF($A2123="","",$K2123+(5002-ROW())/10000)</f>
        <v/>
      </c>
    </row>
    <row r="2124">
      <c r="K2124">
        <f>IF($A2124="","",SUM($E2124:$J2124))</f>
        <v/>
      </c>
      <c r="M2124">
        <f>IF($A2124="","",MAX(0,ROUNDUP(DASHBOARD!$F$3-$D2124,0)))</f>
        <v/>
      </c>
      <c r="N2124">
        <f>IF($A2124="","",$K2124+(5002-ROW())/10000)</f>
        <v/>
      </c>
    </row>
    <row r="2125">
      <c r="K2125">
        <f>IF($A2125="","",SUM($E2125:$J2125))</f>
        <v/>
      </c>
      <c r="M2125">
        <f>IF($A2125="","",MAX(0,ROUNDUP(DASHBOARD!$F$3-$D2125,0)))</f>
        <v/>
      </c>
      <c r="N2125">
        <f>IF($A2125="","",$K2125+(5002-ROW())/10000)</f>
        <v/>
      </c>
    </row>
    <row r="2126">
      <c r="K2126">
        <f>IF($A2126="","",SUM($E2126:$J2126))</f>
        <v/>
      </c>
      <c r="M2126">
        <f>IF($A2126="","",MAX(0,ROUNDUP(DASHBOARD!$F$3-$D2126,0)))</f>
        <v/>
      </c>
      <c r="N2126">
        <f>IF($A2126="","",$K2126+(5002-ROW())/10000)</f>
        <v/>
      </c>
    </row>
    <row r="2127">
      <c r="K2127">
        <f>IF($A2127="","",SUM($E2127:$J2127))</f>
        <v/>
      </c>
      <c r="M2127">
        <f>IF($A2127="","",MAX(0,ROUNDUP(DASHBOARD!$F$3-$D2127,0)))</f>
        <v/>
      </c>
      <c r="N2127">
        <f>IF($A2127="","",$K2127+(5002-ROW())/10000)</f>
        <v/>
      </c>
    </row>
    <row r="2128">
      <c r="K2128">
        <f>IF($A2128="","",SUM($E2128:$J2128))</f>
        <v/>
      </c>
      <c r="M2128">
        <f>IF($A2128="","",MAX(0,ROUNDUP(DASHBOARD!$F$3-$D2128,0)))</f>
        <v/>
      </c>
      <c r="N2128">
        <f>IF($A2128="","",$K2128+(5002-ROW())/10000)</f>
        <v/>
      </c>
    </row>
    <row r="2129">
      <c r="K2129">
        <f>IF($A2129="","",SUM($E2129:$J2129))</f>
        <v/>
      </c>
      <c r="M2129">
        <f>IF($A2129="","",MAX(0,ROUNDUP(DASHBOARD!$F$3-$D2129,0)))</f>
        <v/>
      </c>
      <c r="N2129">
        <f>IF($A2129="","",$K2129+(5002-ROW())/10000)</f>
        <v/>
      </c>
    </row>
    <row r="2130">
      <c r="K2130">
        <f>IF($A2130="","",SUM($E2130:$J2130))</f>
        <v/>
      </c>
      <c r="M2130">
        <f>IF($A2130="","",MAX(0,ROUNDUP(DASHBOARD!$F$3-$D2130,0)))</f>
        <v/>
      </c>
      <c r="N2130">
        <f>IF($A2130="","",$K2130+(5002-ROW())/10000)</f>
        <v/>
      </c>
    </row>
    <row r="2131">
      <c r="K2131">
        <f>IF($A2131="","",SUM($E2131:$J2131))</f>
        <v/>
      </c>
      <c r="M2131">
        <f>IF($A2131="","",MAX(0,ROUNDUP(DASHBOARD!$F$3-$D2131,0)))</f>
        <v/>
      </c>
      <c r="N2131">
        <f>IF($A2131="","",$K2131+(5002-ROW())/10000)</f>
        <v/>
      </c>
    </row>
    <row r="2132">
      <c r="K2132">
        <f>IF($A2132="","",SUM($E2132:$J2132))</f>
        <v/>
      </c>
      <c r="M2132">
        <f>IF($A2132="","",MAX(0,ROUNDUP(DASHBOARD!$F$3-$D2132,0)))</f>
        <v/>
      </c>
      <c r="N2132">
        <f>IF($A2132="","",$K2132+(5002-ROW())/10000)</f>
        <v/>
      </c>
    </row>
    <row r="2133">
      <c r="K2133">
        <f>IF($A2133="","",SUM($E2133:$J2133))</f>
        <v/>
      </c>
      <c r="M2133">
        <f>IF($A2133="","",MAX(0,ROUNDUP(DASHBOARD!$F$3-$D2133,0)))</f>
        <v/>
      </c>
      <c r="N2133">
        <f>IF($A2133="","",$K2133+(5002-ROW())/10000)</f>
        <v/>
      </c>
    </row>
    <row r="2134">
      <c r="K2134">
        <f>IF($A2134="","",SUM($E2134:$J2134))</f>
        <v/>
      </c>
      <c r="M2134">
        <f>IF($A2134="","",MAX(0,ROUNDUP(DASHBOARD!$F$3-$D2134,0)))</f>
        <v/>
      </c>
      <c r="N2134">
        <f>IF($A2134="","",$K2134+(5002-ROW())/10000)</f>
        <v/>
      </c>
    </row>
    <row r="2135">
      <c r="K2135">
        <f>IF($A2135="","",SUM($E2135:$J2135))</f>
        <v/>
      </c>
      <c r="M2135">
        <f>IF($A2135="","",MAX(0,ROUNDUP(DASHBOARD!$F$3-$D2135,0)))</f>
        <v/>
      </c>
      <c r="N2135">
        <f>IF($A2135="","",$K2135+(5002-ROW())/10000)</f>
        <v/>
      </c>
    </row>
    <row r="2136">
      <c r="K2136">
        <f>IF($A2136="","",SUM($E2136:$J2136))</f>
        <v/>
      </c>
      <c r="M2136">
        <f>IF($A2136="","",MAX(0,ROUNDUP(DASHBOARD!$F$3-$D2136,0)))</f>
        <v/>
      </c>
      <c r="N2136">
        <f>IF($A2136="","",$K2136+(5002-ROW())/10000)</f>
        <v/>
      </c>
    </row>
    <row r="2137">
      <c r="K2137">
        <f>IF($A2137="","",SUM($E2137:$J2137))</f>
        <v/>
      </c>
      <c r="M2137">
        <f>IF($A2137="","",MAX(0,ROUNDUP(DASHBOARD!$F$3-$D2137,0)))</f>
        <v/>
      </c>
      <c r="N2137">
        <f>IF($A2137="","",$K2137+(5002-ROW())/10000)</f>
        <v/>
      </c>
    </row>
    <row r="2138">
      <c r="K2138">
        <f>IF($A2138="","",SUM($E2138:$J2138))</f>
        <v/>
      </c>
      <c r="M2138">
        <f>IF($A2138="","",MAX(0,ROUNDUP(DASHBOARD!$F$3-$D2138,0)))</f>
        <v/>
      </c>
      <c r="N2138">
        <f>IF($A2138="","",$K2138+(5002-ROW())/10000)</f>
        <v/>
      </c>
    </row>
    <row r="2139">
      <c r="K2139">
        <f>IF($A2139="","",SUM($E2139:$J2139))</f>
        <v/>
      </c>
      <c r="M2139">
        <f>IF($A2139="","",MAX(0,ROUNDUP(DASHBOARD!$F$3-$D2139,0)))</f>
        <v/>
      </c>
      <c r="N2139">
        <f>IF($A2139="","",$K2139+(5002-ROW())/10000)</f>
        <v/>
      </c>
    </row>
    <row r="2140">
      <c r="K2140">
        <f>IF($A2140="","",SUM($E2140:$J2140))</f>
        <v/>
      </c>
      <c r="M2140">
        <f>IF($A2140="","",MAX(0,ROUNDUP(DASHBOARD!$F$3-$D2140,0)))</f>
        <v/>
      </c>
      <c r="N2140">
        <f>IF($A2140="","",$K2140+(5002-ROW())/10000)</f>
        <v/>
      </c>
    </row>
    <row r="2141">
      <c r="K2141">
        <f>IF($A2141="","",SUM($E2141:$J2141))</f>
        <v/>
      </c>
      <c r="M2141">
        <f>IF($A2141="","",MAX(0,ROUNDUP(DASHBOARD!$F$3-$D2141,0)))</f>
        <v/>
      </c>
      <c r="N2141">
        <f>IF($A2141="","",$K2141+(5002-ROW())/10000)</f>
        <v/>
      </c>
    </row>
    <row r="2142">
      <c r="K2142">
        <f>IF($A2142="","",SUM($E2142:$J2142))</f>
        <v/>
      </c>
      <c r="M2142">
        <f>IF($A2142="","",MAX(0,ROUNDUP(DASHBOARD!$F$3-$D2142,0)))</f>
        <v/>
      </c>
      <c r="N2142">
        <f>IF($A2142="","",$K2142+(5002-ROW())/10000)</f>
        <v/>
      </c>
    </row>
    <row r="2143">
      <c r="K2143">
        <f>IF($A2143="","",SUM($E2143:$J2143))</f>
        <v/>
      </c>
      <c r="M2143">
        <f>IF($A2143="","",MAX(0,ROUNDUP(DASHBOARD!$F$3-$D2143,0)))</f>
        <v/>
      </c>
      <c r="N2143">
        <f>IF($A2143="","",$K2143+(5002-ROW())/10000)</f>
        <v/>
      </c>
    </row>
    <row r="2144">
      <c r="K2144">
        <f>IF($A2144="","",SUM($E2144:$J2144))</f>
        <v/>
      </c>
      <c r="M2144">
        <f>IF($A2144="","",MAX(0,ROUNDUP(DASHBOARD!$F$3-$D2144,0)))</f>
        <v/>
      </c>
      <c r="N2144">
        <f>IF($A2144="","",$K2144+(5002-ROW())/10000)</f>
        <v/>
      </c>
    </row>
    <row r="2145">
      <c r="K2145">
        <f>IF($A2145="","",SUM($E2145:$J2145))</f>
        <v/>
      </c>
      <c r="M2145">
        <f>IF($A2145="","",MAX(0,ROUNDUP(DASHBOARD!$F$3-$D2145,0)))</f>
        <v/>
      </c>
      <c r="N2145">
        <f>IF($A2145="","",$K2145+(5002-ROW())/10000)</f>
        <v/>
      </c>
    </row>
    <row r="2146">
      <c r="K2146">
        <f>IF($A2146="","",SUM($E2146:$J2146))</f>
        <v/>
      </c>
      <c r="M2146">
        <f>IF($A2146="","",MAX(0,ROUNDUP(DASHBOARD!$F$3-$D2146,0)))</f>
        <v/>
      </c>
      <c r="N2146">
        <f>IF($A2146="","",$K2146+(5002-ROW())/10000)</f>
        <v/>
      </c>
    </row>
    <row r="2147">
      <c r="K2147">
        <f>IF($A2147="","",SUM($E2147:$J2147))</f>
        <v/>
      </c>
      <c r="M2147">
        <f>IF($A2147="","",MAX(0,ROUNDUP(DASHBOARD!$F$3-$D2147,0)))</f>
        <v/>
      </c>
      <c r="N2147">
        <f>IF($A2147="","",$K2147+(5002-ROW())/10000)</f>
        <v/>
      </c>
    </row>
    <row r="2148">
      <c r="K2148">
        <f>IF($A2148="","",SUM($E2148:$J2148))</f>
        <v/>
      </c>
      <c r="M2148">
        <f>IF($A2148="","",MAX(0,ROUNDUP(DASHBOARD!$F$3-$D2148,0)))</f>
        <v/>
      </c>
      <c r="N2148">
        <f>IF($A2148="","",$K2148+(5002-ROW())/10000)</f>
        <v/>
      </c>
    </row>
    <row r="2149">
      <c r="K2149">
        <f>IF($A2149="","",SUM($E2149:$J2149))</f>
        <v/>
      </c>
      <c r="M2149">
        <f>IF($A2149="","",MAX(0,ROUNDUP(DASHBOARD!$F$3-$D2149,0)))</f>
        <v/>
      </c>
      <c r="N2149">
        <f>IF($A2149="","",$K2149+(5002-ROW())/10000)</f>
        <v/>
      </c>
    </row>
    <row r="2150">
      <c r="K2150">
        <f>IF($A2150="","",SUM($E2150:$J2150))</f>
        <v/>
      </c>
      <c r="M2150">
        <f>IF($A2150="","",MAX(0,ROUNDUP(DASHBOARD!$F$3-$D2150,0)))</f>
        <v/>
      </c>
      <c r="N2150">
        <f>IF($A2150="","",$K2150+(5002-ROW())/10000)</f>
        <v/>
      </c>
    </row>
    <row r="2151">
      <c r="K2151">
        <f>IF($A2151="","",SUM($E2151:$J2151))</f>
        <v/>
      </c>
      <c r="M2151">
        <f>IF($A2151="","",MAX(0,ROUNDUP(DASHBOARD!$F$3-$D2151,0)))</f>
        <v/>
      </c>
      <c r="N2151">
        <f>IF($A2151="","",$K2151+(5002-ROW())/10000)</f>
        <v/>
      </c>
    </row>
    <row r="2152">
      <c r="K2152">
        <f>IF($A2152="","",SUM($E2152:$J2152))</f>
        <v/>
      </c>
      <c r="M2152">
        <f>IF($A2152="","",MAX(0,ROUNDUP(DASHBOARD!$F$3-$D2152,0)))</f>
        <v/>
      </c>
      <c r="N2152">
        <f>IF($A2152="","",$K2152+(5002-ROW())/10000)</f>
        <v/>
      </c>
    </row>
    <row r="2153">
      <c r="K2153">
        <f>IF($A2153="","",SUM($E2153:$J2153))</f>
        <v/>
      </c>
      <c r="M2153">
        <f>IF($A2153="","",MAX(0,ROUNDUP(DASHBOARD!$F$3-$D2153,0)))</f>
        <v/>
      </c>
      <c r="N2153">
        <f>IF($A2153="","",$K2153+(5002-ROW())/10000)</f>
        <v/>
      </c>
    </row>
    <row r="2154">
      <c r="K2154">
        <f>IF($A2154="","",SUM($E2154:$J2154))</f>
        <v/>
      </c>
      <c r="M2154">
        <f>IF($A2154="","",MAX(0,ROUNDUP(DASHBOARD!$F$3-$D2154,0)))</f>
        <v/>
      </c>
      <c r="N2154">
        <f>IF($A2154="","",$K2154+(5002-ROW())/10000)</f>
        <v/>
      </c>
    </row>
    <row r="2155">
      <c r="K2155">
        <f>IF($A2155="","",SUM($E2155:$J2155))</f>
        <v/>
      </c>
      <c r="M2155">
        <f>IF($A2155="","",MAX(0,ROUNDUP(DASHBOARD!$F$3-$D2155,0)))</f>
        <v/>
      </c>
      <c r="N2155">
        <f>IF($A2155="","",$K2155+(5002-ROW())/10000)</f>
        <v/>
      </c>
    </row>
    <row r="2156">
      <c r="K2156">
        <f>IF($A2156="","",SUM($E2156:$J2156))</f>
        <v/>
      </c>
      <c r="M2156">
        <f>IF($A2156="","",MAX(0,ROUNDUP(DASHBOARD!$F$3-$D2156,0)))</f>
        <v/>
      </c>
      <c r="N2156">
        <f>IF($A2156="","",$K2156+(5002-ROW())/10000)</f>
        <v/>
      </c>
    </row>
    <row r="2157">
      <c r="K2157">
        <f>IF($A2157="","",SUM($E2157:$J2157))</f>
        <v/>
      </c>
      <c r="M2157">
        <f>IF($A2157="","",MAX(0,ROUNDUP(DASHBOARD!$F$3-$D2157,0)))</f>
        <v/>
      </c>
      <c r="N2157">
        <f>IF($A2157="","",$K2157+(5002-ROW())/10000)</f>
        <v/>
      </c>
    </row>
    <row r="2158">
      <c r="K2158">
        <f>IF($A2158="","",SUM($E2158:$J2158))</f>
        <v/>
      </c>
      <c r="M2158">
        <f>IF($A2158="","",MAX(0,ROUNDUP(DASHBOARD!$F$3-$D2158,0)))</f>
        <v/>
      </c>
      <c r="N2158">
        <f>IF($A2158="","",$K2158+(5002-ROW())/10000)</f>
        <v/>
      </c>
    </row>
    <row r="2159">
      <c r="K2159">
        <f>IF($A2159="","",SUM($E2159:$J2159))</f>
        <v/>
      </c>
      <c r="M2159">
        <f>IF($A2159="","",MAX(0,ROUNDUP(DASHBOARD!$F$3-$D2159,0)))</f>
        <v/>
      </c>
      <c r="N2159">
        <f>IF($A2159="","",$K2159+(5002-ROW())/10000)</f>
        <v/>
      </c>
    </row>
    <row r="2160">
      <c r="K2160">
        <f>IF($A2160="","",SUM($E2160:$J2160))</f>
        <v/>
      </c>
      <c r="M2160">
        <f>IF($A2160="","",MAX(0,ROUNDUP(DASHBOARD!$F$3-$D2160,0)))</f>
        <v/>
      </c>
      <c r="N2160">
        <f>IF($A2160="","",$K2160+(5002-ROW())/10000)</f>
        <v/>
      </c>
    </row>
    <row r="2161">
      <c r="K2161">
        <f>IF($A2161="","",SUM($E2161:$J2161))</f>
        <v/>
      </c>
      <c r="M2161">
        <f>IF($A2161="","",MAX(0,ROUNDUP(DASHBOARD!$F$3-$D2161,0)))</f>
        <v/>
      </c>
      <c r="N2161">
        <f>IF($A2161="","",$K2161+(5002-ROW())/10000)</f>
        <v/>
      </c>
    </row>
    <row r="2162">
      <c r="K2162">
        <f>IF($A2162="","",SUM($E2162:$J2162))</f>
        <v/>
      </c>
      <c r="M2162">
        <f>IF($A2162="","",MAX(0,ROUNDUP(DASHBOARD!$F$3-$D2162,0)))</f>
        <v/>
      </c>
      <c r="N2162">
        <f>IF($A2162="","",$K2162+(5002-ROW())/10000)</f>
        <v/>
      </c>
    </row>
    <row r="2163">
      <c r="K2163">
        <f>IF($A2163="","",SUM($E2163:$J2163))</f>
        <v/>
      </c>
      <c r="M2163">
        <f>IF($A2163="","",MAX(0,ROUNDUP(DASHBOARD!$F$3-$D2163,0)))</f>
        <v/>
      </c>
      <c r="N2163">
        <f>IF($A2163="","",$K2163+(5002-ROW())/10000)</f>
        <v/>
      </c>
    </row>
    <row r="2164">
      <c r="K2164">
        <f>IF($A2164="","",SUM($E2164:$J2164))</f>
        <v/>
      </c>
      <c r="M2164">
        <f>IF($A2164="","",MAX(0,ROUNDUP(DASHBOARD!$F$3-$D2164,0)))</f>
        <v/>
      </c>
      <c r="N2164">
        <f>IF($A2164="","",$K2164+(5002-ROW())/10000)</f>
        <v/>
      </c>
    </row>
    <row r="2165">
      <c r="K2165">
        <f>IF($A2165="","",SUM($E2165:$J2165))</f>
        <v/>
      </c>
      <c r="M2165">
        <f>IF($A2165="","",MAX(0,ROUNDUP(DASHBOARD!$F$3-$D2165,0)))</f>
        <v/>
      </c>
      <c r="N2165">
        <f>IF($A2165="","",$K2165+(5002-ROW())/10000)</f>
        <v/>
      </c>
    </row>
    <row r="2166">
      <c r="K2166">
        <f>IF($A2166="","",SUM($E2166:$J2166))</f>
        <v/>
      </c>
      <c r="M2166">
        <f>IF($A2166="","",MAX(0,ROUNDUP(DASHBOARD!$F$3-$D2166,0)))</f>
        <v/>
      </c>
      <c r="N2166">
        <f>IF($A2166="","",$K2166+(5002-ROW())/10000)</f>
        <v/>
      </c>
    </row>
    <row r="2167">
      <c r="K2167">
        <f>IF($A2167="","",SUM($E2167:$J2167))</f>
        <v/>
      </c>
      <c r="M2167">
        <f>IF($A2167="","",MAX(0,ROUNDUP(DASHBOARD!$F$3-$D2167,0)))</f>
        <v/>
      </c>
      <c r="N2167">
        <f>IF($A2167="","",$K2167+(5002-ROW())/10000)</f>
        <v/>
      </c>
    </row>
    <row r="2168">
      <c r="K2168">
        <f>IF($A2168="","",SUM($E2168:$J2168))</f>
        <v/>
      </c>
      <c r="M2168">
        <f>IF($A2168="","",MAX(0,ROUNDUP(DASHBOARD!$F$3-$D2168,0)))</f>
        <v/>
      </c>
      <c r="N2168">
        <f>IF($A2168="","",$K2168+(5002-ROW())/10000)</f>
        <v/>
      </c>
    </row>
    <row r="2169">
      <c r="K2169">
        <f>IF($A2169="","",SUM($E2169:$J2169))</f>
        <v/>
      </c>
      <c r="M2169">
        <f>IF($A2169="","",MAX(0,ROUNDUP(DASHBOARD!$F$3-$D2169,0)))</f>
        <v/>
      </c>
      <c r="N2169">
        <f>IF($A2169="","",$K2169+(5002-ROW())/10000)</f>
        <v/>
      </c>
    </row>
    <row r="2170">
      <c r="K2170">
        <f>IF($A2170="","",SUM($E2170:$J2170))</f>
        <v/>
      </c>
      <c r="M2170">
        <f>IF($A2170="","",MAX(0,ROUNDUP(DASHBOARD!$F$3-$D2170,0)))</f>
        <v/>
      </c>
      <c r="N2170">
        <f>IF($A2170="","",$K2170+(5002-ROW())/10000)</f>
        <v/>
      </c>
    </row>
    <row r="2171">
      <c r="K2171">
        <f>IF($A2171="","",SUM($E2171:$J2171))</f>
        <v/>
      </c>
      <c r="M2171">
        <f>IF($A2171="","",MAX(0,ROUNDUP(DASHBOARD!$F$3-$D2171,0)))</f>
        <v/>
      </c>
      <c r="N2171">
        <f>IF($A2171="","",$K2171+(5002-ROW())/10000)</f>
        <v/>
      </c>
    </row>
    <row r="2172">
      <c r="K2172">
        <f>IF($A2172="","",SUM($E2172:$J2172))</f>
        <v/>
      </c>
      <c r="M2172">
        <f>IF($A2172="","",MAX(0,ROUNDUP(DASHBOARD!$F$3-$D2172,0)))</f>
        <v/>
      </c>
      <c r="N2172">
        <f>IF($A2172="","",$K2172+(5002-ROW())/10000)</f>
        <v/>
      </c>
    </row>
    <row r="2173">
      <c r="K2173">
        <f>IF($A2173="","",SUM($E2173:$J2173))</f>
        <v/>
      </c>
      <c r="M2173">
        <f>IF($A2173="","",MAX(0,ROUNDUP(DASHBOARD!$F$3-$D2173,0)))</f>
        <v/>
      </c>
      <c r="N2173">
        <f>IF($A2173="","",$K2173+(5002-ROW())/10000)</f>
        <v/>
      </c>
    </row>
    <row r="2174">
      <c r="K2174">
        <f>IF($A2174="","",SUM($E2174:$J2174))</f>
        <v/>
      </c>
      <c r="M2174">
        <f>IF($A2174="","",MAX(0,ROUNDUP(DASHBOARD!$F$3-$D2174,0)))</f>
        <v/>
      </c>
      <c r="N2174">
        <f>IF($A2174="","",$K2174+(5002-ROW())/10000)</f>
        <v/>
      </c>
    </row>
    <row r="2175">
      <c r="K2175">
        <f>IF($A2175="","",SUM($E2175:$J2175))</f>
        <v/>
      </c>
      <c r="M2175">
        <f>IF($A2175="","",MAX(0,ROUNDUP(DASHBOARD!$F$3-$D2175,0)))</f>
        <v/>
      </c>
      <c r="N2175">
        <f>IF($A2175="","",$K2175+(5002-ROW())/10000)</f>
        <v/>
      </c>
    </row>
    <row r="2176">
      <c r="K2176">
        <f>IF($A2176="","",SUM($E2176:$J2176))</f>
        <v/>
      </c>
      <c r="M2176">
        <f>IF($A2176="","",MAX(0,ROUNDUP(DASHBOARD!$F$3-$D2176,0)))</f>
        <v/>
      </c>
      <c r="N2176">
        <f>IF($A2176="","",$K2176+(5002-ROW())/10000)</f>
        <v/>
      </c>
    </row>
    <row r="2177">
      <c r="K2177">
        <f>IF($A2177="","",SUM($E2177:$J2177))</f>
        <v/>
      </c>
      <c r="M2177">
        <f>IF($A2177="","",MAX(0,ROUNDUP(DASHBOARD!$F$3-$D2177,0)))</f>
        <v/>
      </c>
      <c r="N2177">
        <f>IF($A2177="","",$K2177+(5002-ROW())/10000)</f>
        <v/>
      </c>
    </row>
    <row r="2178">
      <c r="K2178">
        <f>IF($A2178="","",SUM($E2178:$J2178))</f>
        <v/>
      </c>
      <c r="M2178">
        <f>IF($A2178="","",MAX(0,ROUNDUP(DASHBOARD!$F$3-$D2178,0)))</f>
        <v/>
      </c>
      <c r="N2178">
        <f>IF($A2178="","",$K2178+(5002-ROW())/10000)</f>
        <v/>
      </c>
    </row>
    <row r="2179">
      <c r="K2179">
        <f>IF($A2179="","",SUM($E2179:$J2179))</f>
        <v/>
      </c>
      <c r="M2179">
        <f>IF($A2179="","",MAX(0,ROUNDUP(DASHBOARD!$F$3-$D2179,0)))</f>
        <v/>
      </c>
      <c r="N2179">
        <f>IF($A2179="","",$K2179+(5002-ROW())/10000)</f>
        <v/>
      </c>
    </row>
    <row r="2180">
      <c r="K2180">
        <f>IF($A2180="","",SUM($E2180:$J2180))</f>
        <v/>
      </c>
      <c r="M2180">
        <f>IF($A2180="","",MAX(0,ROUNDUP(DASHBOARD!$F$3-$D2180,0)))</f>
        <v/>
      </c>
      <c r="N2180">
        <f>IF($A2180="","",$K2180+(5002-ROW())/10000)</f>
        <v/>
      </c>
    </row>
    <row r="2181">
      <c r="K2181">
        <f>IF($A2181="","",SUM($E2181:$J2181))</f>
        <v/>
      </c>
      <c r="M2181">
        <f>IF($A2181="","",MAX(0,ROUNDUP(DASHBOARD!$F$3-$D2181,0)))</f>
        <v/>
      </c>
      <c r="N2181">
        <f>IF($A2181="","",$K2181+(5002-ROW())/10000)</f>
        <v/>
      </c>
    </row>
    <row r="2182">
      <c r="K2182">
        <f>IF($A2182="","",SUM($E2182:$J2182))</f>
        <v/>
      </c>
      <c r="M2182">
        <f>IF($A2182="","",MAX(0,ROUNDUP(DASHBOARD!$F$3-$D2182,0)))</f>
        <v/>
      </c>
      <c r="N2182">
        <f>IF($A2182="","",$K2182+(5002-ROW())/10000)</f>
        <v/>
      </c>
    </row>
    <row r="2183">
      <c r="K2183">
        <f>IF($A2183="","",SUM($E2183:$J2183))</f>
        <v/>
      </c>
      <c r="M2183">
        <f>IF($A2183="","",MAX(0,ROUNDUP(DASHBOARD!$F$3-$D2183,0)))</f>
        <v/>
      </c>
      <c r="N2183">
        <f>IF($A2183="","",$K2183+(5002-ROW())/10000)</f>
        <v/>
      </c>
    </row>
    <row r="2184">
      <c r="K2184">
        <f>IF($A2184="","",SUM($E2184:$J2184))</f>
        <v/>
      </c>
      <c r="M2184">
        <f>IF($A2184="","",MAX(0,ROUNDUP(DASHBOARD!$F$3-$D2184,0)))</f>
        <v/>
      </c>
      <c r="N2184">
        <f>IF($A2184="","",$K2184+(5002-ROW())/10000)</f>
        <v/>
      </c>
    </row>
    <row r="2185">
      <c r="K2185">
        <f>IF($A2185="","",SUM($E2185:$J2185))</f>
        <v/>
      </c>
      <c r="M2185">
        <f>IF($A2185="","",MAX(0,ROUNDUP(DASHBOARD!$F$3-$D2185,0)))</f>
        <v/>
      </c>
      <c r="N2185">
        <f>IF($A2185="","",$K2185+(5002-ROW())/10000)</f>
        <v/>
      </c>
    </row>
    <row r="2186">
      <c r="K2186">
        <f>IF($A2186="","",SUM($E2186:$J2186))</f>
        <v/>
      </c>
      <c r="M2186">
        <f>IF($A2186="","",MAX(0,ROUNDUP(DASHBOARD!$F$3-$D2186,0)))</f>
        <v/>
      </c>
      <c r="N2186">
        <f>IF($A2186="","",$K2186+(5002-ROW())/10000)</f>
        <v/>
      </c>
    </row>
    <row r="2187">
      <c r="K2187">
        <f>IF($A2187="","",SUM($E2187:$J2187))</f>
        <v/>
      </c>
      <c r="M2187">
        <f>IF($A2187="","",MAX(0,ROUNDUP(DASHBOARD!$F$3-$D2187,0)))</f>
        <v/>
      </c>
      <c r="N2187">
        <f>IF($A2187="","",$K2187+(5002-ROW())/10000)</f>
        <v/>
      </c>
    </row>
    <row r="2188">
      <c r="K2188">
        <f>IF($A2188="","",SUM($E2188:$J2188))</f>
        <v/>
      </c>
      <c r="M2188">
        <f>IF($A2188="","",MAX(0,ROUNDUP(DASHBOARD!$F$3-$D2188,0)))</f>
        <v/>
      </c>
      <c r="N2188">
        <f>IF($A2188="","",$K2188+(5002-ROW())/10000)</f>
        <v/>
      </c>
    </row>
    <row r="2189">
      <c r="K2189">
        <f>IF($A2189="","",SUM($E2189:$J2189))</f>
        <v/>
      </c>
      <c r="M2189">
        <f>IF($A2189="","",MAX(0,ROUNDUP(DASHBOARD!$F$3-$D2189,0)))</f>
        <v/>
      </c>
      <c r="N2189">
        <f>IF($A2189="","",$K2189+(5002-ROW())/10000)</f>
        <v/>
      </c>
    </row>
    <row r="2190">
      <c r="K2190">
        <f>IF($A2190="","",SUM($E2190:$J2190))</f>
        <v/>
      </c>
      <c r="M2190">
        <f>IF($A2190="","",MAX(0,ROUNDUP(DASHBOARD!$F$3-$D2190,0)))</f>
        <v/>
      </c>
      <c r="N2190">
        <f>IF($A2190="","",$K2190+(5002-ROW())/10000)</f>
        <v/>
      </c>
    </row>
    <row r="2191">
      <c r="K2191">
        <f>IF($A2191="","",SUM($E2191:$J2191))</f>
        <v/>
      </c>
      <c r="M2191">
        <f>IF($A2191="","",MAX(0,ROUNDUP(DASHBOARD!$F$3-$D2191,0)))</f>
        <v/>
      </c>
      <c r="N2191">
        <f>IF($A2191="","",$K2191+(5002-ROW())/10000)</f>
        <v/>
      </c>
    </row>
    <row r="2192">
      <c r="K2192">
        <f>IF($A2192="","",SUM($E2192:$J2192))</f>
        <v/>
      </c>
      <c r="M2192">
        <f>IF($A2192="","",MAX(0,ROUNDUP(DASHBOARD!$F$3-$D2192,0)))</f>
        <v/>
      </c>
      <c r="N2192">
        <f>IF($A2192="","",$K2192+(5002-ROW())/10000)</f>
        <v/>
      </c>
    </row>
    <row r="2193">
      <c r="K2193">
        <f>IF($A2193="","",SUM($E2193:$J2193))</f>
        <v/>
      </c>
      <c r="M2193">
        <f>IF($A2193="","",MAX(0,ROUNDUP(DASHBOARD!$F$3-$D2193,0)))</f>
        <v/>
      </c>
      <c r="N2193">
        <f>IF($A2193="","",$K2193+(5002-ROW())/10000)</f>
        <v/>
      </c>
    </row>
    <row r="2194">
      <c r="K2194">
        <f>IF($A2194="","",SUM($E2194:$J2194))</f>
        <v/>
      </c>
      <c r="M2194">
        <f>IF($A2194="","",MAX(0,ROUNDUP(DASHBOARD!$F$3-$D2194,0)))</f>
        <v/>
      </c>
      <c r="N2194">
        <f>IF($A2194="","",$K2194+(5002-ROW())/10000)</f>
        <v/>
      </c>
    </row>
    <row r="2195">
      <c r="K2195">
        <f>IF($A2195="","",SUM($E2195:$J2195))</f>
        <v/>
      </c>
      <c r="M2195">
        <f>IF($A2195="","",MAX(0,ROUNDUP(DASHBOARD!$F$3-$D2195,0)))</f>
        <v/>
      </c>
      <c r="N2195">
        <f>IF($A2195="","",$K2195+(5002-ROW())/10000)</f>
        <v/>
      </c>
    </row>
    <row r="2196">
      <c r="K2196">
        <f>IF($A2196="","",SUM($E2196:$J2196))</f>
        <v/>
      </c>
      <c r="M2196">
        <f>IF($A2196="","",MAX(0,ROUNDUP(DASHBOARD!$F$3-$D2196,0)))</f>
        <v/>
      </c>
      <c r="N2196">
        <f>IF($A2196="","",$K2196+(5002-ROW())/10000)</f>
        <v/>
      </c>
    </row>
    <row r="2197">
      <c r="K2197">
        <f>IF($A2197="","",SUM($E2197:$J2197))</f>
        <v/>
      </c>
      <c r="M2197">
        <f>IF($A2197="","",MAX(0,ROUNDUP(DASHBOARD!$F$3-$D2197,0)))</f>
        <v/>
      </c>
      <c r="N2197">
        <f>IF($A2197="","",$K2197+(5002-ROW())/10000)</f>
        <v/>
      </c>
    </row>
    <row r="2198">
      <c r="K2198">
        <f>IF($A2198="","",SUM($E2198:$J2198))</f>
        <v/>
      </c>
      <c r="M2198">
        <f>IF($A2198="","",MAX(0,ROUNDUP(DASHBOARD!$F$3-$D2198,0)))</f>
        <v/>
      </c>
      <c r="N2198">
        <f>IF($A2198="","",$K2198+(5002-ROW())/10000)</f>
        <v/>
      </c>
    </row>
    <row r="2199">
      <c r="K2199">
        <f>IF($A2199="","",SUM($E2199:$J2199))</f>
        <v/>
      </c>
      <c r="M2199">
        <f>IF($A2199="","",MAX(0,ROUNDUP(DASHBOARD!$F$3-$D2199,0)))</f>
        <v/>
      </c>
      <c r="N2199">
        <f>IF($A2199="","",$K2199+(5002-ROW())/10000)</f>
        <v/>
      </c>
    </row>
    <row r="2200">
      <c r="K2200">
        <f>IF($A2200="","",SUM($E2200:$J2200))</f>
        <v/>
      </c>
      <c r="M2200">
        <f>IF($A2200="","",MAX(0,ROUNDUP(DASHBOARD!$F$3-$D2200,0)))</f>
        <v/>
      </c>
      <c r="N2200">
        <f>IF($A2200="","",$K2200+(5002-ROW())/10000)</f>
        <v/>
      </c>
    </row>
    <row r="2201">
      <c r="K2201">
        <f>IF($A2201="","",SUM($E2201:$J2201))</f>
        <v/>
      </c>
      <c r="M2201">
        <f>IF($A2201="","",MAX(0,ROUNDUP(DASHBOARD!$F$3-$D2201,0)))</f>
        <v/>
      </c>
      <c r="N2201">
        <f>IF($A2201="","",$K2201+(5002-ROW())/10000)</f>
        <v/>
      </c>
    </row>
    <row r="2202">
      <c r="K2202">
        <f>IF($A2202="","",SUM($E2202:$J2202))</f>
        <v/>
      </c>
      <c r="M2202">
        <f>IF($A2202="","",MAX(0,ROUNDUP(DASHBOARD!$F$3-$D2202,0)))</f>
        <v/>
      </c>
      <c r="N2202">
        <f>IF($A2202="","",$K2202+(5002-ROW())/10000)</f>
        <v/>
      </c>
    </row>
    <row r="2203">
      <c r="K2203">
        <f>IF($A2203="","",SUM($E2203:$J2203))</f>
        <v/>
      </c>
      <c r="M2203">
        <f>IF($A2203="","",MAX(0,ROUNDUP(DASHBOARD!$F$3-$D2203,0)))</f>
        <v/>
      </c>
      <c r="N2203">
        <f>IF($A2203="","",$K2203+(5002-ROW())/10000)</f>
        <v/>
      </c>
    </row>
    <row r="2204">
      <c r="K2204">
        <f>IF($A2204="","",SUM($E2204:$J2204))</f>
        <v/>
      </c>
      <c r="M2204">
        <f>IF($A2204="","",MAX(0,ROUNDUP(DASHBOARD!$F$3-$D2204,0)))</f>
        <v/>
      </c>
      <c r="N2204">
        <f>IF($A2204="","",$K2204+(5002-ROW())/10000)</f>
        <v/>
      </c>
    </row>
    <row r="2205">
      <c r="K2205">
        <f>IF($A2205="","",SUM($E2205:$J2205))</f>
        <v/>
      </c>
      <c r="M2205">
        <f>IF($A2205="","",MAX(0,ROUNDUP(DASHBOARD!$F$3-$D2205,0)))</f>
        <v/>
      </c>
      <c r="N2205">
        <f>IF($A2205="","",$K2205+(5002-ROW())/10000)</f>
        <v/>
      </c>
    </row>
    <row r="2206">
      <c r="K2206">
        <f>IF($A2206="","",SUM($E2206:$J2206))</f>
        <v/>
      </c>
      <c r="M2206">
        <f>IF($A2206="","",MAX(0,ROUNDUP(DASHBOARD!$F$3-$D2206,0)))</f>
        <v/>
      </c>
      <c r="N2206">
        <f>IF($A2206="","",$K2206+(5002-ROW())/10000)</f>
        <v/>
      </c>
    </row>
    <row r="2207">
      <c r="K2207">
        <f>IF($A2207="","",SUM($E2207:$J2207))</f>
        <v/>
      </c>
      <c r="M2207">
        <f>IF($A2207="","",MAX(0,ROUNDUP(DASHBOARD!$F$3-$D2207,0)))</f>
        <v/>
      </c>
      <c r="N2207">
        <f>IF($A2207="","",$K2207+(5002-ROW())/10000)</f>
        <v/>
      </c>
    </row>
    <row r="2208">
      <c r="K2208">
        <f>IF($A2208="","",SUM($E2208:$J2208))</f>
        <v/>
      </c>
      <c r="M2208">
        <f>IF($A2208="","",MAX(0,ROUNDUP(DASHBOARD!$F$3-$D2208,0)))</f>
        <v/>
      </c>
      <c r="N2208">
        <f>IF($A2208="","",$K2208+(5002-ROW())/10000)</f>
        <v/>
      </c>
    </row>
    <row r="2209">
      <c r="K2209">
        <f>IF($A2209="","",SUM($E2209:$J2209))</f>
        <v/>
      </c>
      <c r="M2209">
        <f>IF($A2209="","",MAX(0,ROUNDUP(DASHBOARD!$F$3-$D2209,0)))</f>
        <v/>
      </c>
      <c r="N2209">
        <f>IF($A2209="","",$K2209+(5002-ROW())/10000)</f>
        <v/>
      </c>
    </row>
    <row r="2210">
      <c r="K2210">
        <f>IF($A2210="","",SUM($E2210:$J2210))</f>
        <v/>
      </c>
      <c r="M2210">
        <f>IF($A2210="","",MAX(0,ROUNDUP(DASHBOARD!$F$3-$D2210,0)))</f>
        <v/>
      </c>
      <c r="N2210">
        <f>IF($A2210="","",$K2210+(5002-ROW())/10000)</f>
        <v/>
      </c>
    </row>
    <row r="2211">
      <c r="K2211">
        <f>IF($A2211="","",SUM($E2211:$J2211))</f>
        <v/>
      </c>
      <c r="M2211">
        <f>IF($A2211="","",MAX(0,ROUNDUP(DASHBOARD!$F$3-$D2211,0)))</f>
        <v/>
      </c>
      <c r="N2211">
        <f>IF($A2211="","",$K2211+(5002-ROW())/10000)</f>
        <v/>
      </c>
    </row>
    <row r="2212">
      <c r="K2212">
        <f>IF($A2212="","",SUM($E2212:$J2212))</f>
        <v/>
      </c>
      <c r="M2212">
        <f>IF($A2212="","",MAX(0,ROUNDUP(DASHBOARD!$F$3-$D2212,0)))</f>
        <v/>
      </c>
      <c r="N2212">
        <f>IF($A2212="","",$K2212+(5002-ROW())/10000)</f>
        <v/>
      </c>
    </row>
    <row r="2213">
      <c r="K2213">
        <f>IF($A2213="","",SUM($E2213:$J2213))</f>
        <v/>
      </c>
      <c r="M2213">
        <f>IF($A2213="","",MAX(0,ROUNDUP(DASHBOARD!$F$3-$D2213,0)))</f>
        <v/>
      </c>
      <c r="N2213">
        <f>IF($A2213="","",$K2213+(5002-ROW())/10000)</f>
        <v/>
      </c>
    </row>
    <row r="2214">
      <c r="K2214">
        <f>IF($A2214="","",SUM($E2214:$J2214))</f>
        <v/>
      </c>
      <c r="M2214">
        <f>IF($A2214="","",MAX(0,ROUNDUP(DASHBOARD!$F$3-$D2214,0)))</f>
        <v/>
      </c>
      <c r="N2214">
        <f>IF($A2214="","",$K2214+(5002-ROW())/10000)</f>
        <v/>
      </c>
    </row>
    <row r="2215">
      <c r="K2215">
        <f>IF($A2215="","",SUM($E2215:$J2215))</f>
        <v/>
      </c>
      <c r="M2215">
        <f>IF($A2215="","",MAX(0,ROUNDUP(DASHBOARD!$F$3-$D2215,0)))</f>
        <v/>
      </c>
      <c r="N2215">
        <f>IF($A2215="","",$K2215+(5002-ROW())/10000)</f>
        <v/>
      </c>
    </row>
    <row r="2216">
      <c r="K2216">
        <f>IF($A2216="","",SUM($E2216:$J2216))</f>
        <v/>
      </c>
      <c r="M2216">
        <f>IF($A2216="","",MAX(0,ROUNDUP(DASHBOARD!$F$3-$D2216,0)))</f>
        <v/>
      </c>
      <c r="N2216">
        <f>IF($A2216="","",$K2216+(5002-ROW())/10000)</f>
        <v/>
      </c>
    </row>
    <row r="2217">
      <c r="K2217">
        <f>IF($A2217="","",SUM($E2217:$J2217))</f>
        <v/>
      </c>
      <c r="M2217">
        <f>IF($A2217="","",MAX(0,ROUNDUP(DASHBOARD!$F$3-$D2217,0)))</f>
        <v/>
      </c>
      <c r="N2217">
        <f>IF($A2217="","",$K2217+(5002-ROW())/10000)</f>
        <v/>
      </c>
    </row>
    <row r="2218">
      <c r="K2218">
        <f>IF($A2218="","",SUM($E2218:$J2218))</f>
        <v/>
      </c>
      <c r="M2218">
        <f>IF($A2218="","",MAX(0,ROUNDUP(DASHBOARD!$F$3-$D2218,0)))</f>
        <v/>
      </c>
      <c r="N2218">
        <f>IF($A2218="","",$K2218+(5002-ROW())/10000)</f>
        <v/>
      </c>
    </row>
    <row r="2219">
      <c r="K2219">
        <f>IF($A2219="","",SUM($E2219:$J2219))</f>
        <v/>
      </c>
      <c r="M2219">
        <f>IF($A2219="","",MAX(0,ROUNDUP(DASHBOARD!$F$3-$D2219,0)))</f>
        <v/>
      </c>
      <c r="N2219">
        <f>IF($A2219="","",$K2219+(5002-ROW())/10000)</f>
        <v/>
      </c>
    </row>
    <row r="2220">
      <c r="K2220">
        <f>IF($A2220="","",SUM($E2220:$J2220))</f>
        <v/>
      </c>
      <c r="M2220">
        <f>IF($A2220="","",MAX(0,ROUNDUP(DASHBOARD!$F$3-$D2220,0)))</f>
        <v/>
      </c>
      <c r="N2220">
        <f>IF($A2220="","",$K2220+(5002-ROW())/10000)</f>
        <v/>
      </c>
    </row>
    <row r="2221">
      <c r="K2221">
        <f>IF($A2221="","",SUM($E2221:$J2221))</f>
        <v/>
      </c>
      <c r="M2221">
        <f>IF($A2221="","",MAX(0,ROUNDUP(DASHBOARD!$F$3-$D2221,0)))</f>
        <v/>
      </c>
      <c r="N2221">
        <f>IF($A2221="","",$K2221+(5002-ROW())/10000)</f>
        <v/>
      </c>
    </row>
    <row r="2222">
      <c r="K2222">
        <f>IF($A2222="","",SUM($E2222:$J2222))</f>
        <v/>
      </c>
      <c r="M2222">
        <f>IF($A2222="","",MAX(0,ROUNDUP(DASHBOARD!$F$3-$D2222,0)))</f>
        <v/>
      </c>
      <c r="N2222">
        <f>IF($A2222="","",$K2222+(5002-ROW())/10000)</f>
        <v/>
      </c>
    </row>
    <row r="2223">
      <c r="K2223">
        <f>IF($A2223="","",SUM($E2223:$J2223))</f>
        <v/>
      </c>
      <c r="M2223">
        <f>IF($A2223="","",MAX(0,ROUNDUP(DASHBOARD!$F$3-$D2223,0)))</f>
        <v/>
      </c>
      <c r="N2223">
        <f>IF($A2223="","",$K2223+(5002-ROW())/10000)</f>
        <v/>
      </c>
    </row>
    <row r="2224">
      <c r="K2224">
        <f>IF($A2224="","",SUM($E2224:$J2224))</f>
        <v/>
      </c>
      <c r="M2224">
        <f>IF($A2224="","",MAX(0,ROUNDUP(DASHBOARD!$F$3-$D2224,0)))</f>
        <v/>
      </c>
      <c r="N2224">
        <f>IF($A2224="","",$K2224+(5002-ROW())/10000)</f>
        <v/>
      </c>
    </row>
    <row r="2225">
      <c r="K2225">
        <f>IF($A2225="","",SUM($E2225:$J2225))</f>
        <v/>
      </c>
      <c r="M2225">
        <f>IF($A2225="","",MAX(0,ROUNDUP(DASHBOARD!$F$3-$D2225,0)))</f>
        <v/>
      </c>
      <c r="N2225">
        <f>IF($A2225="","",$K2225+(5002-ROW())/10000)</f>
        <v/>
      </c>
    </row>
    <row r="2226">
      <c r="K2226">
        <f>IF($A2226="","",SUM($E2226:$J2226))</f>
        <v/>
      </c>
      <c r="M2226">
        <f>IF($A2226="","",MAX(0,ROUNDUP(DASHBOARD!$F$3-$D2226,0)))</f>
        <v/>
      </c>
      <c r="N2226">
        <f>IF($A2226="","",$K2226+(5002-ROW())/10000)</f>
        <v/>
      </c>
    </row>
    <row r="2227">
      <c r="K2227">
        <f>IF($A2227="","",SUM($E2227:$J2227))</f>
        <v/>
      </c>
      <c r="M2227">
        <f>IF($A2227="","",MAX(0,ROUNDUP(DASHBOARD!$F$3-$D2227,0)))</f>
        <v/>
      </c>
      <c r="N2227">
        <f>IF($A2227="","",$K2227+(5002-ROW())/10000)</f>
        <v/>
      </c>
    </row>
    <row r="2228">
      <c r="K2228">
        <f>IF($A2228="","",SUM($E2228:$J2228))</f>
        <v/>
      </c>
      <c r="M2228">
        <f>IF($A2228="","",MAX(0,ROUNDUP(DASHBOARD!$F$3-$D2228,0)))</f>
        <v/>
      </c>
      <c r="N2228">
        <f>IF($A2228="","",$K2228+(5002-ROW())/10000)</f>
        <v/>
      </c>
    </row>
    <row r="2229">
      <c r="K2229">
        <f>IF($A2229="","",SUM($E2229:$J2229))</f>
        <v/>
      </c>
      <c r="M2229">
        <f>IF($A2229="","",MAX(0,ROUNDUP(DASHBOARD!$F$3-$D2229,0)))</f>
        <v/>
      </c>
      <c r="N2229">
        <f>IF($A2229="","",$K2229+(5002-ROW())/10000)</f>
        <v/>
      </c>
    </row>
    <row r="2230">
      <c r="K2230">
        <f>IF($A2230="","",SUM($E2230:$J2230))</f>
        <v/>
      </c>
      <c r="M2230">
        <f>IF($A2230="","",MAX(0,ROUNDUP(DASHBOARD!$F$3-$D2230,0)))</f>
        <v/>
      </c>
      <c r="N2230">
        <f>IF($A2230="","",$K2230+(5002-ROW())/10000)</f>
        <v/>
      </c>
    </row>
    <row r="2231">
      <c r="K2231">
        <f>IF($A2231="","",SUM($E2231:$J2231))</f>
        <v/>
      </c>
      <c r="M2231">
        <f>IF($A2231="","",MAX(0,ROUNDUP(DASHBOARD!$F$3-$D2231,0)))</f>
        <v/>
      </c>
      <c r="N2231">
        <f>IF($A2231="","",$K2231+(5002-ROW())/10000)</f>
        <v/>
      </c>
    </row>
    <row r="2232">
      <c r="K2232">
        <f>IF($A2232="","",SUM($E2232:$J2232))</f>
        <v/>
      </c>
      <c r="M2232">
        <f>IF($A2232="","",MAX(0,ROUNDUP(DASHBOARD!$F$3-$D2232,0)))</f>
        <v/>
      </c>
      <c r="N2232">
        <f>IF($A2232="","",$K2232+(5002-ROW())/10000)</f>
        <v/>
      </c>
    </row>
    <row r="2233">
      <c r="K2233">
        <f>IF($A2233="","",SUM($E2233:$J2233))</f>
        <v/>
      </c>
      <c r="M2233">
        <f>IF($A2233="","",MAX(0,ROUNDUP(DASHBOARD!$F$3-$D2233,0)))</f>
        <v/>
      </c>
      <c r="N2233">
        <f>IF($A2233="","",$K2233+(5002-ROW())/10000)</f>
        <v/>
      </c>
    </row>
    <row r="2234">
      <c r="K2234">
        <f>IF($A2234="","",SUM($E2234:$J2234))</f>
        <v/>
      </c>
      <c r="M2234">
        <f>IF($A2234="","",MAX(0,ROUNDUP(DASHBOARD!$F$3-$D2234,0)))</f>
        <v/>
      </c>
      <c r="N2234">
        <f>IF($A2234="","",$K2234+(5002-ROW())/10000)</f>
        <v/>
      </c>
    </row>
    <row r="2235">
      <c r="K2235">
        <f>IF($A2235="","",SUM($E2235:$J2235))</f>
        <v/>
      </c>
      <c r="M2235">
        <f>IF($A2235="","",MAX(0,ROUNDUP(DASHBOARD!$F$3-$D2235,0)))</f>
        <v/>
      </c>
      <c r="N2235">
        <f>IF($A2235="","",$K2235+(5002-ROW())/10000)</f>
        <v/>
      </c>
    </row>
    <row r="2236">
      <c r="K2236">
        <f>IF($A2236="","",SUM($E2236:$J2236))</f>
        <v/>
      </c>
      <c r="M2236">
        <f>IF($A2236="","",MAX(0,ROUNDUP(DASHBOARD!$F$3-$D2236,0)))</f>
        <v/>
      </c>
      <c r="N2236">
        <f>IF($A2236="","",$K2236+(5002-ROW())/10000)</f>
        <v/>
      </c>
    </row>
    <row r="2237">
      <c r="K2237">
        <f>IF($A2237="","",SUM($E2237:$J2237))</f>
        <v/>
      </c>
      <c r="M2237">
        <f>IF($A2237="","",MAX(0,ROUNDUP(DASHBOARD!$F$3-$D2237,0)))</f>
        <v/>
      </c>
      <c r="N2237">
        <f>IF($A2237="","",$K2237+(5002-ROW())/10000)</f>
        <v/>
      </c>
    </row>
    <row r="2238">
      <c r="K2238">
        <f>IF($A2238="","",SUM($E2238:$J2238))</f>
        <v/>
      </c>
      <c r="M2238">
        <f>IF($A2238="","",MAX(0,ROUNDUP(DASHBOARD!$F$3-$D2238,0)))</f>
        <v/>
      </c>
      <c r="N2238">
        <f>IF($A2238="","",$K2238+(5002-ROW())/10000)</f>
        <v/>
      </c>
    </row>
    <row r="2239">
      <c r="K2239">
        <f>IF($A2239="","",SUM($E2239:$J2239))</f>
        <v/>
      </c>
      <c r="M2239">
        <f>IF($A2239="","",MAX(0,ROUNDUP(DASHBOARD!$F$3-$D2239,0)))</f>
        <v/>
      </c>
      <c r="N2239">
        <f>IF($A2239="","",$K2239+(5002-ROW())/10000)</f>
        <v/>
      </c>
    </row>
    <row r="2240">
      <c r="K2240">
        <f>IF($A2240="","",SUM($E2240:$J2240))</f>
        <v/>
      </c>
      <c r="M2240">
        <f>IF($A2240="","",MAX(0,ROUNDUP(DASHBOARD!$F$3-$D2240,0)))</f>
        <v/>
      </c>
      <c r="N2240">
        <f>IF($A2240="","",$K2240+(5002-ROW())/10000)</f>
        <v/>
      </c>
    </row>
    <row r="2241">
      <c r="K2241">
        <f>IF($A2241="","",SUM($E2241:$J2241))</f>
        <v/>
      </c>
      <c r="M2241">
        <f>IF($A2241="","",MAX(0,ROUNDUP(DASHBOARD!$F$3-$D2241,0)))</f>
        <v/>
      </c>
      <c r="N2241">
        <f>IF($A2241="","",$K2241+(5002-ROW())/10000)</f>
        <v/>
      </c>
    </row>
    <row r="2242">
      <c r="K2242">
        <f>IF($A2242="","",SUM($E2242:$J2242))</f>
        <v/>
      </c>
      <c r="M2242">
        <f>IF($A2242="","",MAX(0,ROUNDUP(DASHBOARD!$F$3-$D2242,0)))</f>
        <v/>
      </c>
      <c r="N2242">
        <f>IF($A2242="","",$K2242+(5002-ROW())/10000)</f>
        <v/>
      </c>
    </row>
    <row r="2243">
      <c r="K2243">
        <f>IF($A2243="","",SUM($E2243:$J2243))</f>
        <v/>
      </c>
      <c r="M2243">
        <f>IF($A2243="","",MAX(0,ROUNDUP(DASHBOARD!$F$3-$D2243,0)))</f>
        <v/>
      </c>
      <c r="N2243">
        <f>IF($A2243="","",$K2243+(5002-ROW())/10000)</f>
        <v/>
      </c>
    </row>
    <row r="2244">
      <c r="K2244">
        <f>IF($A2244="","",SUM($E2244:$J2244))</f>
        <v/>
      </c>
      <c r="M2244">
        <f>IF($A2244="","",MAX(0,ROUNDUP(DASHBOARD!$F$3-$D2244,0)))</f>
        <v/>
      </c>
      <c r="N2244">
        <f>IF($A2244="","",$K2244+(5002-ROW())/10000)</f>
        <v/>
      </c>
    </row>
    <row r="2245">
      <c r="K2245">
        <f>IF($A2245="","",SUM($E2245:$J2245))</f>
        <v/>
      </c>
      <c r="M2245">
        <f>IF($A2245="","",MAX(0,ROUNDUP(DASHBOARD!$F$3-$D2245,0)))</f>
        <v/>
      </c>
      <c r="N2245">
        <f>IF($A2245="","",$K2245+(5002-ROW())/10000)</f>
        <v/>
      </c>
    </row>
    <row r="2246">
      <c r="K2246">
        <f>IF($A2246="","",SUM($E2246:$J2246))</f>
        <v/>
      </c>
      <c r="M2246">
        <f>IF($A2246="","",MAX(0,ROUNDUP(DASHBOARD!$F$3-$D2246,0)))</f>
        <v/>
      </c>
      <c r="N2246">
        <f>IF($A2246="","",$K2246+(5002-ROW())/10000)</f>
        <v/>
      </c>
    </row>
    <row r="2247">
      <c r="K2247">
        <f>IF($A2247="","",SUM($E2247:$J2247))</f>
        <v/>
      </c>
      <c r="M2247">
        <f>IF($A2247="","",MAX(0,ROUNDUP(DASHBOARD!$F$3-$D2247,0)))</f>
        <v/>
      </c>
      <c r="N2247">
        <f>IF($A2247="","",$K2247+(5002-ROW())/10000)</f>
        <v/>
      </c>
    </row>
    <row r="2248">
      <c r="K2248">
        <f>IF($A2248="","",SUM($E2248:$J2248))</f>
        <v/>
      </c>
      <c r="M2248">
        <f>IF($A2248="","",MAX(0,ROUNDUP(DASHBOARD!$F$3-$D2248,0)))</f>
        <v/>
      </c>
      <c r="N2248">
        <f>IF($A2248="","",$K2248+(5002-ROW())/10000)</f>
        <v/>
      </c>
    </row>
    <row r="2249">
      <c r="K2249">
        <f>IF($A2249="","",SUM($E2249:$J2249))</f>
        <v/>
      </c>
      <c r="M2249">
        <f>IF($A2249="","",MAX(0,ROUNDUP(DASHBOARD!$F$3-$D2249,0)))</f>
        <v/>
      </c>
      <c r="N2249">
        <f>IF($A2249="","",$K2249+(5002-ROW())/10000)</f>
        <v/>
      </c>
    </row>
    <row r="2250">
      <c r="K2250">
        <f>IF($A2250="","",SUM($E2250:$J2250))</f>
        <v/>
      </c>
      <c r="M2250">
        <f>IF($A2250="","",MAX(0,ROUNDUP(DASHBOARD!$F$3-$D2250,0)))</f>
        <v/>
      </c>
      <c r="N2250">
        <f>IF($A2250="","",$K2250+(5002-ROW())/10000)</f>
        <v/>
      </c>
    </row>
    <row r="2251">
      <c r="K2251">
        <f>IF($A2251="","",SUM($E2251:$J2251))</f>
        <v/>
      </c>
      <c r="M2251">
        <f>IF($A2251="","",MAX(0,ROUNDUP(DASHBOARD!$F$3-$D2251,0)))</f>
        <v/>
      </c>
      <c r="N2251">
        <f>IF($A2251="","",$K2251+(5002-ROW())/10000)</f>
        <v/>
      </c>
    </row>
    <row r="2252">
      <c r="K2252">
        <f>IF($A2252="","",SUM($E2252:$J2252))</f>
        <v/>
      </c>
      <c r="M2252">
        <f>IF($A2252="","",MAX(0,ROUNDUP(DASHBOARD!$F$3-$D2252,0)))</f>
        <v/>
      </c>
      <c r="N2252">
        <f>IF($A2252="","",$K2252+(5002-ROW())/10000)</f>
        <v/>
      </c>
    </row>
    <row r="2253">
      <c r="K2253">
        <f>IF($A2253="","",SUM($E2253:$J2253))</f>
        <v/>
      </c>
      <c r="M2253">
        <f>IF($A2253="","",MAX(0,ROUNDUP(DASHBOARD!$F$3-$D2253,0)))</f>
        <v/>
      </c>
      <c r="N2253">
        <f>IF($A2253="","",$K2253+(5002-ROW())/10000)</f>
        <v/>
      </c>
    </row>
    <row r="2254">
      <c r="K2254">
        <f>IF($A2254="","",SUM($E2254:$J2254))</f>
        <v/>
      </c>
      <c r="M2254">
        <f>IF($A2254="","",MAX(0,ROUNDUP(DASHBOARD!$F$3-$D2254,0)))</f>
        <v/>
      </c>
      <c r="N2254">
        <f>IF($A2254="","",$K2254+(5002-ROW())/10000)</f>
        <v/>
      </c>
    </row>
    <row r="2255">
      <c r="K2255">
        <f>IF($A2255="","",SUM($E2255:$J2255))</f>
        <v/>
      </c>
      <c r="M2255">
        <f>IF($A2255="","",MAX(0,ROUNDUP(DASHBOARD!$F$3-$D2255,0)))</f>
        <v/>
      </c>
      <c r="N2255">
        <f>IF($A2255="","",$K2255+(5002-ROW())/10000)</f>
        <v/>
      </c>
    </row>
    <row r="2256">
      <c r="K2256">
        <f>IF($A2256="","",SUM($E2256:$J2256))</f>
        <v/>
      </c>
      <c r="M2256">
        <f>IF($A2256="","",MAX(0,ROUNDUP(DASHBOARD!$F$3-$D2256,0)))</f>
        <v/>
      </c>
      <c r="N2256">
        <f>IF($A2256="","",$K2256+(5002-ROW())/10000)</f>
        <v/>
      </c>
    </row>
    <row r="2257">
      <c r="K2257">
        <f>IF($A2257="","",SUM($E2257:$J2257))</f>
        <v/>
      </c>
      <c r="M2257">
        <f>IF($A2257="","",MAX(0,ROUNDUP(DASHBOARD!$F$3-$D2257,0)))</f>
        <v/>
      </c>
      <c r="N2257">
        <f>IF($A2257="","",$K2257+(5002-ROW())/10000)</f>
        <v/>
      </c>
    </row>
    <row r="2258">
      <c r="K2258">
        <f>IF($A2258="","",SUM($E2258:$J2258))</f>
        <v/>
      </c>
      <c r="M2258">
        <f>IF($A2258="","",MAX(0,ROUNDUP(DASHBOARD!$F$3-$D2258,0)))</f>
        <v/>
      </c>
      <c r="N2258">
        <f>IF($A2258="","",$K2258+(5002-ROW())/10000)</f>
        <v/>
      </c>
    </row>
    <row r="2259">
      <c r="K2259">
        <f>IF($A2259="","",SUM($E2259:$J2259))</f>
        <v/>
      </c>
      <c r="M2259">
        <f>IF($A2259="","",MAX(0,ROUNDUP(DASHBOARD!$F$3-$D2259,0)))</f>
        <v/>
      </c>
      <c r="N2259">
        <f>IF($A2259="","",$K2259+(5002-ROW())/10000)</f>
        <v/>
      </c>
    </row>
    <row r="2260">
      <c r="K2260">
        <f>IF($A2260="","",SUM($E2260:$J2260))</f>
        <v/>
      </c>
      <c r="M2260">
        <f>IF($A2260="","",MAX(0,ROUNDUP(DASHBOARD!$F$3-$D2260,0)))</f>
        <v/>
      </c>
      <c r="N2260">
        <f>IF($A2260="","",$K2260+(5002-ROW())/10000)</f>
        <v/>
      </c>
    </row>
    <row r="2261">
      <c r="K2261">
        <f>IF($A2261="","",SUM($E2261:$J2261))</f>
        <v/>
      </c>
      <c r="M2261">
        <f>IF($A2261="","",MAX(0,ROUNDUP(DASHBOARD!$F$3-$D2261,0)))</f>
        <v/>
      </c>
      <c r="N2261">
        <f>IF($A2261="","",$K2261+(5002-ROW())/10000)</f>
        <v/>
      </c>
    </row>
    <row r="2262">
      <c r="K2262">
        <f>IF($A2262="","",SUM($E2262:$J2262))</f>
        <v/>
      </c>
      <c r="M2262">
        <f>IF($A2262="","",MAX(0,ROUNDUP(DASHBOARD!$F$3-$D2262,0)))</f>
        <v/>
      </c>
      <c r="N2262">
        <f>IF($A2262="","",$K2262+(5002-ROW())/10000)</f>
        <v/>
      </c>
    </row>
    <row r="2263">
      <c r="K2263">
        <f>IF($A2263="","",SUM($E2263:$J2263))</f>
        <v/>
      </c>
      <c r="M2263">
        <f>IF($A2263="","",MAX(0,ROUNDUP(DASHBOARD!$F$3-$D2263,0)))</f>
        <v/>
      </c>
      <c r="N2263">
        <f>IF($A2263="","",$K2263+(5002-ROW())/10000)</f>
        <v/>
      </c>
    </row>
    <row r="2264">
      <c r="K2264">
        <f>IF($A2264="","",SUM($E2264:$J2264))</f>
        <v/>
      </c>
      <c r="M2264">
        <f>IF($A2264="","",MAX(0,ROUNDUP(DASHBOARD!$F$3-$D2264,0)))</f>
        <v/>
      </c>
      <c r="N2264">
        <f>IF($A2264="","",$K2264+(5002-ROW())/10000)</f>
        <v/>
      </c>
    </row>
    <row r="2265">
      <c r="K2265">
        <f>IF($A2265="","",SUM($E2265:$J2265))</f>
        <v/>
      </c>
      <c r="M2265">
        <f>IF($A2265="","",MAX(0,ROUNDUP(DASHBOARD!$F$3-$D2265,0)))</f>
        <v/>
      </c>
      <c r="N2265">
        <f>IF($A2265="","",$K2265+(5002-ROW())/10000)</f>
        <v/>
      </c>
    </row>
    <row r="2266">
      <c r="K2266">
        <f>IF($A2266="","",SUM($E2266:$J2266))</f>
        <v/>
      </c>
      <c r="M2266">
        <f>IF($A2266="","",MAX(0,ROUNDUP(DASHBOARD!$F$3-$D2266,0)))</f>
        <v/>
      </c>
      <c r="N2266">
        <f>IF($A2266="","",$K2266+(5002-ROW())/10000)</f>
        <v/>
      </c>
    </row>
    <row r="2267">
      <c r="K2267">
        <f>IF($A2267="","",SUM($E2267:$J2267))</f>
        <v/>
      </c>
      <c r="M2267">
        <f>IF($A2267="","",MAX(0,ROUNDUP(DASHBOARD!$F$3-$D2267,0)))</f>
        <v/>
      </c>
      <c r="N2267">
        <f>IF($A2267="","",$K2267+(5002-ROW())/10000)</f>
        <v/>
      </c>
    </row>
    <row r="2268">
      <c r="K2268">
        <f>IF($A2268="","",SUM($E2268:$J2268))</f>
        <v/>
      </c>
      <c r="M2268">
        <f>IF($A2268="","",MAX(0,ROUNDUP(DASHBOARD!$F$3-$D2268,0)))</f>
        <v/>
      </c>
      <c r="N2268">
        <f>IF($A2268="","",$K2268+(5002-ROW())/10000)</f>
        <v/>
      </c>
    </row>
    <row r="2269">
      <c r="K2269">
        <f>IF($A2269="","",SUM($E2269:$J2269))</f>
        <v/>
      </c>
      <c r="M2269">
        <f>IF($A2269="","",MAX(0,ROUNDUP(DASHBOARD!$F$3-$D2269,0)))</f>
        <v/>
      </c>
      <c r="N2269">
        <f>IF($A2269="","",$K2269+(5002-ROW())/10000)</f>
        <v/>
      </c>
    </row>
    <row r="2270">
      <c r="K2270">
        <f>IF($A2270="","",SUM($E2270:$J2270))</f>
        <v/>
      </c>
      <c r="M2270">
        <f>IF($A2270="","",MAX(0,ROUNDUP(DASHBOARD!$F$3-$D2270,0)))</f>
        <v/>
      </c>
      <c r="N2270">
        <f>IF($A2270="","",$K2270+(5002-ROW())/10000)</f>
        <v/>
      </c>
    </row>
    <row r="2271">
      <c r="K2271">
        <f>IF($A2271="","",SUM($E2271:$J2271))</f>
        <v/>
      </c>
      <c r="M2271">
        <f>IF($A2271="","",MAX(0,ROUNDUP(DASHBOARD!$F$3-$D2271,0)))</f>
        <v/>
      </c>
      <c r="N2271">
        <f>IF($A2271="","",$K2271+(5002-ROW())/10000)</f>
        <v/>
      </c>
    </row>
    <row r="2272">
      <c r="K2272">
        <f>IF($A2272="","",SUM($E2272:$J2272))</f>
        <v/>
      </c>
      <c r="M2272">
        <f>IF($A2272="","",MAX(0,ROUNDUP(DASHBOARD!$F$3-$D2272,0)))</f>
        <v/>
      </c>
      <c r="N2272">
        <f>IF($A2272="","",$K2272+(5002-ROW())/10000)</f>
        <v/>
      </c>
    </row>
    <row r="2273">
      <c r="K2273">
        <f>IF($A2273="","",SUM($E2273:$J2273))</f>
        <v/>
      </c>
      <c r="M2273">
        <f>IF($A2273="","",MAX(0,ROUNDUP(DASHBOARD!$F$3-$D2273,0)))</f>
        <v/>
      </c>
      <c r="N2273">
        <f>IF($A2273="","",$K2273+(5002-ROW())/10000)</f>
        <v/>
      </c>
    </row>
    <row r="2274">
      <c r="K2274">
        <f>IF($A2274="","",SUM($E2274:$J2274))</f>
        <v/>
      </c>
      <c r="M2274">
        <f>IF($A2274="","",MAX(0,ROUNDUP(DASHBOARD!$F$3-$D2274,0)))</f>
        <v/>
      </c>
      <c r="N2274">
        <f>IF($A2274="","",$K2274+(5002-ROW())/10000)</f>
        <v/>
      </c>
    </row>
    <row r="2275">
      <c r="K2275">
        <f>IF($A2275="","",SUM($E2275:$J2275))</f>
        <v/>
      </c>
      <c r="M2275">
        <f>IF($A2275="","",MAX(0,ROUNDUP(DASHBOARD!$F$3-$D2275,0)))</f>
        <v/>
      </c>
      <c r="N2275">
        <f>IF($A2275="","",$K2275+(5002-ROW())/10000)</f>
        <v/>
      </c>
    </row>
    <row r="2276">
      <c r="K2276">
        <f>IF($A2276="","",SUM($E2276:$J2276))</f>
        <v/>
      </c>
      <c r="M2276">
        <f>IF($A2276="","",MAX(0,ROUNDUP(DASHBOARD!$F$3-$D2276,0)))</f>
        <v/>
      </c>
      <c r="N2276">
        <f>IF($A2276="","",$K2276+(5002-ROW())/10000)</f>
        <v/>
      </c>
    </row>
    <row r="2277">
      <c r="K2277">
        <f>IF($A2277="","",SUM($E2277:$J2277))</f>
        <v/>
      </c>
      <c r="M2277">
        <f>IF($A2277="","",MAX(0,ROUNDUP(DASHBOARD!$F$3-$D2277,0)))</f>
        <v/>
      </c>
      <c r="N2277">
        <f>IF($A2277="","",$K2277+(5002-ROW())/10000)</f>
        <v/>
      </c>
    </row>
    <row r="2278">
      <c r="K2278">
        <f>IF($A2278="","",SUM($E2278:$J2278))</f>
        <v/>
      </c>
      <c r="M2278">
        <f>IF($A2278="","",MAX(0,ROUNDUP(DASHBOARD!$F$3-$D2278,0)))</f>
        <v/>
      </c>
      <c r="N2278">
        <f>IF($A2278="","",$K2278+(5002-ROW())/10000)</f>
        <v/>
      </c>
    </row>
    <row r="2279">
      <c r="K2279">
        <f>IF($A2279="","",SUM($E2279:$J2279))</f>
        <v/>
      </c>
      <c r="M2279">
        <f>IF($A2279="","",MAX(0,ROUNDUP(DASHBOARD!$F$3-$D2279,0)))</f>
        <v/>
      </c>
      <c r="N2279">
        <f>IF($A2279="","",$K2279+(5002-ROW())/10000)</f>
        <v/>
      </c>
    </row>
    <row r="2280">
      <c r="K2280">
        <f>IF($A2280="","",SUM($E2280:$J2280))</f>
        <v/>
      </c>
      <c r="M2280">
        <f>IF($A2280="","",MAX(0,ROUNDUP(DASHBOARD!$F$3-$D2280,0)))</f>
        <v/>
      </c>
      <c r="N2280">
        <f>IF($A2280="","",$K2280+(5002-ROW())/10000)</f>
        <v/>
      </c>
    </row>
    <row r="2281">
      <c r="K2281">
        <f>IF($A2281="","",SUM($E2281:$J2281))</f>
        <v/>
      </c>
      <c r="M2281">
        <f>IF($A2281="","",MAX(0,ROUNDUP(DASHBOARD!$F$3-$D2281,0)))</f>
        <v/>
      </c>
      <c r="N2281">
        <f>IF($A2281="","",$K2281+(5002-ROW())/10000)</f>
        <v/>
      </c>
    </row>
    <row r="2282">
      <c r="K2282">
        <f>IF($A2282="","",SUM($E2282:$J2282))</f>
        <v/>
      </c>
      <c r="M2282">
        <f>IF($A2282="","",MAX(0,ROUNDUP(DASHBOARD!$F$3-$D2282,0)))</f>
        <v/>
      </c>
      <c r="N2282">
        <f>IF($A2282="","",$K2282+(5002-ROW())/10000)</f>
        <v/>
      </c>
    </row>
    <row r="2283">
      <c r="K2283">
        <f>IF($A2283="","",SUM($E2283:$J2283))</f>
        <v/>
      </c>
      <c r="M2283">
        <f>IF($A2283="","",MAX(0,ROUNDUP(DASHBOARD!$F$3-$D2283,0)))</f>
        <v/>
      </c>
      <c r="N2283">
        <f>IF($A2283="","",$K2283+(5002-ROW())/10000)</f>
        <v/>
      </c>
    </row>
    <row r="2284">
      <c r="K2284">
        <f>IF($A2284="","",SUM($E2284:$J2284))</f>
        <v/>
      </c>
      <c r="M2284">
        <f>IF($A2284="","",MAX(0,ROUNDUP(DASHBOARD!$F$3-$D2284,0)))</f>
        <v/>
      </c>
      <c r="N2284">
        <f>IF($A2284="","",$K2284+(5002-ROW())/10000)</f>
        <v/>
      </c>
    </row>
    <row r="2285">
      <c r="K2285">
        <f>IF($A2285="","",SUM($E2285:$J2285))</f>
        <v/>
      </c>
      <c r="M2285">
        <f>IF($A2285="","",MAX(0,ROUNDUP(DASHBOARD!$F$3-$D2285,0)))</f>
        <v/>
      </c>
      <c r="N2285">
        <f>IF($A2285="","",$K2285+(5002-ROW())/10000)</f>
        <v/>
      </c>
    </row>
    <row r="2286">
      <c r="K2286">
        <f>IF($A2286="","",SUM($E2286:$J2286))</f>
        <v/>
      </c>
      <c r="M2286">
        <f>IF($A2286="","",MAX(0,ROUNDUP(DASHBOARD!$F$3-$D2286,0)))</f>
        <v/>
      </c>
      <c r="N2286">
        <f>IF($A2286="","",$K2286+(5002-ROW())/10000)</f>
        <v/>
      </c>
    </row>
    <row r="2287">
      <c r="K2287">
        <f>IF($A2287="","",SUM($E2287:$J2287))</f>
        <v/>
      </c>
      <c r="M2287">
        <f>IF($A2287="","",MAX(0,ROUNDUP(DASHBOARD!$F$3-$D2287,0)))</f>
        <v/>
      </c>
      <c r="N2287">
        <f>IF($A2287="","",$K2287+(5002-ROW())/10000)</f>
        <v/>
      </c>
    </row>
    <row r="2288">
      <c r="K2288">
        <f>IF($A2288="","",SUM($E2288:$J2288))</f>
        <v/>
      </c>
      <c r="M2288">
        <f>IF($A2288="","",MAX(0,ROUNDUP(DASHBOARD!$F$3-$D2288,0)))</f>
        <v/>
      </c>
      <c r="N2288">
        <f>IF($A2288="","",$K2288+(5002-ROW())/10000)</f>
        <v/>
      </c>
    </row>
    <row r="2289">
      <c r="K2289">
        <f>IF($A2289="","",SUM($E2289:$J2289))</f>
        <v/>
      </c>
      <c r="M2289">
        <f>IF($A2289="","",MAX(0,ROUNDUP(DASHBOARD!$F$3-$D2289,0)))</f>
        <v/>
      </c>
      <c r="N2289">
        <f>IF($A2289="","",$K2289+(5002-ROW())/10000)</f>
        <v/>
      </c>
    </row>
    <row r="2290">
      <c r="K2290">
        <f>IF($A2290="","",SUM($E2290:$J2290))</f>
        <v/>
      </c>
      <c r="M2290">
        <f>IF($A2290="","",MAX(0,ROUNDUP(DASHBOARD!$F$3-$D2290,0)))</f>
        <v/>
      </c>
      <c r="N2290">
        <f>IF($A2290="","",$K2290+(5002-ROW())/10000)</f>
        <v/>
      </c>
    </row>
    <row r="2291">
      <c r="K2291">
        <f>IF($A2291="","",SUM($E2291:$J2291))</f>
        <v/>
      </c>
      <c r="M2291">
        <f>IF($A2291="","",MAX(0,ROUNDUP(DASHBOARD!$F$3-$D2291,0)))</f>
        <v/>
      </c>
      <c r="N2291">
        <f>IF($A2291="","",$K2291+(5002-ROW())/10000)</f>
        <v/>
      </c>
    </row>
    <row r="2292">
      <c r="K2292">
        <f>IF($A2292="","",SUM($E2292:$J2292))</f>
        <v/>
      </c>
      <c r="M2292">
        <f>IF($A2292="","",MAX(0,ROUNDUP(DASHBOARD!$F$3-$D2292,0)))</f>
        <v/>
      </c>
      <c r="N2292">
        <f>IF($A2292="","",$K2292+(5002-ROW())/10000)</f>
        <v/>
      </c>
    </row>
    <row r="2293">
      <c r="K2293">
        <f>IF($A2293="","",SUM($E2293:$J2293))</f>
        <v/>
      </c>
      <c r="M2293">
        <f>IF($A2293="","",MAX(0,ROUNDUP(DASHBOARD!$F$3-$D2293,0)))</f>
        <v/>
      </c>
      <c r="N2293">
        <f>IF($A2293="","",$K2293+(5002-ROW())/10000)</f>
        <v/>
      </c>
    </row>
    <row r="2294">
      <c r="K2294">
        <f>IF($A2294="","",SUM($E2294:$J2294))</f>
        <v/>
      </c>
      <c r="M2294">
        <f>IF($A2294="","",MAX(0,ROUNDUP(DASHBOARD!$F$3-$D2294,0)))</f>
        <v/>
      </c>
      <c r="N2294">
        <f>IF($A2294="","",$K2294+(5002-ROW())/10000)</f>
        <v/>
      </c>
    </row>
    <row r="2295">
      <c r="K2295">
        <f>IF($A2295="","",SUM($E2295:$J2295))</f>
        <v/>
      </c>
      <c r="M2295">
        <f>IF($A2295="","",MAX(0,ROUNDUP(DASHBOARD!$F$3-$D2295,0)))</f>
        <v/>
      </c>
      <c r="N2295">
        <f>IF($A2295="","",$K2295+(5002-ROW())/10000)</f>
        <v/>
      </c>
    </row>
    <row r="2296">
      <c r="K2296">
        <f>IF($A2296="","",SUM($E2296:$J2296))</f>
        <v/>
      </c>
      <c r="M2296">
        <f>IF($A2296="","",MAX(0,ROUNDUP(DASHBOARD!$F$3-$D2296,0)))</f>
        <v/>
      </c>
      <c r="N2296">
        <f>IF($A2296="","",$K2296+(5002-ROW())/10000)</f>
        <v/>
      </c>
    </row>
    <row r="2297">
      <c r="K2297">
        <f>IF($A2297="","",SUM($E2297:$J2297))</f>
        <v/>
      </c>
      <c r="M2297">
        <f>IF($A2297="","",MAX(0,ROUNDUP(DASHBOARD!$F$3-$D2297,0)))</f>
        <v/>
      </c>
      <c r="N2297">
        <f>IF($A2297="","",$K2297+(5002-ROW())/10000)</f>
        <v/>
      </c>
    </row>
    <row r="2298">
      <c r="K2298">
        <f>IF($A2298="","",SUM($E2298:$J2298))</f>
        <v/>
      </c>
      <c r="M2298">
        <f>IF($A2298="","",MAX(0,ROUNDUP(DASHBOARD!$F$3-$D2298,0)))</f>
        <v/>
      </c>
      <c r="N2298">
        <f>IF($A2298="","",$K2298+(5002-ROW())/10000)</f>
        <v/>
      </c>
    </row>
    <row r="2299">
      <c r="K2299">
        <f>IF($A2299="","",SUM($E2299:$J2299))</f>
        <v/>
      </c>
      <c r="M2299">
        <f>IF($A2299="","",MAX(0,ROUNDUP(DASHBOARD!$F$3-$D2299,0)))</f>
        <v/>
      </c>
      <c r="N2299">
        <f>IF($A2299="","",$K2299+(5002-ROW())/10000)</f>
        <v/>
      </c>
    </row>
    <row r="2300">
      <c r="K2300">
        <f>IF($A2300="","",SUM($E2300:$J2300))</f>
        <v/>
      </c>
      <c r="M2300">
        <f>IF($A2300="","",MAX(0,ROUNDUP(DASHBOARD!$F$3-$D2300,0)))</f>
        <v/>
      </c>
      <c r="N2300">
        <f>IF($A2300="","",$K2300+(5002-ROW())/10000)</f>
        <v/>
      </c>
    </row>
    <row r="2301">
      <c r="K2301">
        <f>IF($A2301="","",SUM($E2301:$J2301))</f>
        <v/>
      </c>
      <c r="M2301">
        <f>IF($A2301="","",MAX(0,ROUNDUP(DASHBOARD!$F$3-$D2301,0)))</f>
        <v/>
      </c>
      <c r="N2301">
        <f>IF($A2301="","",$K2301+(5002-ROW())/10000)</f>
        <v/>
      </c>
    </row>
    <row r="2302">
      <c r="K2302">
        <f>IF($A2302="","",SUM($E2302:$J2302))</f>
        <v/>
      </c>
      <c r="M2302">
        <f>IF($A2302="","",MAX(0,ROUNDUP(DASHBOARD!$F$3-$D2302,0)))</f>
        <v/>
      </c>
      <c r="N2302">
        <f>IF($A2302="","",$K2302+(5002-ROW())/10000)</f>
        <v/>
      </c>
    </row>
    <row r="2303">
      <c r="K2303">
        <f>IF($A2303="","",SUM($E2303:$J2303))</f>
        <v/>
      </c>
      <c r="M2303">
        <f>IF($A2303="","",MAX(0,ROUNDUP(DASHBOARD!$F$3-$D2303,0)))</f>
        <v/>
      </c>
      <c r="N2303">
        <f>IF($A2303="","",$K2303+(5002-ROW())/10000)</f>
        <v/>
      </c>
    </row>
    <row r="2304">
      <c r="K2304">
        <f>IF($A2304="","",SUM($E2304:$J2304))</f>
        <v/>
      </c>
      <c r="M2304">
        <f>IF($A2304="","",MAX(0,ROUNDUP(DASHBOARD!$F$3-$D2304,0)))</f>
        <v/>
      </c>
      <c r="N2304">
        <f>IF($A2304="","",$K2304+(5002-ROW())/10000)</f>
        <v/>
      </c>
    </row>
    <row r="2305">
      <c r="K2305">
        <f>IF($A2305="","",SUM($E2305:$J2305))</f>
        <v/>
      </c>
      <c r="M2305">
        <f>IF($A2305="","",MAX(0,ROUNDUP(DASHBOARD!$F$3-$D2305,0)))</f>
        <v/>
      </c>
      <c r="N2305">
        <f>IF($A2305="","",$K2305+(5002-ROW())/10000)</f>
        <v/>
      </c>
    </row>
    <row r="2306">
      <c r="K2306">
        <f>IF($A2306="","",SUM($E2306:$J2306))</f>
        <v/>
      </c>
      <c r="M2306">
        <f>IF($A2306="","",MAX(0,ROUNDUP(DASHBOARD!$F$3-$D2306,0)))</f>
        <v/>
      </c>
      <c r="N2306">
        <f>IF($A2306="","",$K2306+(5002-ROW())/10000)</f>
        <v/>
      </c>
    </row>
    <row r="2307">
      <c r="K2307">
        <f>IF($A2307="","",SUM($E2307:$J2307))</f>
        <v/>
      </c>
      <c r="M2307">
        <f>IF($A2307="","",MAX(0,ROUNDUP(DASHBOARD!$F$3-$D2307,0)))</f>
        <v/>
      </c>
      <c r="N2307">
        <f>IF($A2307="","",$K2307+(5002-ROW())/10000)</f>
        <v/>
      </c>
    </row>
    <row r="2308">
      <c r="K2308">
        <f>IF($A2308="","",SUM($E2308:$J2308))</f>
        <v/>
      </c>
      <c r="M2308">
        <f>IF($A2308="","",MAX(0,ROUNDUP(DASHBOARD!$F$3-$D2308,0)))</f>
        <v/>
      </c>
      <c r="N2308">
        <f>IF($A2308="","",$K2308+(5002-ROW())/10000)</f>
        <v/>
      </c>
    </row>
    <row r="2309">
      <c r="K2309">
        <f>IF($A2309="","",SUM($E2309:$J2309))</f>
        <v/>
      </c>
      <c r="M2309">
        <f>IF($A2309="","",MAX(0,ROUNDUP(DASHBOARD!$F$3-$D2309,0)))</f>
        <v/>
      </c>
      <c r="N2309">
        <f>IF($A2309="","",$K2309+(5002-ROW())/10000)</f>
        <v/>
      </c>
    </row>
    <row r="2310">
      <c r="K2310">
        <f>IF($A2310="","",SUM($E2310:$J2310))</f>
        <v/>
      </c>
      <c r="M2310">
        <f>IF($A2310="","",MAX(0,ROUNDUP(DASHBOARD!$F$3-$D2310,0)))</f>
        <v/>
      </c>
      <c r="N2310">
        <f>IF($A2310="","",$K2310+(5002-ROW())/10000)</f>
        <v/>
      </c>
    </row>
    <row r="2311">
      <c r="K2311">
        <f>IF($A2311="","",SUM($E2311:$J2311))</f>
        <v/>
      </c>
      <c r="M2311">
        <f>IF($A2311="","",MAX(0,ROUNDUP(DASHBOARD!$F$3-$D2311,0)))</f>
        <v/>
      </c>
      <c r="N2311">
        <f>IF($A2311="","",$K2311+(5002-ROW())/10000)</f>
        <v/>
      </c>
    </row>
    <row r="2312">
      <c r="K2312">
        <f>IF($A2312="","",SUM($E2312:$J2312))</f>
        <v/>
      </c>
      <c r="M2312">
        <f>IF($A2312="","",MAX(0,ROUNDUP(DASHBOARD!$F$3-$D2312,0)))</f>
        <v/>
      </c>
      <c r="N2312">
        <f>IF($A2312="","",$K2312+(5002-ROW())/10000)</f>
        <v/>
      </c>
    </row>
    <row r="2313">
      <c r="K2313">
        <f>IF($A2313="","",SUM($E2313:$J2313))</f>
        <v/>
      </c>
      <c r="M2313">
        <f>IF($A2313="","",MAX(0,ROUNDUP(DASHBOARD!$F$3-$D2313,0)))</f>
        <v/>
      </c>
      <c r="N2313">
        <f>IF($A2313="","",$K2313+(5002-ROW())/10000)</f>
        <v/>
      </c>
    </row>
    <row r="2314">
      <c r="K2314">
        <f>IF($A2314="","",SUM($E2314:$J2314))</f>
        <v/>
      </c>
      <c r="M2314">
        <f>IF($A2314="","",MAX(0,ROUNDUP(DASHBOARD!$F$3-$D2314,0)))</f>
        <v/>
      </c>
      <c r="N2314">
        <f>IF($A2314="","",$K2314+(5002-ROW())/10000)</f>
        <v/>
      </c>
    </row>
    <row r="2315">
      <c r="K2315">
        <f>IF($A2315="","",SUM($E2315:$J2315))</f>
        <v/>
      </c>
      <c r="M2315">
        <f>IF($A2315="","",MAX(0,ROUNDUP(DASHBOARD!$F$3-$D2315,0)))</f>
        <v/>
      </c>
      <c r="N2315">
        <f>IF($A2315="","",$K2315+(5002-ROW())/10000)</f>
        <v/>
      </c>
    </row>
    <row r="2316">
      <c r="K2316">
        <f>IF($A2316="","",SUM($E2316:$J2316))</f>
        <v/>
      </c>
      <c r="M2316">
        <f>IF($A2316="","",MAX(0,ROUNDUP(DASHBOARD!$F$3-$D2316,0)))</f>
        <v/>
      </c>
      <c r="N2316">
        <f>IF($A2316="","",$K2316+(5002-ROW())/10000)</f>
        <v/>
      </c>
    </row>
    <row r="2317">
      <c r="K2317">
        <f>IF($A2317="","",SUM($E2317:$J2317))</f>
        <v/>
      </c>
      <c r="M2317">
        <f>IF($A2317="","",MAX(0,ROUNDUP(DASHBOARD!$F$3-$D2317,0)))</f>
        <v/>
      </c>
      <c r="N2317">
        <f>IF($A2317="","",$K2317+(5002-ROW())/10000)</f>
        <v/>
      </c>
    </row>
    <row r="2318">
      <c r="K2318">
        <f>IF($A2318="","",SUM($E2318:$J2318))</f>
        <v/>
      </c>
      <c r="M2318">
        <f>IF($A2318="","",MAX(0,ROUNDUP(DASHBOARD!$F$3-$D2318,0)))</f>
        <v/>
      </c>
      <c r="N2318">
        <f>IF($A2318="","",$K2318+(5002-ROW())/10000)</f>
        <v/>
      </c>
    </row>
    <row r="2319">
      <c r="K2319">
        <f>IF($A2319="","",SUM($E2319:$J2319))</f>
        <v/>
      </c>
      <c r="M2319">
        <f>IF($A2319="","",MAX(0,ROUNDUP(DASHBOARD!$F$3-$D2319,0)))</f>
        <v/>
      </c>
      <c r="N2319">
        <f>IF($A2319="","",$K2319+(5002-ROW())/10000)</f>
        <v/>
      </c>
    </row>
    <row r="2320">
      <c r="K2320">
        <f>IF($A2320="","",SUM($E2320:$J2320))</f>
        <v/>
      </c>
      <c r="M2320">
        <f>IF($A2320="","",MAX(0,ROUNDUP(DASHBOARD!$F$3-$D2320,0)))</f>
        <v/>
      </c>
      <c r="N2320">
        <f>IF($A2320="","",$K2320+(5002-ROW())/10000)</f>
        <v/>
      </c>
    </row>
    <row r="2321">
      <c r="K2321">
        <f>IF($A2321="","",SUM($E2321:$J2321))</f>
        <v/>
      </c>
      <c r="M2321">
        <f>IF($A2321="","",MAX(0,ROUNDUP(DASHBOARD!$F$3-$D2321,0)))</f>
        <v/>
      </c>
      <c r="N2321">
        <f>IF($A2321="","",$K2321+(5002-ROW())/10000)</f>
        <v/>
      </c>
    </row>
    <row r="2322">
      <c r="K2322">
        <f>IF($A2322="","",SUM($E2322:$J2322))</f>
        <v/>
      </c>
      <c r="M2322">
        <f>IF($A2322="","",MAX(0,ROUNDUP(DASHBOARD!$F$3-$D2322,0)))</f>
        <v/>
      </c>
      <c r="N2322">
        <f>IF($A2322="","",$K2322+(5002-ROW())/10000)</f>
        <v/>
      </c>
    </row>
    <row r="2323">
      <c r="K2323">
        <f>IF($A2323="","",SUM($E2323:$J2323))</f>
        <v/>
      </c>
      <c r="M2323">
        <f>IF($A2323="","",MAX(0,ROUNDUP(DASHBOARD!$F$3-$D2323,0)))</f>
        <v/>
      </c>
      <c r="N2323">
        <f>IF($A2323="","",$K2323+(5002-ROW())/10000)</f>
        <v/>
      </c>
    </row>
    <row r="2324">
      <c r="K2324">
        <f>IF($A2324="","",SUM($E2324:$J2324))</f>
        <v/>
      </c>
      <c r="M2324">
        <f>IF($A2324="","",MAX(0,ROUNDUP(DASHBOARD!$F$3-$D2324,0)))</f>
        <v/>
      </c>
      <c r="N2324">
        <f>IF($A2324="","",$K2324+(5002-ROW())/10000)</f>
        <v/>
      </c>
    </row>
    <row r="2325">
      <c r="K2325">
        <f>IF($A2325="","",SUM($E2325:$J2325))</f>
        <v/>
      </c>
      <c r="M2325">
        <f>IF($A2325="","",MAX(0,ROUNDUP(DASHBOARD!$F$3-$D2325,0)))</f>
        <v/>
      </c>
      <c r="N2325">
        <f>IF($A2325="","",$K2325+(5002-ROW())/10000)</f>
        <v/>
      </c>
    </row>
    <row r="2326">
      <c r="K2326">
        <f>IF($A2326="","",SUM($E2326:$J2326))</f>
        <v/>
      </c>
      <c r="M2326">
        <f>IF($A2326="","",MAX(0,ROUNDUP(DASHBOARD!$F$3-$D2326,0)))</f>
        <v/>
      </c>
      <c r="N2326">
        <f>IF($A2326="","",$K2326+(5002-ROW())/10000)</f>
        <v/>
      </c>
    </row>
    <row r="2327">
      <c r="K2327">
        <f>IF($A2327="","",SUM($E2327:$J2327))</f>
        <v/>
      </c>
      <c r="M2327">
        <f>IF($A2327="","",MAX(0,ROUNDUP(DASHBOARD!$F$3-$D2327,0)))</f>
        <v/>
      </c>
      <c r="N2327">
        <f>IF($A2327="","",$K2327+(5002-ROW())/10000)</f>
        <v/>
      </c>
    </row>
    <row r="2328">
      <c r="K2328">
        <f>IF($A2328="","",SUM($E2328:$J2328))</f>
        <v/>
      </c>
      <c r="M2328">
        <f>IF($A2328="","",MAX(0,ROUNDUP(DASHBOARD!$F$3-$D2328,0)))</f>
        <v/>
      </c>
      <c r="N2328">
        <f>IF($A2328="","",$K2328+(5002-ROW())/10000)</f>
        <v/>
      </c>
    </row>
    <row r="2329">
      <c r="K2329">
        <f>IF($A2329="","",SUM($E2329:$J2329))</f>
        <v/>
      </c>
      <c r="M2329">
        <f>IF($A2329="","",MAX(0,ROUNDUP(DASHBOARD!$F$3-$D2329,0)))</f>
        <v/>
      </c>
      <c r="N2329">
        <f>IF($A2329="","",$K2329+(5002-ROW())/10000)</f>
        <v/>
      </c>
    </row>
    <row r="2330">
      <c r="K2330">
        <f>IF($A2330="","",SUM($E2330:$J2330))</f>
        <v/>
      </c>
      <c r="M2330">
        <f>IF($A2330="","",MAX(0,ROUNDUP(DASHBOARD!$F$3-$D2330,0)))</f>
        <v/>
      </c>
      <c r="N2330">
        <f>IF($A2330="","",$K2330+(5002-ROW())/10000)</f>
        <v/>
      </c>
    </row>
    <row r="2331">
      <c r="K2331">
        <f>IF($A2331="","",SUM($E2331:$J2331))</f>
        <v/>
      </c>
      <c r="M2331">
        <f>IF($A2331="","",MAX(0,ROUNDUP(DASHBOARD!$F$3-$D2331,0)))</f>
        <v/>
      </c>
      <c r="N2331">
        <f>IF($A2331="","",$K2331+(5002-ROW())/10000)</f>
        <v/>
      </c>
    </row>
    <row r="2332">
      <c r="K2332">
        <f>IF($A2332="","",SUM($E2332:$J2332))</f>
        <v/>
      </c>
      <c r="M2332">
        <f>IF($A2332="","",MAX(0,ROUNDUP(DASHBOARD!$F$3-$D2332,0)))</f>
        <v/>
      </c>
      <c r="N2332">
        <f>IF($A2332="","",$K2332+(5002-ROW())/10000)</f>
        <v/>
      </c>
    </row>
    <row r="2333">
      <c r="K2333">
        <f>IF($A2333="","",SUM($E2333:$J2333))</f>
        <v/>
      </c>
      <c r="M2333">
        <f>IF($A2333="","",MAX(0,ROUNDUP(DASHBOARD!$F$3-$D2333,0)))</f>
        <v/>
      </c>
      <c r="N2333">
        <f>IF($A2333="","",$K2333+(5002-ROW())/10000)</f>
        <v/>
      </c>
    </row>
    <row r="2334">
      <c r="K2334">
        <f>IF($A2334="","",SUM($E2334:$J2334))</f>
        <v/>
      </c>
      <c r="M2334">
        <f>IF($A2334="","",MAX(0,ROUNDUP(DASHBOARD!$F$3-$D2334,0)))</f>
        <v/>
      </c>
      <c r="N2334">
        <f>IF($A2334="","",$K2334+(5002-ROW())/10000)</f>
        <v/>
      </c>
    </row>
    <row r="2335">
      <c r="K2335">
        <f>IF($A2335="","",SUM($E2335:$J2335))</f>
        <v/>
      </c>
      <c r="M2335">
        <f>IF($A2335="","",MAX(0,ROUNDUP(DASHBOARD!$F$3-$D2335,0)))</f>
        <v/>
      </c>
      <c r="N2335">
        <f>IF($A2335="","",$K2335+(5002-ROW())/10000)</f>
        <v/>
      </c>
    </row>
    <row r="2336">
      <c r="K2336">
        <f>IF($A2336="","",SUM($E2336:$J2336))</f>
        <v/>
      </c>
      <c r="M2336">
        <f>IF($A2336="","",MAX(0,ROUNDUP(DASHBOARD!$F$3-$D2336,0)))</f>
        <v/>
      </c>
      <c r="N2336">
        <f>IF($A2336="","",$K2336+(5002-ROW())/10000)</f>
        <v/>
      </c>
    </row>
    <row r="2337">
      <c r="K2337">
        <f>IF($A2337="","",SUM($E2337:$J2337))</f>
        <v/>
      </c>
      <c r="M2337">
        <f>IF($A2337="","",MAX(0,ROUNDUP(DASHBOARD!$F$3-$D2337,0)))</f>
        <v/>
      </c>
      <c r="N2337">
        <f>IF($A2337="","",$K2337+(5002-ROW())/10000)</f>
        <v/>
      </c>
    </row>
    <row r="2338">
      <c r="K2338">
        <f>IF($A2338="","",SUM($E2338:$J2338))</f>
        <v/>
      </c>
      <c r="M2338">
        <f>IF($A2338="","",MAX(0,ROUNDUP(DASHBOARD!$F$3-$D2338,0)))</f>
        <v/>
      </c>
      <c r="N2338">
        <f>IF($A2338="","",$K2338+(5002-ROW())/10000)</f>
        <v/>
      </c>
    </row>
    <row r="2339">
      <c r="K2339">
        <f>IF($A2339="","",SUM($E2339:$J2339))</f>
        <v/>
      </c>
      <c r="M2339">
        <f>IF($A2339="","",MAX(0,ROUNDUP(DASHBOARD!$F$3-$D2339,0)))</f>
        <v/>
      </c>
      <c r="N2339">
        <f>IF($A2339="","",$K2339+(5002-ROW())/10000)</f>
        <v/>
      </c>
    </row>
    <row r="2340">
      <c r="K2340">
        <f>IF($A2340="","",SUM($E2340:$J2340))</f>
        <v/>
      </c>
      <c r="M2340">
        <f>IF($A2340="","",MAX(0,ROUNDUP(DASHBOARD!$F$3-$D2340,0)))</f>
        <v/>
      </c>
      <c r="N2340">
        <f>IF($A2340="","",$K2340+(5002-ROW())/10000)</f>
        <v/>
      </c>
    </row>
    <row r="2341">
      <c r="K2341">
        <f>IF($A2341="","",SUM($E2341:$J2341))</f>
        <v/>
      </c>
      <c r="M2341">
        <f>IF($A2341="","",MAX(0,ROUNDUP(DASHBOARD!$F$3-$D2341,0)))</f>
        <v/>
      </c>
      <c r="N2341">
        <f>IF($A2341="","",$K2341+(5002-ROW())/10000)</f>
        <v/>
      </c>
    </row>
    <row r="2342">
      <c r="K2342">
        <f>IF($A2342="","",SUM($E2342:$J2342))</f>
        <v/>
      </c>
      <c r="M2342">
        <f>IF($A2342="","",MAX(0,ROUNDUP(DASHBOARD!$F$3-$D2342,0)))</f>
        <v/>
      </c>
      <c r="N2342">
        <f>IF($A2342="","",$K2342+(5002-ROW())/10000)</f>
        <v/>
      </c>
    </row>
    <row r="2343">
      <c r="K2343">
        <f>IF($A2343="","",SUM($E2343:$J2343))</f>
        <v/>
      </c>
      <c r="M2343">
        <f>IF($A2343="","",MAX(0,ROUNDUP(DASHBOARD!$F$3-$D2343,0)))</f>
        <v/>
      </c>
      <c r="N2343">
        <f>IF($A2343="","",$K2343+(5002-ROW())/10000)</f>
        <v/>
      </c>
    </row>
    <row r="2344">
      <c r="K2344">
        <f>IF($A2344="","",SUM($E2344:$J2344))</f>
        <v/>
      </c>
      <c r="M2344">
        <f>IF($A2344="","",MAX(0,ROUNDUP(DASHBOARD!$F$3-$D2344,0)))</f>
        <v/>
      </c>
      <c r="N2344">
        <f>IF($A2344="","",$K2344+(5002-ROW())/10000)</f>
        <v/>
      </c>
    </row>
    <row r="2345">
      <c r="K2345">
        <f>IF($A2345="","",SUM($E2345:$J2345))</f>
        <v/>
      </c>
      <c r="M2345">
        <f>IF($A2345="","",MAX(0,ROUNDUP(DASHBOARD!$F$3-$D2345,0)))</f>
        <v/>
      </c>
      <c r="N2345">
        <f>IF($A2345="","",$K2345+(5002-ROW())/10000)</f>
        <v/>
      </c>
    </row>
    <row r="2346">
      <c r="K2346">
        <f>IF($A2346="","",SUM($E2346:$J2346))</f>
        <v/>
      </c>
      <c r="M2346">
        <f>IF($A2346="","",MAX(0,ROUNDUP(DASHBOARD!$F$3-$D2346,0)))</f>
        <v/>
      </c>
      <c r="N2346">
        <f>IF($A2346="","",$K2346+(5002-ROW())/10000)</f>
        <v/>
      </c>
    </row>
    <row r="2347">
      <c r="K2347">
        <f>IF($A2347="","",SUM($E2347:$J2347))</f>
        <v/>
      </c>
      <c r="M2347">
        <f>IF($A2347="","",MAX(0,ROUNDUP(DASHBOARD!$F$3-$D2347,0)))</f>
        <v/>
      </c>
      <c r="N2347">
        <f>IF($A2347="","",$K2347+(5002-ROW())/10000)</f>
        <v/>
      </c>
    </row>
    <row r="2348">
      <c r="K2348">
        <f>IF($A2348="","",SUM($E2348:$J2348))</f>
        <v/>
      </c>
      <c r="M2348">
        <f>IF($A2348="","",MAX(0,ROUNDUP(DASHBOARD!$F$3-$D2348,0)))</f>
        <v/>
      </c>
      <c r="N2348">
        <f>IF($A2348="","",$K2348+(5002-ROW())/10000)</f>
        <v/>
      </c>
    </row>
    <row r="2349">
      <c r="K2349">
        <f>IF($A2349="","",SUM($E2349:$J2349))</f>
        <v/>
      </c>
      <c r="M2349">
        <f>IF($A2349="","",MAX(0,ROUNDUP(DASHBOARD!$F$3-$D2349,0)))</f>
        <v/>
      </c>
      <c r="N2349">
        <f>IF($A2349="","",$K2349+(5002-ROW())/10000)</f>
        <v/>
      </c>
    </row>
    <row r="2350">
      <c r="K2350">
        <f>IF($A2350="","",SUM($E2350:$J2350))</f>
        <v/>
      </c>
      <c r="M2350">
        <f>IF($A2350="","",MAX(0,ROUNDUP(DASHBOARD!$F$3-$D2350,0)))</f>
        <v/>
      </c>
      <c r="N2350">
        <f>IF($A2350="","",$K2350+(5002-ROW())/10000)</f>
        <v/>
      </c>
    </row>
    <row r="2351">
      <c r="K2351">
        <f>IF($A2351="","",SUM($E2351:$J2351))</f>
        <v/>
      </c>
      <c r="M2351">
        <f>IF($A2351="","",MAX(0,ROUNDUP(DASHBOARD!$F$3-$D2351,0)))</f>
        <v/>
      </c>
      <c r="N2351">
        <f>IF($A2351="","",$K2351+(5002-ROW())/10000)</f>
        <v/>
      </c>
    </row>
    <row r="2352">
      <c r="K2352">
        <f>IF($A2352="","",SUM($E2352:$J2352))</f>
        <v/>
      </c>
      <c r="M2352">
        <f>IF($A2352="","",MAX(0,ROUNDUP(DASHBOARD!$F$3-$D2352,0)))</f>
        <v/>
      </c>
      <c r="N2352">
        <f>IF($A2352="","",$K2352+(5002-ROW())/10000)</f>
        <v/>
      </c>
    </row>
    <row r="2353">
      <c r="K2353">
        <f>IF($A2353="","",SUM($E2353:$J2353))</f>
        <v/>
      </c>
      <c r="M2353">
        <f>IF($A2353="","",MAX(0,ROUNDUP(DASHBOARD!$F$3-$D2353,0)))</f>
        <v/>
      </c>
      <c r="N2353">
        <f>IF($A2353="","",$K2353+(5002-ROW())/10000)</f>
        <v/>
      </c>
    </row>
    <row r="2354">
      <c r="K2354">
        <f>IF($A2354="","",SUM($E2354:$J2354))</f>
        <v/>
      </c>
      <c r="M2354">
        <f>IF($A2354="","",MAX(0,ROUNDUP(DASHBOARD!$F$3-$D2354,0)))</f>
        <v/>
      </c>
      <c r="N2354">
        <f>IF($A2354="","",$K2354+(5002-ROW())/10000)</f>
        <v/>
      </c>
    </row>
    <row r="2355">
      <c r="K2355">
        <f>IF($A2355="","",SUM($E2355:$J2355))</f>
        <v/>
      </c>
      <c r="M2355">
        <f>IF($A2355="","",MAX(0,ROUNDUP(DASHBOARD!$F$3-$D2355,0)))</f>
        <v/>
      </c>
      <c r="N2355">
        <f>IF($A2355="","",$K2355+(5002-ROW())/10000)</f>
        <v/>
      </c>
    </row>
    <row r="2356">
      <c r="K2356">
        <f>IF($A2356="","",SUM($E2356:$J2356))</f>
        <v/>
      </c>
      <c r="M2356">
        <f>IF($A2356="","",MAX(0,ROUNDUP(DASHBOARD!$F$3-$D2356,0)))</f>
        <v/>
      </c>
      <c r="N2356">
        <f>IF($A2356="","",$K2356+(5002-ROW())/10000)</f>
        <v/>
      </c>
    </row>
    <row r="2357">
      <c r="K2357">
        <f>IF($A2357="","",SUM($E2357:$J2357))</f>
        <v/>
      </c>
      <c r="M2357">
        <f>IF($A2357="","",MAX(0,ROUNDUP(DASHBOARD!$F$3-$D2357,0)))</f>
        <v/>
      </c>
      <c r="N2357">
        <f>IF($A2357="","",$K2357+(5002-ROW())/10000)</f>
        <v/>
      </c>
    </row>
    <row r="2358">
      <c r="K2358">
        <f>IF($A2358="","",SUM($E2358:$J2358))</f>
        <v/>
      </c>
      <c r="M2358">
        <f>IF($A2358="","",MAX(0,ROUNDUP(DASHBOARD!$F$3-$D2358,0)))</f>
        <v/>
      </c>
      <c r="N2358">
        <f>IF($A2358="","",$K2358+(5002-ROW())/10000)</f>
        <v/>
      </c>
    </row>
    <row r="2359">
      <c r="K2359">
        <f>IF($A2359="","",SUM($E2359:$J2359))</f>
        <v/>
      </c>
      <c r="M2359">
        <f>IF($A2359="","",MAX(0,ROUNDUP(DASHBOARD!$F$3-$D2359,0)))</f>
        <v/>
      </c>
      <c r="N2359">
        <f>IF($A2359="","",$K2359+(5002-ROW())/10000)</f>
        <v/>
      </c>
    </row>
    <row r="2360">
      <c r="K2360">
        <f>IF($A2360="","",SUM($E2360:$J2360))</f>
        <v/>
      </c>
      <c r="M2360">
        <f>IF($A2360="","",MAX(0,ROUNDUP(DASHBOARD!$F$3-$D2360,0)))</f>
        <v/>
      </c>
      <c r="N2360">
        <f>IF($A2360="","",$K2360+(5002-ROW())/10000)</f>
        <v/>
      </c>
    </row>
    <row r="2361">
      <c r="K2361">
        <f>IF($A2361="","",SUM($E2361:$J2361))</f>
        <v/>
      </c>
      <c r="M2361">
        <f>IF($A2361="","",MAX(0,ROUNDUP(DASHBOARD!$F$3-$D2361,0)))</f>
        <v/>
      </c>
      <c r="N2361">
        <f>IF($A2361="","",$K2361+(5002-ROW())/10000)</f>
        <v/>
      </c>
    </row>
    <row r="2362">
      <c r="K2362">
        <f>IF($A2362="","",SUM($E2362:$J2362))</f>
        <v/>
      </c>
      <c r="M2362">
        <f>IF($A2362="","",MAX(0,ROUNDUP(DASHBOARD!$F$3-$D2362,0)))</f>
        <v/>
      </c>
      <c r="N2362">
        <f>IF($A2362="","",$K2362+(5002-ROW())/10000)</f>
        <v/>
      </c>
    </row>
    <row r="2363">
      <c r="K2363">
        <f>IF($A2363="","",SUM($E2363:$J2363))</f>
        <v/>
      </c>
      <c r="M2363">
        <f>IF($A2363="","",MAX(0,ROUNDUP(DASHBOARD!$F$3-$D2363,0)))</f>
        <v/>
      </c>
      <c r="N2363">
        <f>IF($A2363="","",$K2363+(5002-ROW())/10000)</f>
        <v/>
      </c>
    </row>
    <row r="2364">
      <c r="K2364">
        <f>IF($A2364="","",SUM($E2364:$J2364))</f>
        <v/>
      </c>
      <c r="M2364">
        <f>IF($A2364="","",MAX(0,ROUNDUP(DASHBOARD!$F$3-$D2364,0)))</f>
        <v/>
      </c>
      <c r="N2364">
        <f>IF($A2364="","",$K2364+(5002-ROW())/10000)</f>
        <v/>
      </c>
    </row>
    <row r="2365">
      <c r="K2365">
        <f>IF($A2365="","",SUM($E2365:$J2365))</f>
        <v/>
      </c>
      <c r="M2365">
        <f>IF($A2365="","",MAX(0,ROUNDUP(DASHBOARD!$F$3-$D2365,0)))</f>
        <v/>
      </c>
      <c r="N2365">
        <f>IF($A2365="","",$K2365+(5002-ROW())/10000)</f>
        <v/>
      </c>
    </row>
    <row r="2366">
      <c r="K2366">
        <f>IF($A2366="","",SUM($E2366:$J2366))</f>
        <v/>
      </c>
      <c r="M2366">
        <f>IF($A2366="","",MAX(0,ROUNDUP(DASHBOARD!$F$3-$D2366,0)))</f>
        <v/>
      </c>
      <c r="N2366">
        <f>IF($A2366="","",$K2366+(5002-ROW())/10000)</f>
        <v/>
      </c>
    </row>
    <row r="2367">
      <c r="K2367">
        <f>IF($A2367="","",SUM($E2367:$J2367))</f>
        <v/>
      </c>
      <c r="M2367">
        <f>IF($A2367="","",MAX(0,ROUNDUP(DASHBOARD!$F$3-$D2367,0)))</f>
        <v/>
      </c>
      <c r="N2367">
        <f>IF($A2367="","",$K2367+(5002-ROW())/10000)</f>
        <v/>
      </c>
    </row>
    <row r="2368">
      <c r="K2368">
        <f>IF($A2368="","",SUM($E2368:$J2368))</f>
        <v/>
      </c>
      <c r="M2368">
        <f>IF($A2368="","",MAX(0,ROUNDUP(DASHBOARD!$F$3-$D2368,0)))</f>
        <v/>
      </c>
      <c r="N2368">
        <f>IF($A2368="","",$K2368+(5002-ROW())/10000)</f>
        <v/>
      </c>
    </row>
    <row r="2369">
      <c r="K2369">
        <f>IF($A2369="","",SUM($E2369:$J2369))</f>
        <v/>
      </c>
      <c r="M2369">
        <f>IF($A2369="","",MAX(0,ROUNDUP(DASHBOARD!$F$3-$D2369,0)))</f>
        <v/>
      </c>
      <c r="N2369">
        <f>IF($A2369="","",$K2369+(5002-ROW())/10000)</f>
        <v/>
      </c>
    </row>
    <row r="2370">
      <c r="K2370">
        <f>IF($A2370="","",SUM($E2370:$J2370))</f>
        <v/>
      </c>
      <c r="M2370">
        <f>IF($A2370="","",MAX(0,ROUNDUP(DASHBOARD!$F$3-$D2370,0)))</f>
        <v/>
      </c>
      <c r="N2370">
        <f>IF($A2370="","",$K2370+(5002-ROW())/10000)</f>
        <v/>
      </c>
    </row>
    <row r="2371">
      <c r="K2371">
        <f>IF($A2371="","",SUM($E2371:$J2371))</f>
        <v/>
      </c>
      <c r="M2371">
        <f>IF($A2371="","",MAX(0,ROUNDUP(DASHBOARD!$F$3-$D2371,0)))</f>
        <v/>
      </c>
      <c r="N2371">
        <f>IF($A2371="","",$K2371+(5002-ROW())/10000)</f>
        <v/>
      </c>
    </row>
    <row r="2372">
      <c r="K2372">
        <f>IF($A2372="","",SUM($E2372:$J2372))</f>
        <v/>
      </c>
      <c r="M2372">
        <f>IF($A2372="","",MAX(0,ROUNDUP(DASHBOARD!$F$3-$D2372,0)))</f>
        <v/>
      </c>
      <c r="N2372">
        <f>IF($A2372="","",$K2372+(5002-ROW())/10000)</f>
        <v/>
      </c>
    </row>
    <row r="2373">
      <c r="K2373">
        <f>IF($A2373="","",SUM($E2373:$J2373))</f>
        <v/>
      </c>
      <c r="M2373">
        <f>IF($A2373="","",MAX(0,ROUNDUP(DASHBOARD!$F$3-$D2373,0)))</f>
        <v/>
      </c>
      <c r="N2373">
        <f>IF($A2373="","",$K2373+(5002-ROW())/10000)</f>
        <v/>
      </c>
    </row>
    <row r="2374">
      <c r="K2374">
        <f>IF($A2374="","",SUM($E2374:$J2374))</f>
        <v/>
      </c>
      <c r="M2374">
        <f>IF($A2374="","",MAX(0,ROUNDUP(DASHBOARD!$F$3-$D2374,0)))</f>
        <v/>
      </c>
      <c r="N2374">
        <f>IF($A2374="","",$K2374+(5002-ROW())/10000)</f>
        <v/>
      </c>
    </row>
    <row r="2375">
      <c r="K2375">
        <f>IF($A2375="","",SUM($E2375:$J2375))</f>
        <v/>
      </c>
      <c r="M2375">
        <f>IF($A2375="","",MAX(0,ROUNDUP(DASHBOARD!$F$3-$D2375,0)))</f>
        <v/>
      </c>
      <c r="N2375">
        <f>IF($A2375="","",$K2375+(5002-ROW())/10000)</f>
        <v/>
      </c>
    </row>
    <row r="2376">
      <c r="K2376">
        <f>IF($A2376="","",SUM($E2376:$J2376))</f>
        <v/>
      </c>
      <c r="M2376">
        <f>IF($A2376="","",MAX(0,ROUNDUP(DASHBOARD!$F$3-$D2376,0)))</f>
        <v/>
      </c>
      <c r="N2376">
        <f>IF($A2376="","",$K2376+(5002-ROW())/10000)</f>
        <v/>
      </c>
    </row>
    <row r="2377">
      <c r="K2377">
        <f>IF($A2377="","",SUM($E2377:$J2377))</f>
        <v/>
      </c>
      <c r="M2377">
        <f>IF($A2377="","",MAX(0,ROUNDUP(DASHBOARD!$F$3-$D2377,0)))</f>
        <v/>
      </c>
      <c r="N2377">
        <f>IF($A2377="","",$K2377+(5002-ROW())/10000)</f>
        <v/>
      </c>
    </row>
    <row r="2378">
      <c r="K2378">
        <f>IF($A2378="","",SUM($E2378:$J2378))</f>
        <v/>
      </c>
      <c r="M2378">
        <f>IF($A2378="","",MAX(0,ROUNDUP(DASHBOARD!$F$3-$D2378,0)))</f>
        <v/>
      </c>
      <c r="N2378">
        <f>IF($A2378="","",$K2378+(5002-ROW())/10000)</f>
        <v/>
      </c>
    </row>
    <row r="2379">
      <c r="K2379">
        <f>IF($A2379="","",SUM($E2379:$J2379))</f>
        <v/>
      </c>
      <c r="M2379">
        <f>IF($A2379="","",MAX(0,ROUNDUP(DASHBOARD!$F$3-$D2379,0)))</f>
        <v/>
      </c>
      <c r="N2379">
        <f>IF($A2379="","",$K2379+(5002-ROW())/10000)</f>
        <v/>
      </c>
    </row>
    <row r="2380">
      <c r="K2380">
        <f>IF($A2380="","",SUM($E2380:$J2380))</f>
        <v/>
      </c>
      <c r="M2380">
        <f>IF($A2380="","",MAX(0,ROUNDUP(DASHBOARD!$F$3-$D2380,0)))</f>
        <v/>
      </c>
      <c r="N2380">
        <f>IF($A2380="","",$K2380+(5002-ROW())/10000)</f>
        <v/>
      </c>
    </row>
    <row r="2381">
      <c r="K2381">
        <f>IF($A2381="","",SUM($E2381:$J2381))</f>
        <v/>
      </c>
      <c r="M2381">
        <f>IF($A2381="","",MAX(0,ROUNDUP(DASHBOARD!$F$3-$D2381,0)))</f>
        <v/>
      </c>
      <c r="N2381">
        <f>IF($A2381="","",$K2381+(5002-ROW())/10000)</f>
        <v/>
      </c>
    </row>
    <row r="2382">
      <c r="K2382">
        <f>IF($A2382="","",SUM($E2382:$J2382))</f>
        <v/>
      </c>
      <c r="M2382">
        <f>IF($A2382="","",MAX(0,ROUNDUP(DASHBOARD!$F$3-$D2382,0)))</f>
        <v/>
      </c>
      <c r="N2382">
        <f>IF($A2382="","",$K2382+(5002-ROW())/10000)</f>
        <v/>
      </c>
    </row>
    <row r="2383">
      <c r="K2383">
        <f>IF($A2383="","",SUM($E2383:$J2383))</f>
        <v/>
      </c>
      <c r="M2383">
        <f>IF($A2383="","",MAX(0,ROUNDUP(DASHBOARD!$F$3-$D2383,0)))</f>
        <v/>
      </c>
      <c r="N2383">
        <f>IF($A2383="","",$K2383+(5002-ROW())/10000)</f>
        <v/>
      </c>
    </row>
    <row r="2384">
      <c r="K2384">
        <f>IF($A2384="","",SUM($E2384:$J2384))</f>
        <v/>
      </c>
      <c r="M2384">
        <f>IF($A2384="","",MAX(0,ROUNDUP(DASHBOARD!$F$3-$D2384,0)))</f>
        <v/>
      </c>
      <c r="N2384">
        <f>IF($A2384="","",$K2384+(5002-ROW())/10000)</f>
        <v/>
      </c>
    </row>
    <row r="2385">
      <c r="K2385">
        <f>IF($A2385="","",SUM($E2385:$J2385))</f>
        <v/>
      </c>
      <c r="M2385">
        <f>IF($A2385="","",MAX(0,ROUNDUP(DASHBOARD!$F$3-$D2385,0)))</f>
        <v/>
      </c>
      <c r="N2385">
        <f>IF($A2385="","",$K2385+(5002-ROW())/10000)</f>
        <v/>
      </c>
    </row>
    <row r="2386">
      <c r="K2386">
        <f>IF($A2386="","",SUM($E2386:$J2386))</f>
        <v/>
      </c>
      <c r="M2386">
        <f>IF($A2386="","",MAX(0,ROUNDUP(DASHBOARD!$F$3-$D2386,0)))</f>
        <v/>
      </c>
      <c r="N2386">
        <f>IF($A2386="","",$K2386+(5002-ROW())/10000)</f>
        <v/>
      </c>
    </row>
    <row r="2387">
      <c r="K2387">
        <f>IF($A2387="","",SUM($E2387:$J2387))</f>
        <v/>
      </c>
      <c r="M2387">
        <f>IF($A2387="","",MAX(0,ROUNDUP(DASHBOARD!$F$3-$D2387,0)))</f>
        <v/>
      </c>
      <c r="N2387">
        <f>IF($A2387="","",$K2387+(5002-ROW())/10000)</f>
        <v/>
      </c>
    </row>
    <row r="2388">
      <c r="K2388">
        <f>IF($A2388="","",SUM($E2388:$J2388))</f>
        <v/>
      </c>
      <c r="M2388">
        <f>IF($A2388="","",MAX(0,ROUNDUP(DASHBOARD!$F$3-$D2388,0)))</f>
        <v/>
      </c>
      <c r="N2388">
        <f>IF($A2388="","",$K2388+(5002-ROW())/10000)</f>
        <v/>
      </c>
    </row>
    <row r="2389">
      <c r="K2389">
        <f>IF($A2389="","",SUM($E2389:$J2389))</f>
        <v/>
      </c>
      <c r="M2389">
        <f>IF($A2389="","",MAX(0,ROUNDUP(DASHBOARD!$F$3-$D2389,0)))</f>
        <v/>
      </c>
      <c r="N2389">
        <f>IF($A2389="","",$K2389+(5002-ROW())/10000)</f>
        <v/>
      </c>
    </row>
    <row r="2390">
      <c r="K2390">
        <f>IF($A2390="","",SUM($E2390:$J2390))</f>
        <v/>
      </c>
      <c r="M2390">
        <f>IF($A2390="","",MAX(0,ROUNDUP(DASHBOARD!$F$3-$D2390,0)))</f>
        <v/>
      </c>
      <c r="N2390">
        <f>IF($A2390="","",$K2390+(5002-ROW())/10000)</f>
        <v/>
      </c>
    </row>
    <row r="2391">
      <c r="K2391">
        <f>IF($A2391="","",SUM($E2391:$J2391))</f>
        <v/>
      </c>
      <c r="M2391">
        <f>IF($A2391="","",MAX(0,ROUNDUP(DASHBOARD!$F$3-$D2391,0)))</f>
        <v/>
      </c>
      <c r="N2391">
        <f>IF($A2391="","",$K2391+(5002-ROW())/10000)</f>
        <v/>
      </c>
    </row>
    <row r="2392">
      <c r="K2392">
        <f>IF($A2392="","",SUM($E2392:$J2392))</f>
        <v/>
      </c>
      <c r="M2392">
        <f>IF($A2392="","",MAX(0,ROUNDUP(DASHBOARD!$F$3-$D2392,0)))</f>
        <v/>
      </c>
      <c r="N2392">
        <f>IF($A2392="","",$K2392+(5002-ROW())/10000)</f>
        <v/>
      </c>
    </row>
    <row r="2393">
      <c r="K2393">
        <f>IF($A2393="","",SUM($E2393:$J2393))</f>
        <v/>
      </c>
      <c r="M2393">
        <f>IF($A2393="","",MAX(0,ROUNDUP(DASHBOARD!$F$3-$D2393,0)))</f>
        <v/>
      </c>
      <c r="N2393">
        <f>IF($A2393="","",$K2393+(5002-ROW())/10000)</f>
        <v/>
      </c>
    </row>
    <row r="2394">
      <c r="K2394">
        <f>IF($A2394="","",SUM($E2394:$J2394))</f>
        <v/>
      </c>
      <c r="M2394">
        <f>IF($A2394="","",MAX(0,ROUNDUP(DASHBOARD!$F$3-$D2394,0)))</f>
        <v/>
      </c>
      <c r="N2394">
        <f>IF($A2394="","",$K2394+(5002-ROW())/10000)</f>
        <v/>
      </c>
    </row>
    <row r="2395">
      <c r="K2395">
        <f>IF($A2395="","",SUM($E2395:$J2395))</f>
        <v/>
      </c>
      <c r="M2395">
        <f>IF($A2395="","",MAX(0,ROUNDUP(DASHBOARD!$F$3-$D2395,0)))</f>
        <v/>
      </c>
      <c r="N2395">
        <f>IF($A2395="","",$K2395+(5002-ROW())/10000)</f>
        <v/>
      </c>
    </row>
    <row r="2396">
      <c r="K2396">
        <f>IF($A2396="","",SUM($E2396:$J2396))</f>
        <v/>
      </c>
      <c r="M2396">
        <f>IF($A2396="","",MAX(0,ROUNDUP(DASHBOARD!$F$3-$D2396,0)))</f>
        <v/>
      </c>
      <c r="N2396">
        <f>IF($A2396="","",$K2396+(5002-ROW())/10000)</f>
        <v/>
      </c>
    </row>
    <row r="2397">
      <c r="K2397">
        <f>IF($A2397="","",SUM($E2397:$J2397))</f>
        <v/>
      </c>
      <c r="M2397">
        <f>IF($A2397="","",MAX(0,ROUNDUP(DASHBOARD!$F$3-$D2397,0)))</f>
        <v/>
      </c>
      <c r="N2397">
        <f>IF($A2397="","",$K2397+(5002-ROW())/10000)</f>
        <v/>
      </c>
    </row>
    <row r="2398">
      <c r="K2398">
        <f>IF($A2398="","",SUM($E2398:$J2398))</f>
        <v/>
      </c>
      <c r="M2398">
        <f>IF($A2398="","",MAX(0,ROUNDUP(DASHBOARD!$F$3-$D2398,0)))</f>
        <v/>
      </c>
      <c r="N2398">
        <f>IF($A2398="","",$K2398+(5002-ROW())/10000)</f>
        <v/>
      </c>
    </row>
    <row r="2399">
      <c r="K2399">
        <f>IF($A2399="","",SUM($E2399:$J2399))</f>
        <v/>
      </c>
      <c r="M2399">
        <f>IF($A2399="","",MAX(0,ROUNDUP(DASHBOARD!$F$3-$D2399,0)))</f>
        <v/>
      </c>
      <c r="N2399">
        <f>IF($A2399="","",$K2399+(5002-ROW())/10000)</f>
        <v/>
      </c>
    </row>
    <row r="2400">
      <c r="K2400">
        <f>IF($A2400="","",SUM($E2400:$J2400))</f>
        <v/>
      </c>
      <c r="M2400">
        <f>IF($A2400="","",MAX(0,ROUNDUP(DASHBOARD!$F$3-$D2400,0)))</f>
        <v/>
      </c>
      <c r="N2400">
        <f>IF($A2400="","",$K2400+(5002-ROW())/10000)</f>
        <v/>
      </c>
    </row>
    <row r="2401">
      <c r="K2401">
        <f>IF($A2401="","",SUM($E2401:$J2401))</f>
        <v/>
      </c>
      <c r="M2401">
        <f>IF($A2401="","",MAX(0,ROUNDUP(DASHBOARD!$F$3-$D2401,0)))</f>
        <v/>
      </c>
      <c r="N2401">
        <f>IF($A2401="","",$K2401+(5002-ROW())/10000)</f>
        <v/>
      </c>
    </row>
    <row r="2402">
      <c r="K2402">
        <f>IF($A2402="","",SUM($E2402:$J2402))</f>
        <v/>
      </c>
      <c r="M2402">
        <f>IF($A2402="","",MAX(0,ROUNDUP(DASHBOARD!$F$3-$D2402,0)))</f>
        <v/>
      </c>
      <c r="N2402">
        <f>IF($A2402="","",$K2402+(5002-ROW())/10000)</f>
        <v/>
      </c>
    </row>
    <row r="2403">
      <c r="K2403">
        <f>IF($A2403="","",SUM($E2403:$J2403))</f>
        <v/>
      </c>
      <c r="M2403">
        <f>IF($A2403="","",MAX(0,ROUNDUP(DASHBOARD!$F$3-$D2403,0)))</f>
        <v/>
      </c>
      <c r="N2403">
        <f>IF($A2403="","",$K2403+(5002-ROW())/10000)</f>
        <v/>
      </c>
    </row>
    <row r="2404">
      <c r="K2404">
        <f>IF($A2404="","",SUM($E2404:$J2404))</f>
        <v/>
      </c>
      <c r="M2404">
        <f>IF($A2404="","",MAX(0,ROUNDUP(DASHBOARD!$F$3-$D2404,0)))</f>
        <v/>
      </c>
      <c r="N2404">
        <f>IF($A2404="","",$K2404+(5002-ROW())/10000)</f>
        <v/>
      </c>
    </row>
    <row r="2405">
      <c r="K2405">
        <f>IF($A2405="","",SUM($E2405:$J2405))</f>
        <v/>
      </c>
      <c r="M2405">
        <f>IF($A2405="","",MAX(0,ROUNDUP(DASHBOARD!$F$3-$D2405,0)))</f>
        <v/>
      </c>
      <c r="N2405">
        <f>IF($A2405="","",$K2405+(5002-ROW())/10000)</f>
        <v/>
      </c>
    </row>
    <row r="2406">
      <c r="K2406">
        <f>IF($A2406="","",SUM($E2406:$J2406))</f>
        <v/>
      </c>
      <c r="M2406">
        <f>IF($A2406="","",MAX(0,ROUNDUP(DASHBOARD!$F$3-$D2406,0)))</f>
        <v/>
      </c>
      <c r="N2406">
        <f>IF($A2406="","",$K2406+(5002-ROW())/10000)</f>
        <v/>
      </c>
    </row>
    <row r="2407">
      <c r="K2407">
        <f>IF($A2407="","",SUM($E2407:$J2407))</f>
        <v/>
      </c>
      <c r="M2407">
        <f>IF($A2407="","",MAX(0,ROUNDUP(DASHBOARD!$F$3-$D2407,0)))</f>
        <v/>
      </c>
      <c r="N2407">
        <f>IF($A2407="","",$K2407+(5002-ROW())/10000)</f>
        <v/>
      </c>
    </row>
    <row r="2408">
      <c r="K2408">
        <f>IF($A2408="","",SUM($E2408:$J2408))</f>
        <v/>
      </c>
      <c r="M2408">
        <f>IF($A2408="","",MAX(0,ROUNDUP(DASHBOARD!$F$3-$D2408,0)))</f>
        <v/>
      </c>
      <c r="N2408">
        <f>IF($A2408="","",$K2408+(5002-ROW())/10000)</f>
        <v/>
      </c>
    </row>
    <row r="2409">
      <c r="K2409">
        <f>IF($A2409="","",SUM($E2409:$J2409))</f>
        <v/>
      </c>
      <c r="M2409">
        <f>IF($A2409="","",MAX(0,ROUNDUP(DASHBOARD!$F$3-$D2409,0)))</f>
        <v/>
      </c>
      <c r="N2409">
        <f>IF($A2409="","",$K2409+(5002-ROW())/10000)</f>
        <v/>
      </c>
    </row>
    <row r="2410">
      <c r="K2410">
        <f>IF($A2410="","",SUM($E2410:$J2410))</f>
        <v/>
      </c>
      <c r="M2410">
        <f>IF($A2410="","",MAX(0,ROUNDUP(DASHBOARD!$F$3-$D2410,0)))</f>
        <v/>
      </c>
      <c r="N2410">
        <f>IF($A2410="","",$K2410+(5002-ROW())/10000)</f>
        <v/>
      </c>
    </row>
    <row r="2411">
      <c r="K2411">
        <f>IF($A2411="","",SUM($E2411:$J2411))</f>
        <v/>
      </c>
      <c r="M2411">
        <f>IF($A2411="","",MAX(0,ROUNDUP(DASHBOARD!$F$3-$D2411,0)))</f>
        <v/>
      </c>
      <c r="N2411">
        <f>IF($A2411="","",$K2411+(5002-ROW())/10000)</f>
        <v/>
      </c>
    </row>
    <row r="2412">
      <c r="K2412">
        <f>IF($A2412="","",SUM($E2412:$J2412))</f>
        <v/>
      </c>
      <c r="M2412">
        <f>IF($A2412="","",MAX(0,ROUNDUP(DASHBOARD!$F$3-$D2412,0)))</f>
        <v/>
      </c>
      <c r="N2412">
        <f>IF($A2412="","",$K2412+(5002-ROW())/10000)</f>
        <v/>
      </c>
    </row>
    <row r="2413">
      <c r="K2413">
        <f>IF($A2413="","",SUM($E2413:$J2413))</f>
        <v/>
      </c>
      <c r="M2413">
        <f>IF($A2413="","",MAX(0,ROUNDUP(DASHBOARD!$F$3-$D2413,0)))</f>
        <v/>
      </c>
      <c r="N2413">
        <f>IF($A2413="","",$K2413+(5002-ROW())/10000)</f>
        <v/>
      </c>
    </row>
    <row r="2414">
      <c r="K2414">
        <f>IF($A2414="","",SUM($E2414:$J2414))</f>
        <v/>
      </c>
      <c r="M2414">
        <f>IF($A2414="","",MAX(0,ROUNDUP(DASHBOARD!$F$3-$D2414,0)))</f>
        <v/>
      </c>
      <c r="N2414">
        <f>IF($A2414="","",$K2414+(5002-ROW())/10000)</f>
        <v/>
      </c>
    </row>
    <row r="2415">
      <c r="K2415">
        <f>IF($A2415="","",SUM($E2415:$J2415))</f>
        <v/>
      </c>
      <c r="M2415">
        <f>IF($A2415="","",MAX(0,ROUNDUP(DASHBOARD!$F$3-$D2415,0)))</f>
        <v/>
      </c>
      <c r="N2415">
        <f>IF($A2415="","",$K2415+(5002-ROW())/10000)</f>
        <v/>
      </c>
    </row>
    <row r="2416">
      <c r="K2416">
        <f>IF($A2416="","",SUM($E2416:$J2416))</f>
        <v/>
      </c>
      <c r="M2416">
        <f>IF($A2416="","",MAX(0,ROUNDUP(DASHBOARD!$F$3-$D2416,0)))</f>
        <v/>
      </c>
      <c r="N2416">
        <f>IF($A2416="","",$K2416+(5002-ROW())/10000)</f>
        <v/>
      </c>
    </row>
    <row r="2417">
      <c r="K2417">
        <f>IF($A2417="","",SUM($E2417:$J2417))</f>
        <v/>
      </c>
      <c r="M2417">
        <f>IF($A2417="","",MAX(0,ROUNDUP(DASHBOARD!$F$3-$D2417,0)))</f>
        <v/>
      </c>
      <c r="N2417">
        <f>IF($A2417="","",$K2417+(5002-ROW())/10000)</f>
        <v/>
      </c>
    </row>
    <row r="2418">
      <c r="K2418">
        <f>IF($A2418="","",SUM($E2418:$J2418))</f>
        <v/>
      </c>
      <c r="M2418">
        <f>IF($A2418="","",MAX(0,ROUNDUP(DASHBOARD!$F$3-$D2418,0)))</f>
        <v/>
      </c>
      <c r="N2418">
        <f>IF($A2418="","",$K2418+(5002-ROW())/10000)</f>
        <v/>
      </c>
    </row>
    <row r="2419">
      <c r="K2419">
        <f>IF($A2419="","",SUM($E2419:$J2419))</f>
        <v/>
      </c>
      <c r="M2419">
        <f>IF($A2419="","",MAX(0,ROUNDUP(DASHBOARD!$F$3-$D2419,0)))</f>
        <v/>
      </c>
      <c r="N2419">
        <f>IF($A2419="","",$K2419+(5002-ROW())/10000)</f>
        <v/>
      </c>
    </row>
    <row r="2420">
      <c r="K2420">
        <f>IF($A2420="","",SUM($E2420:$J2420))</f>
        <v/>
      </c>
      <c r="M2420">
        <f>IF($A2420="","",MAX(0,ROUNDUP(DASHBOARD!$F$3-$D2420,0)))</f>
        <v/>
      </c>
      <c r="N2420">
        <f>IF($A2420="","",$K2420+(5002-ROW())/10000)</f>
        <v/>
      </c>
    </row>
    <row r="2421">
      <c r="K2421">
        <f>IF($A2421="","",SUM($E2421:$J2421))</f>
        <v/>
      </c>
      <c r="M2421">
        <f>IF($A2421="","",MAX(0,ROUNDUP(DASHBOARD!$F$3-$D2421,0)))</f>
        <v/>
      </c>
      <c r="N2421">
        <f>IF($A2421="","",$K2421+(5002-ROW())/10000)</f>
        <v/>
      </c>
    </row>
    <row r="2422">
      <c r="K2422">
        <f>IF($A2422="","",SUM($E2422:$J2422))</f>
        <v/>
      </c>
      <c r="M2422">
        <f>IF($A2422="","",MAX(0,ROUNDUP(DASHBOARD!$F$3-$D2422,0)))</f>
        <v/>
      </c>
      <c r="N2422">
        <f>IF($A2422="","",$K2422+(5002-ROW())/10000)</f>
        <v/>
      </c>
    </row>
    <row r="2423">
      <c r="K2423">
        <f>IF($A2423="","",SUM($E2423:$J2423))</f>
        <v/>
      </c>
      <c r="M2423">
        <f>IF($A2423="","",MAX(0,ROUNDUP(DASHBOARD!$F$3-$D2423,0)))</f>
        <v/>
      </c>
      <c r="N2423">
        <f>IF($A2423="","",$K2423+(5002-ROW())/10000)</f>
        <v/>
      </c>
    </row>
    <row r="2424">
      <c r="K2424">
        <f>IF($A2424="","",SUM($E2424:$J2424))</f>
        <v/>
      </c>
      <c r="M2424">
        <f>IF($A2424="","",MAX(0,ROUNDUP(DASHBOARD!$F$3-$D2424,0)))</f>
        <v/>
      </c>
      <c r="N2424">
        <f>IF($A2424="","",$K2424+(5002-ROW())/10000)</f>
        <v/>
      </c>
    </row>
    <row r="2425">
      <c r="K2425">
        <f>IF($A2425="","",SUM($E2425:$J2425))</f>
        <v/>
      </c>
      <c r="M2425">
        <f>IF($A2425="","",MAX(0,ROUNDUP(DASHBOARD!$F$3-$D2425,0)))</f>
        <v/>
      </c>
      <c r="N2425">
        <f>IF($A2425="","",$K2425+(5002-ROW())/10000)</f>
        <v/>
      </c>
    </row>
    <row r="2426">
      <c r="K2426">
        <f>IF($A2426="","",SUM($E2426:$J2426))</f>
        <v/>
      </c>
      <c r="M2426">
        <f>IF($A2426="","",MAX(0,ROUNDUP(DASHBOARD!$F$3-$D2426,0)))</f>
        <v/>
      </c>
      <c r="N2426">
        <f>IF($A2426="","",$K2426+(5002-ROW())/10000)</f>
        <v/>
      </c>
    </row>
    <row r="2427">
      <c r="K2427">
        <f>IF($A2427="","",SUM($E2427:$J2427))</f>
        <v/>
      </c>
      <c r="M2427">
        <f>IF($A2427="","",MAX(0,ROUNDUP(DASHBOARD!$F$3-$D2427,0)))</f>
        <v/>
      </c>
      <c r="N2427">
        <f>IF($A2427="","",$K2427+(5002-ROW())/10000)</f>
        <v/>
      </c>
    </row>
    <row r="2428">
      <c r="K2428">
        <f>IF($A2428="","",SUM($E2428:$J2428))</f>
        <v/>
      </c>
      <c r="M2428">
        <f>IF($A2428="","",MAX(0,ROUNDUP(DASHBOARD!$F$3-$D2428,0)))</f>
        <v/>
      </c>
      <c r="N2428">
        <f>IF($A2428="","",$K2428+(5002-ROW())/10000)</f>
        <v/>
      </c>
    </row>
    <row r="2429">
      <c r="K2429">
        <f>IF($A2429="","",SUM($E2429:$J2429))</f>
        <v/>
      </c>
      <c r="M2429">
        <f>IF($A2429="","",MAX(0,ROUNDUP(DASHBOARD!$F$3-$D2429,0)))</f>
        <v/>
      </c>
      <c r="N2429">
        <f>IF($A2429="","",$K2429+(5002-ROW())/10000)</f>
        <v/>
      </c>
    </row>
    <row r="2430">
      <c r="K2430">
        <f>IF($A2430="","",SUM($E2430:$J2430))</f>
        <v/>
      </c>
      <c r="M2430">
        <f>IF($A2430="","",MAX(0,ROUNDUP(DASHBOARD!$F$3-$D2430,0)))</f>
        <v/>
      </c>
      <c r="N2430">
        <f>IF($A2430="","",$K2430+(5002-ROW())/10000)</f>
        <v/>
      </c>
    </row>
    <row r="2431">
      <c r="K2431">
        <f>IF($A2431="","",SUM($E2431:$J2431))</f>
        <v/>
      </c>
      <c r="M2431">
        <f>IF($A2431="","",MAX(0,ROUNDUP(DASHBOARD!$F$3-$D2431,0)))</f>
        <v/>
      </c>
      <c r="N2431">
        <f>IF($A2431="","",$K2431+(5002-ROW())/10000)</f>
        <v/>
      </c>
    </row>
    <row r="2432">
      <c r="K2432">
        <f>IF($A2432="","",SUM($E2432:$J2432))</f>
        <v/>
      </c>
      <c r="M2432">
        <f>IF($A2432="","",MAX(0,ROUNDUP(DASHBOARD!$F$3-$D2432,0)))</f>
        <v/>
      </c>
      <c r="N2432">
        <f>IF($A2432="","",$K2432+(5002-ROW())/10000)</f>
        <v/>
      </c>
    </row>
    <row r="2433">
      <c r="K2433">
        <f>IF($A2433="","",SUM($E2433:$J2433))</f>
        <v/>
      </c>
      <c r="M2433">
        <f>IF($A2433="","",MAX(0,ROUNDUP(DASHBOARD!$F$3-$D2433,0)))</f>
        <v/>
      </c>
      <c r="N2433">
        <f>IF($A2433="","",$K2433+(5002-ROW())/10000)</f>
        <v/>
      </c>
    </row>
    <row r="2434">
      <c r="K2434">
        <f>IF($A2434="","",SUM($E2434:$J2434))</f>
        <v/>
      </c>
      <c r="M2434">
        <f>IF($A2434="","",MAX(0,ROUNDUP(DASHBOARD!$F$3-$D2434,0)))</f>
        <v/>
      </c>
      <c r="N2434">
        <f>IF($A2434="","",$K2434+(5002-ROW())/10000)</f>
        <v/>
      </c>
    </row>
    <row r="2435">
      <c r="K2435">
        <f>IF($A2435="","",SUM($E2435:$J2435))</f>
        <v/>
      </c>
      <c r="M2435">
        <f>IF($A2435="","",MAX(0,ROUNDUP(DASHBOARD!$F$3-$D2435,0)))</f>
        <v/>
      </c>
      <c r="N2435">
        <f>IF($A2435="","",$K2435+(5002-ROW())/10000)</f>
        <v/>
      </c>
    </row>
    <row r="2436">
      <c r="K2436">
        <f>IF($A2436="","",SUM($E2436:$J2436))</f>
        <v/>
      </c>
      <c r="M2436">
        <f>IF($A2436="","",MAX(0,ROUNDUP(DASHBOARD!$F$3-$D2436,0)))</f>
        <v/>
      </c>
      <c r="N2436">
        <f>IF($A2436="","",$K2436+(5002-ROW())/10000)</f>
        <v/>
      </c>
    </row>
    <row r="2437">
      <c r="K2437">
        <f>IF($A2437="","",SUM($E2437:$J2437))</f>
        <v/>
      </c>
      <c r="M2437">
        <f>IF($A2437="","",MAX(0,ROUNDUP(DASHBOARD!$F$3-$D2437,0)))</f>
        <v/>
      </c>
      <c r="N2437">
        <f>IF($A2437="","",$K2437+(5002-ROW())/10000)</f>
        <v/>
      </c>
    </row>
    <row r="2438">
      <c r="K2438">
        <f>IF($A2438="","",SUM($E2438:$J2438))</f>
        <v/>
      </c>
      <c r="M2438">
        <f>IF($A2438="","",MAX(0,ROUNDUP(DASHBOARD!$F$3-$D2438,0)))</f>
        <v/>
      </c>
      <c r="N2438">
        <f>IF($A2438="","",$K2438+(5002-ROW())/10000)</f>
        <v/>
      </c>
    </row>
    <row r="2439">
      <c r="K2439">
        <f>IF($A2439="","",SUM($E2439:$J2439))</f>
        <v/>
      </c>
      <c r="M2439">
        <f>IF($A2439="","",MAX(0,ROUNDUP(DASHBOARD!$F$3-$D2439,0)))</f>
        <v/>
      </c>
      <c r="N2439">
        <f>IF($A2439="","",$K2439+(5002-ROW())/10000)</f>
        <v/>
      </c>
    </row>
    <row r="2440">
      <c r="K2440">
        <f>IF($A2440="","",SUM($E2440:$J2440))</f>
        <v/>
      </c>
      <c r="M2440">
        <f>IF($A2440="","",MAX(0,ROUNDUP(DASHBOARD!$F$3-$D2440,0)))</f>
        <v/>
      </c>
      <c r="N2440">
        <f>IF($A2440="","",$K2440+(5002-ROW())/10000)</f>
        <v/>
      </c>
    </row>
    <row r="2441">
      <c r="K2441">
        <f>IF($A2441="","",SUM($E2441:$J2441))</f>
        <v/>
      </c>
      <c r="M2441">
        <f>IF($A2441="","",MAX(0,ROUNDUP(DASHBOARD!$F$3-$D2441,0)))</f>
        <v/>
      </c>
      <c r="N2441">
        <f>IF($A2441="","",$K2441+(5002-ROW())/10000)</f>
        <v/>
      </c>
    </row>
    <row r="2442">
      <c r="K2442">
        <f>IF($A2442="","",SUM($E2442:$J2442))</f>
        <v/>
      </c>
      <c r="M2442">
        <f>IF($A2442="","",MAX(0,ROUNDUP(DASHBOARD!$F$3-$D2442,0)))</f>
        <v/>
      </c>
      <c r="N2442">
        <f>IF($A2442="","",$K2442+(5002-ROW())/10000)</f>
        <v/>
      </c>
    </row>
    <row r="2443">
      <c r="K2443">
        <f>IF($A2443="","",SUM($E2443:$J2443))</f>
        <v/>
      </c>
      <c r="M2443">
        <f>IF($A2443="","",MAX(0,ROUNDUP(DASHBOARD!$F$3-$D2443,0)))</f>
        <v/>
      </c>
      <c r="N2443">
        <f>IF($A2443="","",$K2443+(5002-ROW())/10000)</f>
        <v/>
      </c>
    </row>
    <row r="2444">
      <c r="K2444">
        <f>IF($A2444="","",SUM($E2444:$J2444))</f>
        <v/>
      </c>
      <c r="M2444">
        <f>IF($A2444="","",MAX(0,ROUNDUP(DASHBOARD!$F$3-$D2444,0)))</f>
        <v/>
      </c>
      <c r="N2444">
        <f>IF($A2444="","",$K2444+(5002-ROW())/10000)</f>
        <v/>
      </c>
    </row>
    <row r="2445">
      <c r="K2445">
        <f>IF($A2445="","",SUM($E2445:$J2445))</f>
        <v/>
      </c>
      <c r="M2445">
        <f>IF($A2445="","",MAX(0,ROUNDUP(DASHBOARD!$F$3-$D2445,0)))</f>
        <v/>
      </c>
      <c r="N2445">
        <f>IF($A2445="","",$K2445+(5002-ROW())/10000)</f>
        <v/>
      </c>
    </row>
    <row r="2446">
      <c r="K2446">
        <f>IF($A2446="","",SUM($E2446:$J2446))</f>
        <v/>
      </c>
      <c r="M2446">
        <f>IF($A2446="","",MAX(0,ROUNDUP(DASHBOARD!$F$3-$D2446,0)))</f>
        <v/>
      </c>
      <c r="N2446">
        <f>IF($A2446="","",$K2446+(5002-ROW())/10000)</f>
        <v/>
      </c>
    </row>
    <row r="2447">
      <c r="K2447">
        <f>IF($A2447="","",SUM($E2447:$J2447))</f>
        <v/>
      </c>
      <c r="M2447">
        <f>IF($A2447="","",MAX(0,ROUNDUP(DASHBOARD!$F$3-$D2447,0)))</f>
        <v/>
      </c>
      <c r="N2447">
        <f>IF($A2447="","",$K2447+(5002-ROW())/10000)</f>
        <v/>
      </c>
    </row>
    <row r="2448">
      <c r="K2448">
        <f>IF($A2448="","",SUM($E2448:$J2448))</f>
        <v/>
      </c>
      <c r="M2448">
        <f>IF($A2448="","",MAX(0,ROUNDUP(DASHBOARD!$F$3-$D2448,0)))</f>
        <v/>
      </c>
      <c r="N2448">
        <f>IF($A2448="","",$K2448+(5002-ROW())/10000)</f>
        <v/>
      </c>
    </row>
    <row r="2449">
      <c r="K2449">
        <f>IF($A2449="","",SUM($E2449:$J2449))</f>
        <v/>
      </c>
      <c r="M2449">
        <f>IF($A2449="","",MAX(0,ROUNDUP(DASHBOARD!$F$3-$D2449,0)))</f>
        <v/>
      </c>
      <c r="N2449">
        <f>IF($A2449="","",$K2449+(5002-ROW())/10000)</f>
        <v/>
      </c>
    </row>
    <row r="2450">
      <c r="K2450">
        <f>IF($A2450="","",SUM($E2450:$J2450))</f>
        <v/>
      </c>
      <c r="M2450">
        <f>IF($A2450="","",MAX(0,ROUNDUP(DASHBOARD!$F$3-$D2450,0)))</f>
        <v/>
      </c>
      <c r="N2450">
        <f>IF($A2450="","",$K2450+(5002-ROW())/10000)</f>
        <v/>
      </c>
    </row>
    <row r="2451">
      <c r="K2451">
        <f>IF($A2451="","",SUM($E2451:$J2451))</f>
        <v/>
      </c>
      <c r="M2451">
        <f>IF($A2451="","",MAX(0,ROUNDUP(DASHBOARD!$F$3-$D2451,0)))</f>
        <v/>
      </c>
      <c r="N2451">
        <f>IF($A2451="","",$K2451+(5002-ROW())/10000)</f>
        <v/>
      </c>
    </row>
    <row r="2452">
      <c r="K2452">
        <f>IF($A2452="","",SUM($E2452:$J2452))</f>
        <v/>
      </c>
      <c r="M2452">
        <f>IF($A2452="","",MAX(0,ROUNDUP(DASHBOARD!$F$3-$D2452,0)))</f>
        <v/>
      </c>
      <c r="N2452">
        <f>IF($A2452="","",$K2452+(5002-ROW())/10000)</f>
        <v/>
      </c>
    </row>
    <row r="2453">
      <c r="K2453">
        <f>IF($A2453="","",SUM($E2453:$J2453))</f>
        <v/>
      </c>
      <c r="M2453">
        <f>IF($A2453="","",MAX(0,ROUNDUP(DASHBOARD!$F$3-$D2453,0)))</f>
        <v/>
      </c>
      <c r="N2453">
        <f>IF($A2453="","",$K2453+(5002-ROW())/10000)</f>
        <v/>
      </c>
    </row>
    <row r="2454">
      <c r="K2454">
        <f>IF($A2454="","",SUM($E2454:$J2454))</f>
        <v/>
      </c>
      <c r="M2454">
        <f>IF($A2454="","",MAX(0,ROUNDUP(DASHBOARD!$F$3-$D2454,0)))</f>
        <v/>
      </c>
      <c r="N2454">
        <f>IF($A2454="","",$K2454+(5002-ROW())/10000)</f>
        <v/>
      </c>
    </row>
    <row r="2455">
      <c r="K2455">
        <f>IF($A2455="","",SUM($E2455:$J2455))</f>
        <v/>
      </c>
      <c r="M2455">
        <f>IF($A2455="","",MAX(0,ROUNDUP(DASHBOARD!$F$3-$D2455,0)))</f>
        <v/>
      </c>
      <c r="N2455">
        <f>IF($A2455="","",$K2455+(5002-ROW())/10000)</f>
        <v/>
      </c>
    </row>
    <row r="2456">
      <c r="K2456">
        <f>IF($A2456="","",SUM($E2456:$J2456))</f>
        <v/>
      </c>
      <c r="M2456">
        <f>IF($A2456="","",MAX(0,ROUNDUP(DASHBOARD!$F$3-$D2456,0)))</f>
        <v/>
      </c>
      <c r="N2456">
        <f>IF($A2456="","",$K2456+(5002-ROW())/10000)</f>
        <v/>
      </c>
    </row>
    <row r="2457">
      <c r="K2457">
        <f>IF($A2457="","",SUM($E2457:$J2457))</f>
        <v/>
      </c>
      <c r="M2457">
        <f>IF($A2457="","",MAX(0,ROUNDUP(DASHBOARD!$F$3-$D2457,0)))</f>
        <v/>
      </c>
      <c r="N2457">
        <f>IF($A2457="","",$K2457+(5002-ROW())/10000)</f>
        <v/>
      </c>
    </row>
    <row r="2458">
      <c r="K2458">
        <f>IF($A2458="","",SUM($E2458:$J2458))</f>
        <v/>
      </c>
      <c r="M2458">
        <f>IF($A2458="","",MAX(0,ROUNDUP(DASHBOARD!$F$3-$D2458,0)))</f>
        <v/>
      </c>
      <c r="N2458">
        <f>IF($A2458="","",$K2458+(5002-ROW())/10000)</f>
        <v/>
      </c>
    </row>
    <row r="2459">
      <c r="K2459">
        <f>IF($A2459="","",SUM($E2459:$J2459))</f>
        <v/>
      </c>
      <c r="M2459">
        <f>IF($A2459="","",MAX(0,ROUNDUP(DASHBOARD!$F$3-$D2459,0)))</f>
        <v/>
      </c>
      <c r="N2459">
        <f>IF($A2459="","",$K2459+(5002-ROW())/10000)</f>
        <v/>
      </c>
    </row>
    <row r="2460">
      <c r="K2460">
        <f>IF($A2460="","",SUM($E2460:$J2460))</f>
        <v/>
      </c>
      <c r="M2460">
        <f>IF($A2460="","",MAX(0,ROUNDUP(DASHBOARD!$F$3-$D2460,0)))</f>
        <v/>
      </c>
      <c r="N2460">
        <f>IF($A2460="","",$K2460+(5002-ROW())/10000)</f>
        <v/>
      </c>
    </row>
    <row r="2461">
      <c r="K2461">
        <f>IF($A2461="","",SUM($E2461:$J2461))</f>
        <v/>
      </c>
      <c r="M2461">
        <f>IF($A2461="","",MAX(0,ROUNDUP(DASHBOARD!$F$3-$D2461,0)))</f>
        <v/>
      </c>
      <c r="N2461">
        <f>IF($A2461="","",$K2461+(5002-ROW())/10000)</f>
        <v/>
      </c>
    </row>
    <row r="2462">
      <c r="K2462">
        <f>IF($A2462="","",SUM($E2462:$J2462))</f>
        <v/>
      </c>
      <c r="M2462">
        <f>IF($A2462="","",MAX(0,ROUNDUP(DASHBOARD!$F$3-$D2462,0)))</f>
        <v/>
      </c>
      <c r="N2462">
        <f>IF($A2462="","",$K2462+(5002-ROW())/10000)</f>
        <v/>
      </c>
    </row>
    <row r="2463">
      <c r="K2463">
        <f>IF($A2463="","",SUM($E2463:$J2463))</f>
        <v/>
      </c>
      <c r="M2463">
        <f>IF($A2463="","",MAX(0,ROUNDUP(DASHBOARD!$F$3-$D2463,0)))</f>
        <v/>
      </c>
      <c r="N2463">
        <f>IF($A2463="","",$K2463+(5002-ROW())/10000)</f>
        <v/>
      </c>
    </row>
    <row r="2464">
      <c r="K2464">
        <f>IF($A2464="","",SUM($E2464:$J2464))</f>
        <v/>
      </c>
      <c r="M2464">
        <f>IF($A2464="","",MAX(0,ROUNDUP(DASHBOARD!$F$3-$D2464,0)))</f>
        <v/>
      </c>
      <c r="N2464">
        <f>IF($A2464="","",$K2464+(5002-ROW())/10000)</f>
        <v/>
      </c>
    </row>
    <row r="2465">
      <c r="K2465">
        <f>IF($A2465="","",SUM($E2465:$J2465))</f>
        <v/>
      </c>
      <c r="M2465">
        <f>IF($A2465="","",MAX(0,ROUNDUP(DASHBOARD!$F$3-$D2465,0)))</f>
        <v/>
      </c>
      <c r="N2465">
        <f>IF($A2465="","",$K2465+(5002-ROW())/10000)</f>
        <v/>
      </c>
    </row>
    <row r="2466">
      <c r="K2466">
        <f>IF($A2466="","",SUM($E2466:$J2466))</f>
        <v/>
      </c>
      <c r="M2466">
        <f>IF($A2466="","",MAX(0,ROUNDUP(DASHBOARD!$F$3-$D2466,0)))</f>
        <v/>
      </c>
      <c r="N2466">
        <f>IF($A2466="","",$K2466+(5002-ROW())/10000)</f>
        <v/>
      </c>
    </row>
    <row r="2467">
      <c r="K2467">
        <f>IF($A2467="","",SUM($E2467:$J2467))</f>
        <v/>
      </c>
      <c r="M2467">
        <f>IF($A2467="","",MAX(0,ROUNDUP(DASHBOARD!$F$3-$D2467,0)))</f>
        <v/>
      </c>
      <c r="N2467">
        <f>IF($A2467="","",$K2467+(5002-ROW())/10000)</f>
        <v/>
      </c>
    </row>
    <row r="2468">
      <c r="K2468">
        <f>IF($A2468="","",SUM($E2468:$J2468))</f>
        <v/>
      </c>
      <c r="M2468">
        <f>IF($A2468="","",MAX(0,ROUNDUP(DASHBOARD!$F$3-$D2468,0)))</f>
        <v/>
      </c>
      <c r="N2468">
        <f>IF($A2468="","",$K2468+(5002-ROW())/10000)</f>
        <v/>
      </c>
    </row>
    <row r="2469">
      <c r="K2469">
        <f>IF($A2469="","",SUM($E2469:$J2469))</f>
        <v/>
      </c>
      <c r="M2469">
        <f>IF($A2469="","",MAX(0,ROUNDUP(DASHBOARD!$F$3-$D2469,0)))</f>
        <v/>
      </c>
      <c r="N2469">
        <f>IF($A2469="","",$K2469+(5002-ROW())/10000)</f>
        <v/>
      </c>
    </row>
    <row r="2470">
      <c r="K2470">
        <f>IF($A2470="","",SUM($E2470:$J2470))</f>
        <v/>
      </c>
      <c r="M2470">
        <f>IF($A2470="","",MAX(0,ROUNDUP(DASHBOARD!$F$3-$D2470,0)))</f>
        <v/>
      </c>
      <c r="N2470">
        <f>IF($A2470="","",$K2470+(5002-ROW())/10000)</f>
        <v/>
      </c>
    </row>
    <row r="2471">
      <c r="K2471">
        <f>IF($A2471="","",SUM($E2471:$J2471))</f>
        <v/>
      </c>
      <c r="M2471">
        <f>IF($A2471="","",MAX(0,ROUNDUP(DASHBOARD!$F$3-$D2471,0)))</f>
        <v/>
      </c>
      <c r="N2471">
        <f>IF($A2471="","",$K2471+(5002-ROW())/10000)</f>
        <v/>
      </c>
    </row>
    <row r="2472">
      <c r="K2472">
        <f>IF($A2472="","",SUM($E2472:$J2472))</f>
        <v/>
      </c>
      <c r="M2472">
        <f>IF($A2472="","",MAX(0,ROUNDUP(DASHBOARD!$F$3-$D2472,0)))</f>
        <v/>
      </c>
      <c r="N2472">
        <f>IF($A2472="","",$K2472+(5002-ROW())/10000)</f>
        <v/>
      </c>
    </row>
    <row r="2473">
      <c r="K2473">
        <f>IF($A2473="","",SUM($E2473:$J2473))</f>
        <v/>
      </c>
      <c r="M2473">
        <f>IF($A2473="","",MAX(0,ROUNDUP(DASHBOARD!$F$3-$D2473,0)))</f>
        <v/>
      </c>
      <c r="N2473">
        <f>IF($A2473="","",$K2473+(5002-ROW())/10000)</f>
        <v/>
      </c>
    </row>
    <row r="2474">
      <c r="K2474">
        <f>IF($A2474="","",SUM($E2474:$J2474))</f>
        <v/>
      </c>
      <c r="M2474">
        <f>IF($A2474="","",MAX(0,ROUNDUP(DASHBOARD!$F$3-$D2474,0)))</f>
        <v/>
      </c>
      <c r="N2474">
        <f>IF($A2474="","",$K2474+(5002-ROW())/10000)</f>
        <v/>
      </c>
    </row>
    <row r="2475">
      <c r="K2475">
        <f>IF($A2475="","",SUM($E2475:$J2475))</f>
        <v/>
      </c>
      <c r="M2475">
        <f>IF($A2475="","",MAX(0,ROUNDUP(DASHBOARD!$F$3-$D2475,0)))</f>
        <v/>
      </c>
      <c r="N2475">
        <f>IF($A2475="","",$K2475+(5002-ROW())/10000)</f>
        <v/>
      </c>
    </row>
    <row r="2476">
      <c r="K2476">
        <f>IF($A2476="","",SUM($E2476:$J2476))</f>
        <v/>
      </c>
      <c r="M2476">
        <f>IF($A2476="","",MAX(0,ROUNDUP(DASHBOARD!$F$3-$D2476,0)))</f>
        <v/>
      </c>
      <c r="N2476">
        <f>IF($A2476="","",$K2476+(5002-ROW())/10000)</f>
        <v/>
      </c>
    </row>
    <row r="2477">
      <c r="K2477">
        <f>IF($A2477="","",SUM($E2477:$J2477))</f>
        <v/>
      </c>
      <c r="M2477">
        <f>IF($A2477="","",MAX(0,ROUNDUP(DASHBOARD!$F$3-$D2477,0)))</f>
        <v/>
      </c>
      <c r="N2477">
        <f>IF($A2477="","",$K2477+(5002-ROW())/10000)</f>
        <v/>
      </c>
    </row>
    <row r="2478">
      <c r="K2478">
        <f>IF($A2478="","",SUM($E2478:$J2478))</f>
        <v/>
      </c>
      <c r="M2478">
        <f>IF($A2478="","",MAX(0,ROUNDUP(DASHBOARD!$F$3-$D2478,0)))</f>
        <v/>
      </c>
      <c r="N2478">
        <f>IF($A2478="","",$K2478+(5002-ROW())/10000)</f>
        <v/>
      </c>
    </row>
    <row r="2479">
      <c r="K2479">
        <f>IF($A2479="","",SUM($E2479:$J2479))</f>
        <v/>
      </c>
      <c r="M2479">
        <f>IF($A2479="","",MAX(0,ROUNDUP(DASHBOARD!$F$3-$D2479,0)))</f>
        <v/>
      </c>
      <c r="N2479">
        <f>IF($A2479="","",$K2479+(5002-ROW())/10000)</f>
        <v/>
      </c>
    </row>
    <row r="2480">
      <c r="K2480">
        <f>IF($A2480="","",SUM($E2480:$J2480))</f>
        <v/>
      </c>
      <c r="M2480">
        <f>IF($A2480="","",MAX(0,ROUNDUP(DASHBOARD!$F$3-$D2480,0)))</f>
        <v/>
      </c>
      <c r="N2480">
        <f>IF($A2480="","",$K2480+(5002-ROW())/10000)</f>
        <v/>
      </c>
    </row>
    <row r="2481">
      <c r="K2481">
        <f>IF($A2481="","",SUM($E2481:$J2481))</f>
        <v/>
      </c>
      <c r="M2481">
        <f>IF($A2481="","",MAX(0,ROUNDUP(DASHBOARD!$F$3-$D2481,0)))</f>
        <v/>
      </c>
      <c r="N2481">
        <f>IF($A2481="","",$K2481+(5002-ROW())/10000)</f>
        <v/>
      </c>
    </row>
    <row r="2482">
      <c r="K2482">
        <f>IF($A2482="","",SUM($E2482:$J2482))</f>
        <v/>
      </c>
      <c r="M2482">
        <f>IF($A2482="","",MAX(0,ROUNDUP(DASHBOARD!$F$3-$D2482,0)))</f>
        <v/>
      </c>
      <c r="N2482">
        <f>IF($A2482="","",$K2482+(5002-ROW())/10000)</f>
        <v/>
      </c>
    </row>
    <row r="2483">
      <c r="K2483">
        <f>IF($A2483="","",SUM($E2483:$J2483))</f>
        <v/>
      </c>
      <c r="M2483">
        <f>IF($A2483="","",MAX(0,ROUNDUP(DASHBOARD!$F$3-$D2483,0)))</f>
        <v/>
      </c>
      <c r="N2483">
        <f>IF($A2483="","",$K2483+(5002-ROW())/10000)</f>
        <v/>
      </c>
    </row>
    <row r="2484">
      <c r="K2484">
        <f>IF($A2484="","",SUM($E2484:$J2484))</f>
        <v/>
      </c>
      <c r="M2484">
        <f>IF($A2484="","",MAX(0,ROUNDUP(DASHBOARD!$F$3-$D2484,0)))</f>
        <v/>
      </c>
      <c r="N2484">
        <f>IF($A2484="","",$K2484+(5002-ROW())/10000)</f>
        <v/>
      </c>
    </row>
    <row r="2485">
      <c r="K2485">
        <f>IF($A2485="","",SUM($E2485:$J2485))</f>
        <v/>
      </c>
      <c r="M2485">
        <f>IF($A2485="","",MAX(0,ROUNDUP(DASHBOARD!$F$3-$D2485,0)))</f>
        <v/>
      </c>
      <c r="N2485">
        <f>IF($A2485="","",$K2485+(5002-ROW())/10000)</f>
        <v/>
      </c>
    </row>
    <row r="2486">
      <c r="K2486">
        <f>IF($A2486="","",SUM($E2486:$J2486))</f>
        <v/>
      </c>
      <c r="M2486">
        <f>IF($A2486="","",MAX(0,ROUNDUP(DASHBOARD!$F$3-$D2486,0)))</f>
        <v/>
      </c>
      <c r="N2486">
        <f>IF($A2486="","",$K2486+(5002-ROW())/10000)</f>
        <v/>
      </c>
    </row>
    <row r="2487">
      <c r="K2487">
        <f>IF($A2487="","",SUM($E2487:$J2487))</f>
        <v/>
      </c>
      <c r="M2487">
        <f>IF($A2487="","",MAX(0,ROUNDUP(DASHBOARD!$F$3-$D2487,0)))</f>
        <v/>
      </c>
      <c r="N2487">
        <f>IF($A2487="","",$K2487+(5002-ROW())/10000)</f>
        <v/>
      </c>
    </row>
    <row r="2488">
      <c r="K2488">
        <f>IF($A2488="","",SUM($E2488:$J2488))</f>
        <v/>
      </c>
      <c r="M2488">
        <f>IF($A2488="","",MAX(0,ROUNDUP(DASHBOARD!$F$3-$D2488,0)))</f>
        <v/>
      </c>
      <c r="N2488">
        <f>IF($A2488="","",$K2488+(5002-ROW())/10000)</f>
        <v/>
      </c>
    </row>
    <row r="2489">
      <c r="K2489">
        <f>IF($A2489="","",SUM($E2489:$J2489))</f>
        <v/>
      </c>
      <c r="M2489">
        <f>IF($A2489="","",MAX(0,ROUNDUP(DASHBOARD!$F$3-$D2489,0)))</f>
        <v/>
      </c>
      <c r="N2489">
        <f>IF($A2489="","",$K2489+(5002-ROW())/10000)</f>
        <v/>
      </c>
    </row>
    <row r="2490">
      <c r="K2490">
        <f>IF($A2490="","",SUM($E2490:$J2490))</f>
        <v/>
      </c>
      <c r="M2490">
        <f>IF($A2490="","",MAX(0,ROUNDUP(DASHBOARD!$F$3-$D2490,0)))</f>
        <v/>
      </c>
      <c r="N2490">
        <f>IF($A2490="","",$K2490+(5002-ROW())/10000)</f>
        <v/>
      </c>
    </row>
    <row r="2491">
      <c r="K2491">
        <f>IF($A2491="","",SUM($E2491:$J2491))</f>
        <v/>
      </c>
      <c r="M2491">
        <f>IF($A2491="","",MAX(0,ROUNDUP(DASHBOARD!$F$3-$D2491,0)))</f>
        <v/>
      </c>
      <c r="N2491">
        <f>IF($A2491="","",$K2491+(5002-ROW())/10000)</f>
        <v/>
      </c>
    </row>
    <row r="2492">
      <c r="K2492">
        <f>IF($A2492="","",SUM($E2492:$J2492))</f>
        <v/>
      </c>
      <c r="M2492">
        <f>IF($A2492="","",MAX(0,ROUNDUP(DASHBOARD!$F$3-$D2492,0)))</f>
        <v/>
      </c>
      <c r="N2492">
        <f>IF($A2492="","",$K2492+(5002-ROW())/10000)</f>
        <v/>
      </c>
    </row>
    <row r="2493">
      <c r="K2493">
        <f>IF($A2493="","",SUM($E2493:$J2493))</f>
        <v/>
      </c>
      <c r="M2493">
        <f>IF($A2493="","",MAX(0,ROUNDUP(DASHBOARD!$F$3-$D2493,0)))</f>
        <v/>
      </c>
      <c r="N2493">
        <f>IF($A2493="","",$K2493+(5002-ROW())/10000)</f>
        <v/>
      </c>
    </row>
    <row r="2494">
      <c r="K2494">
        <f>IF($A2494="","",SUM($E2494:$J2494))</f>
        <v/>
      </c>
      <c r="M2494">
        <f>IF($A2494="","",MAX(0,ROUNDUP(DASHBOARD!$F$3-$D2494,0)))</f>
        <v/>
      </c>
      <c r="N2494">
        <f>IF($A2494="","",$K2494+(5002-ROW())/10000)</f>
        <v/>
      </c>
    </row>
    <row r="2495">
      <c r="K2495">
        <f>IF($A2495="","",SUM($E2495:$J2495))</f>
        <v/>
      </c>
      <c r="M2495">
        <f>IF($A2495="","",MAX(0,ROUNDUP(DASHBOARD!$F$3-$D2495,0)))</f>
        <v/>
      </c>
      <c r="N2495">
        <f>IF($A2495="","",$K2495+(5002-ROW())/10000)</f>
        <v/>
      </c>
    </row>
    <row r="2496">
      <c r="K2496">
        <f>IF($A2496="","",SUM($E2496:$J2496))</f>
        <v/>
      </c>
      <c r="M2496">
        <f>IF($A2496="","",MAX(0,ROUNDUP(DASHBOARD!$F$3-$D2496,0)))</f>
        <v/>
      </c>
      <c r="N2496">
        <f>IF($A2496="","",$K2496+(5002-ROW())/10000)</f>
        <v/>
      </c>
    </row>
    <row r="2497">
      <c r="K2497">
        <f>IF($A2497="","",SUM($E2497:$J2497))</f>
        <v/>
      </c>
      <c r="M2497">
        <f>IF($A2497="","",MAX(0,ROUNDUP(DASHBOARD!$F$3-$D2497,0)))</f>
        <v/>
      </c>
      <c r="N2497">
        <f>IF($A2497="","",$K2497+(5002-ROW())/10000)</f>
        <v/>
      </c>
    </row>
    <row r="2498">
      <c r="K2498">
        <f>IF($A2498="","",SUM($E2498:$J2498))</f>
        <v/>
      </c>
      <c r="M2498">
        <f>IF($A2498="","",MAX(0,ROUNDUP(DASHBOARD!$F$3-$D2498,0)))</f>
        <v/>
      </c>
      <c r="N2498">
        <f>IF($A2498="","",$K2498+(5002-ROW())/10000)</f>
        <v/>
      </c>
    </row>
    <row r="2499">
      <c r="K2499">
        <f>IF($A2499="","",SUM($E2499:$J2499))</f>
        <v/>
      </c>
      <c r="M2499">
        <f>IF($A2499="","",MAX(0,ROUNDUP(DASHBOARD!$F$3-$D2499,0)))</f>
        <v/>
      </c>
      <c r="N2499">
        <f>IF($A2499="","",$K2499+(5002-ROW())/10000)</f>
        <v/>
      </c>
    </row>
    <row r="2500">
      <c r="K2500">
        <f>IF($A2500="","",SUM($E2500:$J2500))</f>
        <v/>
      </c>
      <c r="M2500">
        <f>IF($A2500="","",MAX(0,ROUNDUP(DASHBOARD!$F$3-$D2500,0)))</f>
        <v/>
      </c>
      <c r="N2500">
        <f>IF($A2500="","",$K2500+(5002-ROW())/10000)</f>
        <v/>
      </c>
    </row>
    <row r="2501">
      <c r="K2501">
        <f>IF($A2501="","",SUM($E2501:$J2501))</f>
        <v/>
      </c>
      <c r="M2501">
        <f>IF($A2501="","",MAX(0,ROUNDUP(DASHBOARD!$F$3-$D2501,0)))</f>
        <v/>
      </c>
      <c r="N2501">
        <f>IF($A2501="","",$K2501+(5002-ROW())/10000)</f>
        <v/>
      </c>
    </row>
    <row r="2502">
      <c r="K2502">
        <f>IF($A2502="","",SUM($E2502:$J2502))</f>
        <v/>
      </c>
      <c r="M2502">
        <f>IF($A2502="","",MAX(0,ROUNDUP(DASHBOARD!$F$3-$D2502,0)))</f>
        <v/>
      </c>
      <c r="N2502">
        <f>IF($A2502="","",$K2502+(5002-ROW())/10000)</f>
        <v/>
      </c>
    </row>
    <row r="2503">
      <c r="K2503">
        <f>IF($A2503="","",SUM($E2503:$J2503))</f>
        <v/>
      </c>
      <c r="M2503">
        <f>IF($A2503="","",MAX(0,ROUNDUP(DASHBOARD!$F$3-$D2503,0)))</f>
        <v/>
      </c>
      <c r="N2503">
        <f>IF($A2503="","",$K2503+(5002-ROW())/10000)</f>
        <v/>
      </c>
    </row>
    <row r="2504">
      <c r="K2504">
        <f>IF($A2504="","",SUM($E2504:$J2504))</f>
        <v/>
      </c>
      <c r="M2504">
        <f>IF($A2504="","",MAX(0,ROUNDUP(DASHBOARD!$F$3-$D2504,0)))</f>
        <v/>
      </c>
      <c r="N2504">
        <f>IF($A2504="","",$K2504+(5002-ROW())/10000)</f>
        <v/>
      </c>
    </row>
    <row r="2505">
      <c r="K2505">
        <f>IF($A2505="","",SUM($E2505:$J2505))</f>
        <v/>
      </c>
      <c r="M2505">
        <f>IF($A2505="","",MAX(0,ROUNDUP(DASHBOARD!$F$3-$D2505,0)))</f>
        <v/>
      </c>
      <c r="N2505">
        <f>IF($A2505="","",$K2505+(5002-ROW())/10000)</f>
        <v/>
      </c>
    </row>
    <row r="2506">
      <c r="K2506">
        <f>IF($A2506="","",SUM($E2506:$J2506))</f>
        <v/>
      </c>
      <c r="M2506">
        <f>IF($A2506="","",MAX(0,ROUNDUP(DASHBOARD!$F$3-$D2506,0)))</f>
        <v/>
      </c>
      <c r="N2506">
        <f>IF($A2506="","",$K2506+(5002-ROW())/10000)</f>
        <v/>
      </c>
    </row>
    <row r="2507">
      <c r="K2507">
        <f>IF($A2507="","",SUM($E2507:$J2507))</f>
        <v/>
      </c>
      <c r="M2507">
        <f>IF($A2507="","",MAX(0,ROUNDUP(DASHBOARD!$F$3-$D2507,0)))</f>
        <v/>
      </c>
      <c r="N2507">
        <f>IF($A2507="","",$K2507+(5002-ROW())/10000)</f>
        <v/>
      </c>
    </row>
    <row r="2508">
      <c r="K2508">
        <f>IF($A2508="","",SUM($E2508:$J2508))</f>
        <v/>
      </c>
      <c r="M2508">
        <f>IF($A2508="","",MAX(0,ROUNDUP(DASHBOARD!$F$3-$D2508,0)))</f>
        <v/>
      </c>
      <c r="N2508">
        <f>IF($A2508="","",$K2508+(5002-ROW())/10000)</f>
        <v/>
      </c>
    </row>
    <row r="2509">
      <c r="K2509">
        <f>IF($A2509="","",SUM($E2509:$J2509))</f>
        <v/>
      </c>
      <c r="M2509">
        <f>IF($A2509="","",MAX(0,ROUNDUP(DASHBOARD!$F$3-$D2509,0)))</f>
        <v/>
      </c>
      <c r="N2509">
        <f>IF($A2509="","",$K2509+(5002-ROW())/10000)</f>
        <v/>
      </c>
    </row>
    <row r="2510">
      <c r="K2510">
        <f>IF($A2510="","",SUM($E2510:$J2510))</f>
        <v/>
      </c>
      <c r="M2510">
        <f>IF($A2510="","",MAX(0,ROUNDUP(DASHBOARD!$F$3-$D2510,0)))</f>
        <v/>
      </c>
      <c r="N2510">
        <f>IF($A2510="","",$K2510+(5002-ROW())/10000)</f>
        <v/>
      </c>
    </row>
    <row r="2511">
      <c r="K2511">
        <f>IF($A2511="","",SUM($E2511:$J2511))</f>
        <v/>
      </c>
      <c r="M2511">
        <f>IF($A2511="","",MAX(0,ROUNDUP(DASHBOARD!$F$3-$D2511,0)))</f>
        <v/>
      </c>
      <c r="N2511">
        <f>IF($A2511="","",$K2511+(5002-ROW())/10000)</f>
        <v/>
      </c>
    </row>
    <row r="2512">
      <c r="K2512">
        <f>IF($A2512="","",SUM($E2512:$J2512))</f>
        <v/>
      </c>
      <c r="M2512">
        <f>IF($A2512="","",MAX(0,ROUNDUP(DASHBOARD!$F$3-$D2512,0)))</f>
        <v/>
      </c>
      <c r="N2512">
        <f>IF($A2512="","",$K2512+(5002-ROW())/10000)</f>
        <v/>
      </c>
    </row>
    <row r="2513">
      <c r="K2513">
        <f>IF($A2513="","",SUM($E2513:$J2513))</f>
        <v/>
      </c>
      <c r="M2513">
        <f>IF($A2513="","",MAX(0,ROUNDUP(DASHBOARD!$F$3-$D2513,0)))</f>
        <v/>
      </c>
      <c r="N2513">
        <f>IF($A2513="","",$K2513+(5002-ROW())/10000)</f>
        <v/>
      </c>
    </row>
    <row r="2514">
      <c r="K2514">
        <f>IF($A2514="","",SUM($E2514:$J2514))</f>
        <v/>
      </c>
      <c r="M2514">
        <f>IF($A2514="","",MAX(0,ROUNDUP(DASHBOARD!$F$3-$D2514,0)))</f>
        <v/>
      </c>
      <c r="N2514">
        <f>IF($A2514="","",$K2514+(5002-ROW())/10000)</f>
        <v/>
      </c>
    </row>
    <row r="2515">
      <c r="K2515">
        <f>IF($A2515="","",SUM($E2515:$J2515))</f>
        <v/>
      </c>
      <c r="M2515">
        <f>IF($A2515="","",MAX(0,ROUNDUP(DASHBOARD!$F$3-$D2515,0)))</f>
        <v/>
      </c>
      <c r="N2515">
        <f>IF($A2515="","",$K2515+(5002-ROW())/10000)</f>
        <v/>
      </c>
    </row>
    <row r="2516">
      <c r="K2516">
        <f>IF($A2516="","",SUM($E2516:$J2516))</f>
        <v/>
      </c>
      <c r="M2516">
        <f>IF($A2516="","",MAX(0,ROUNDUP(DASHBOARD!$F$3-$D2516,0)))</f>
        <v/>
      </c>
      <c r="N2516">
        <f>IF($A2516="","",$K2516+(5002-ROW())/10000)</f>
        <v/>
      </c>
    </row>
    <row r="2517">
      <c r="K2517">
        <f>IF($A2517="","",SUM($E2517:$J2517))</f>
        <v/>
      </c>
      <c r="M2517">
        <f>IF($A2517="","",MAX(0,ROUNDUP(DASHBOARD!$F$3-$D2517,0)))</f>
        <v/>
      </c>
      <c r="N2517">
        <f>IF($A2517="","",$K2517+(5002-ROW())/10000)</f>
        <v/>
      </c>
    </row>
    <row r="2518">
      <c r="K2518">
        <f>IF($A2518="","",SUM($E2518:$J2518))</f>
        <v/>
      </c>
      <c r="M2518">
        <f>IF($A2518="","",MAX(0,ROUNDUP(DASHBOARD!$F$3-$D2518,0)))</f>
        <v/>
      </c>
      <c r="N2518">
        <f>IF($A2518="","",$K2518+(5002-ROW())/10000)</f>
        <v/>
      </c>
    </row>
    <row r="2519">
      <c r="K2519">
        <f>IF($A2519="","",SUM($E2519:$J2519))</f>
        <v/>
      </c>
      <c r="M2519">
        <f>IF($A2519="","",MAX(0,ROUNDUP(DASHBOARD!$F$3-$D2519,0)))</f>
        <v/>
      </c>
      <c r="N2519">
        <f>IF($A2519="","",$K2519+(5002-ROW())/10000)</f>
        <v/>
      </c>
    </row>
    <row r="2520">
      <c r="K2520">
        <f>IF($A2520="","",SUM($E2520:$J2520))</f>
        <v/>
      </c>
      <c r="M2520">
        <f>IF($A2520="","",MAX(0,ROUNDUP(DASHBOARD!$F$3-$D2520,0)))</f>
        <v/>
      </c>
      <c r="N2520">
        <f>IF($A2520="","",$K2520+(5002-ROW())/10000)</f>
        <v/>
      </c>
    </row>
    <row r="2521">
      <c r="K2521">
        <f>IF($A2521="","",SUM($E2521:$J2521))</f>
        <v/>
      </c>
      <c r="M2521">
        <f>IF($A2521="","",MAX(0,ROUNDUP(DASHBOARD!$F$3-$D2521,0)))</f>
        <v/>
      </c>
      <c r="N2521">
        <f>IF($A2521="","",$K2521+(5002-ROW())/10000)</f>
        <v/>
      </c>
    </row>
    <row r="2522">
      <c r="K2522">
        <f>IF($A2522="","",SUM($E2522:$J2522))</f>
        <v/>
      </c>
      <c r="M2522">
        <f>IF($A2522="","",MAX(0,ROUNDUP(DASHBOARD!$F$3-$D2522,0)))</f>
        <v/>
      </c>
      <c r="N2522">
        <f>IF($A2522="","",$K2522+(5002-ROW())/10000)</f>
        <v/>
      </c>
    </row>
    <row r="2523">
      <c r="K2523">
        <f>IF($A2523="","",SUM($E2523:$J2523))</f>
        <v/>
      </c>
      <c r="M2523">
        <f>IF($A2523="","",MAX(0,ROUNDUP(DASHBOARD!$F$3-$D2523,0)))</f>
        <v/>
      </c>
      <c r="N2523">
        <f>IF($A2523="","",$K2523+(5002-ROW())/10000)</f>
        <v/>
      </c>
    </row>
    <row r="2524">
      <c r="K2524">
        <f>IF($A2524="","",SUM($E2524:$J2524))</f>
        <v/>
      </c>
      <c r="M2524">
        <f>IF($A2524="","",MAX(0,ROUNDUP(DASHBOARD!$F$3-$D2524,0)))</f>
        <v/>
      </c>
      <c r="N2524">
        <f>IF($A2524="","",$K2524+(5002-ROW())/10000)</f>
        <v/>
      </c>
    </row>
    <row r="2525">
      <c r="K2525">
        <f>IF($A2525="","",SUM($E2525:$J2525))</f>
        <v/>
      </c>
      <c r="M2525">
        <f>IF($A2525="","",MAX(0,ROUNDUP(DASHBOARD!$F$3-$D2525,0)))</f>
        <v/>
      </c>
      <c r="N2525">
        <f>IF($A2525="","",$K2525+(5002-ROW())/10000)</f>
        <v/>
      </c>
    </row>
    <row r="2526">
      <c r="K2526">
        <f>IF($A2526="","",SUM($E2526:$J2526))</f>
        <v/>
      </c>
      <c r="M2526">
        <f>IF($A2526="","",MAX(0,ROUNDUP(DASHBOARD!$F$3-$D2526,0)))</f>
        <v/>
      </c>
      <c r="N2526">
        <f>IF($A2526="","",$K2526+(5002-ROW())/10000)</f>
        <v/>
      </c>
    </row>
    <row r="2527">
      <c r="K2527">
        <f>IF($A2527="","",SUM($E2527:$J2527))</f>
        <v/>
      </c>
      <c r="M2527">
        <f>IF($A2527="","",MAX(0,ROUNDUP(DASHBOARD!$F$3-$D2527,0)))</f>
        <v/>
      </c>
      <c r="N2527">
        <f>IF($A2527="","",$K2527+(5002-ROW())/10000)</f>
        <v/>
      </c>
    </row>
    <row r="2528">
      <c r="K2528">
        <f>IF($A2528="","",SUM($E2528:$J2528))</f>
        <v/>
      </c>
      <c r="M2528">
        <f>IF($A2528="","",MAX(0,ROUNDUP(DASHBOARD!$F$3-$D2528,0)))</f>
        <v/>
      </c>
      <c r="N2528">
        <f>IF($A2528="","",$K2528+(5002-ROW())/10000)</f>
        <v/>
      </c>
    </row>
    <row r="2529">
      <c r="K2529">
        <f>IF($A2529="","",SUM($E2529:$J2529))</f>
        <v/>
      </c>
      <c r="M2529">
        <f>IF($A2529="","",MAX(0,ROUNDUP(DASHBOARD!$F$3-$D2529,0)))</f>
        <v/>
      </c>
      <c r="N2529">
        <f>IF($A2529="","",$K2529+(5002-ROW())/10000)</f>
        <v/>
      </c>
    </row>
    <row r="2530">
      <c r="K2530">
        <f>IF($A2530="","",SUM($E2530:$J2530))</f>
        <v/>
      </c>
      <c r="M2530">
        <f>IF($A2530="","",MAX(0,ROUNDUP(DASHBOARD!$F$3-$D2530,0)))</f>
        <v/>
      </c>
      <c r="N2530">
        <f>IF($A2530="","",$K2530+(5002-ROW())/10000)</f>
        <v/>
      </c>
    </row>
    <row r="2531">
      <c r="K2531">
        <f>IF($A2531="","",SUM($E2531:$J2531))</f>
        <v/>
      </c>
      <c r="M2531">
        <f>IF($A2531="","",MAX(0,ROUNDUP(DASHBOARD!$F$3-$D2531,0)))</f>
        <v/>
      </c>
      <c r="N2531">
        <f>IF($A2531="","",$K2531+(5002-ROW())/10000)</f>
        <v/>
      </c>
    </row>
    <row r="2532">
      <c r="K2532">
        <f>IF($A2532="","",SUM($E2532:$J2532))</f>
        <v/>
      </c>
      <c r="M2532">
        <f>IF($A2532="","",MAX(0,ROUNDUP(DASHBOARD!$F$3-$D2532,0)))</f>
        <v/>
      </c>
      <c r="N2532">
        <f>IF($A2532="","",$K2532+(5002-ROW())/10000)</f>
        <v/>
      </c>
    </row>
    <row r="2533">
      <c r="K2533">
        <f>IF($A2533="","",SUM($E2533:$J2533))</f>
        <v/>
      </c>
      <c r="M2533">
        <f>IF($A2533="","",MAX(0,ROUNDUP(DASHBOARD!$F$3-$D2533,0)))</f>
        <v/>
      </c>
      <c r="N2533">
        <f>IF($A2533="","",$K2533+(5002-ROW())/10000)</f>
        <v/>
      </c>
    </row>
    <row r="2534">
      <c r="K2534">
        <f>IF($A2534="","",SUM($E2534:$J2534))</f>
        <v/>
      </c>
      <c r="M2534">
        <f>IF($A2534="","",MAX(0,ROUNDUP(DASHBOARD!$F$3-$D2534,0)))</f>
        <v/>
      </c>
      <c r="N2534">
        <f>IF($A2534="","",$K2534+(5002-ROW())/10000)</f>
        <v/>
      </c>
    </row>
    <row r="2535">
      <c r="K2535">
        <f>IF($A2535="","",SUM($E2535:$J2535))</f>
        <v/>
      </c>
      <c r="M2535">
        <f>IF($A2535="","",MAX(0,ROUNDUP(DASHBOARD!$F$3-$D2535,0)))</f>
        <v/>
      </c>
      <c r="N2535">
        <f>IF($A2535="","",$K2535+(5002-ROW())/10000)</f>
        <v/>
      </c>
    </row>
    <row r="2536">
      <c r="K2536">
        <f>IF($A2536="","",SUM($E2536:$J2536))</f>
        <v/>
      </c>
      <c r="M2536">
        <f>IF($A2536="","",MAX(0,ROUNDUP(DASHBOARD!$F$3-$D2536,0)))</f>
        <v/>
      </c>
      <c r="N2536">
        <f>IF($A2536="","",$K2536+(5002-ROW())/10000)</f>
        <v/>
      </c>
    </row>
    <row r="2537">
      <c r="K2537">
        <f>IF($A2537="","",SUM($E2537:$J2537))</f>
        <v/>
      </c>
      <c r="M2537">
        <f>IF($A2537="","",MAX(0,ROUNDUP(DASHBOARD!$F$3-$D2537,0)))</f>
        <v/>
      </c>
      <c r="N2537">
        <f>IF($A2537="","",$K2537+(5002-ROW())/10000)</f>
        <v/>
      </c>
    </row>
    <row r="2538">
      <c r="K2538">
        <f>IF($A2538="","",SUM($E2538:$J2538))</f>
        <v/>
      </c>
      <c r="M2538">
        <f>IF($A2538="","",MAX(0,ROUNDUP(DASHBOARD!$F$3-$D2538,0)))</f>
        <v/>
      </c>
      <c r="N2538">
        <f>IF($A2538="","",$K2538+(5002-ROW())/10000)</f>
        <v/>
      </c>
    </row>
    <row r="2539">
      <c r="K2539">
        <f>IF($A2539="","",SUM($E2539:$J2539))</f>
        <v/>
      </c>
      <c r="M2539">
        <f>IF($A2539="","",MAX(0,ROUNDUP(DASHBOARD!$F$3-$D2539,0)))</f>
        <v/>
      </c>
      <c r="N2539">
        <f>IF($A2539="","",$K2539+(5002-ROW())/10000)</f>
        <v/>
      </c>
    </row>
    <row r="2540">
      <c r="K2540">
        <f>IF($A2540="","",SUM($E2540:$J2540))</f>
        <v/>
      </c>
      <c r="M2540">
        <f>IF($A2540="","",MAX(0,ROUNDUP(DASHBOARD!$F$3-$D2540,0)))</f>
        <v/>
      </c>
      <c r="N2540">
        <f>IF($A2540="","",$K2540+(5002-ROW())/10000)</f>
        <v/>
      </c>
    </row>
    <row r="2541">
      <c r="K2541">
        <f>IF($A2541="","",SUM($E2541:$J2541))</f>
        <v/>
      </c>
      <c r="M2541">
        <f>IF($A2541="","",MAX(0,ROUNDUP(DASHBOARD!$F$3-$D2541,0)))</f>
        <v/>
      </c>
      <c r="N2541">
        <f>IF($A2541="","",$K2541+(5002-ROW())/10000)</f>
        <v/>
      </c>
    </row>
    <row r="2542">
      <c r="K2542">
        <f>IF($A2542="","",SUM($E2542:$J2542))</f>
        <v/>
      </c>
      <c r="M2542">
        <f>IF($A2542="","",MAX(0,ROUNDUP(DASHBOARD!$F$3-$D2542,0)))</f>
        <v/>
      </c>
      <c r="N2542">
        <f>IF($A2542="","",$K2542+(5002-ROW())/10000)</f>
        <v/>
      </c>
    </row>
    <row r="2543">
      <c r="K2543">
        <f>IF($A2543="","",SUM($E2543:$J2543))</f>
        <v/>
      </c>
      <c r="M2543">
        <f>IF($A2543="","",MAX(0,ROUNDUP(DASHBOARD!$F$3-$D2543,0)))</f>
        <v/>
      </c>
      <c r="N2543">
        <f>IF($A2543="","",$K2543+(5002-ROW())/10000)</f>
        <v/>
      </c>
    </row>
    <row r="2544">
      <c r="K2544">
        <f>IF($A2544="","",SUM($E2544:$J2544))</f>
        <v/>
      </c>
      <c r="M2544">
        <f>IF($A2544="","",MAX(0,ROUNDUP(DASHBOARD!$F$3-$D2544,0)))</f>
        <v/>
      </c>
      <c r="N2544">
        <f>IF($A2544="","",$K2544+(5002-ROW())/10000)</f>
        <v/>
      </c>
    </row>
    <row r="2545">
      <c r="K2545">
        <f>IF($A2545="","",SUM($E2545:$J2545))</f>
        <v/>
      </c>
      <c r="M2545">
        <f>IF($A2545="","",MAX(0,ROUNDUP(DASHBOARD!$F$3-$D2545,0)))</f>
        <v/>
      </c>
      <c r="N2545">
        <f>IF($A2545="","",$K2545+(5002-ROW())/10000)</f>
        <v/>
      </c>
    </row>
    <row r="2546">
      <c r="K2546">
        <f>IF($A2546="","",SUM($E2546:$J2546))</f>
        <v/>
      </c>
      <c r="M2546">
        <f>IF($A2546="","",MAX(0,ROUNDUP(DASHBOARD!$F$3-$D2546,0)))</f>
        <v/>
      </c>
      <c r="N2546">
        <f>IF($A2546="","",$K2546+(5002-ROW())/10000)</f>
        <v/>
      </c>
    </row>
    <row r="2547">
      <c r="K2547">
        <f>IF($A2547="","",SUM($E2547:$J2547))</f>
        <v/>
      </c>
      <c r="M2547">
        <f>IF($A2547="","",MAX(0,ROUNDUP(DASHBOARD!$F$3-$D2547,0)))</f>
        <v/>
      </c>
      <c r="N2547">
        <f>IF($A2547="","",$K2547+(5002-ROW())/10000)</f>
        <v/>
      </c>
    </row>
    <row r="2548">
      <c r="K2548">
        <f>IF($A2548="","",SUM($E2548:$J2548))</f>
        <v/>
      </c>
      <c r="M2548">
        <f>IF($A2548="","",MAX(0,ROUNDUP(DASHBOARD!$F$3-$D2548,0)))</f>
        <v/>
      </c>
      <c r="N2548">
        <f>IF($A2548="","",$K2548+(5002-ROW())/10000)</f>
        <v/>
      </c>
    </row>
    <row r="2549">
      <c r="K2549">
        <f>IF($A2549="","",SUM($E2549:$J2549))</f>
        <v/>
      </c>
      <c r="M2549">
        <f>IF($A2549="","",MAX(0,ROUNDUP(DASHBOARD!$F$3-$D2549,0)))</f>
        <v/>
      </c>
      <c r="N2549">
        <f>IF($A2549="","",$K2549+(5002-ROW())/10000)</f>
        <v/>
      </c>
    </row>
    <row r="2550">
      <c r="K2550">
        <f>IF($A2550="","",SUM($E2550:$J2550))</f>
        <v/>
      </c>
      <c r="M2550">
        <f>IF($A2550="","",MAX(0,ROUNDUP(DASHBOARD!$F$3-$D2550,0)))</f>
        <v/>
      </c>
      <c r="N2550">
        <f>IF($A2550="","",$K2550+(5002-ROW())/10000)</f>
        <v/>
      </c>
    </row>
    <row r="2551">
      <c r="K2551">
        <f>IF($A2551="","",SUM($E2551:$J2551))</f>
        <v/>
      </c>
      <c r="M2551">
        <f>IF($A2551="","",MAX(0,ROUNDUP(DASHBOARD!$F$3-$D2551,0)))</f>
        <v/>
      </c>
      <c r="N2551">
        <f>IF($A2551="","",$K2551+(5002-ROW())/10000)</f>
        <v/>
      </c>
    </row>
    <row r="2552">
      <c r="K2552">
        <f>IF($A2552="","",SUM($E2552:$J2552))</f>
        <v/>
      </c>
      <c r="M2552">
        <f>IF($A2552="","",MAX(0,ROUNDUP(DASHBOARD!$F$3-$D2552,0)))</f>
        <v/>
      </c>
      <c r="N2552">
        <f>IF($A2552="","",$K2552+(5002-ROW())/10000)</f>
        <v/>
      </c>
    </row>
    <row r="2553">
      <c r="K2553">
        <f>IF($A2553="","",SUM($E2553:$J2553))</f>
        <v/>
      </c>
      <c r="M2553">
        <f>IF($A2553="","",MAX(0,ROUNDUP(DASHBOARD!$F$3-$D2553,0)))</f>
        <v/>
      </c>
      <c r="N2553">
        <f>IF($A2553="","",$K2553+(5002-ROW())/10000)</f>
        <v/>
      </c>
    </row>
    <row r="2554">
      <c r="K2554">
        <f>IF($A2554="","",SUM($E2554:$J2554))</f>
        <v/>
      </c>
      <c r="M2554">
        <f>IF($A2554="","",MAX(0,ROUNDUP(DASHBOARD!$F$3-$D2554,0)))</f>
        <v/>
      </c>
      <c r="N2554">
        <f>IF($A2554="","",$K2554+(5002-ROW())/10000)</f>
        <v/>
      </c>
    </row>
    <row r="2555">
      <c r="K2555">
        <f>IF($A2555="","",SUM($E2555:$J2555))</f>
        <v/>
      </c>
      <c r="M2555">
        <f>IF($A2555="","",MAX(0,ROUNDUP(DASHBOARD!$F$3-$D2555,0)))</f>
        <v/>
      </c>
      <c r="N2555">
        <f>IF($A2555="","",$K2555+(5002-ROW())/10000)</f>
        <v/>
      </c>
    </row>
    <row r="2556">
      <c r="K2556">
        <f>IF($A2556="","",SUM($E2556:$J2556))</f>
        <v/>
      </c>
      <c r="M2556">
        <f>IF($A2556="","",MAX(0,ROUNDUP(DASHBOARD!$F$3-$D2556,0)))</f>
        <v/>
      </c>
      <c r="N2556">
        <f>IF($A2556="","",$K2556+(5002-ROW())/10000)</f>
        <v/>
      </c>
    </row>
    <row r="2557">
      <c r="K2557">
        <f>IF($A2557="","",SUM($E2557:$J2557))</f>
        <v/>
      </c>
      <c r="M2557">
        <f>IF($A2557="","",MAX(0,ROUNDUP(DASHBOARD!$F$3-$D2557,0)))</f>
        <v/>
      </c>
      <c r="N2557">
        <f>IF($A2557="","",$K2557+(5002-ROW())/10000)</f>
        <v/>
      </c>
    </row>
    <row r="2558">
      <c r="K2558">
        <f>IF($A2558="","",SUM($E2558:$J2558))</f>
        <v/>
      </c>
      <c r="M2558">
        <f>IF($A2558="","",MAX(0,ROUNDUP(DASHBOARD!$F$3-$D2558,0)))</f>
        <v/>
      </c>
      <c r="N2558">
        <f>IF($A2558="","",$K2558+(5002-ROW())/10000)</f>
        <v/>
      </c>
    </row>
    <row r="2559">
      <c r="K2559">
        <f>IF($A2559="","",SUM($E2559:$J2559))</f>
        <v/>
      </c>
      <c r="M2559">
        <f>IF($A2559="","",MAX(0,ROUNDUP(DASHBOARD!$F$3-$D2559,0)))</f>
        <v/>
      </c>
      <c r="N2559">
        <f>IF($A2559="","",$K2559+(5002-ROW())/10000)</f>
        <v/>
      </c>
    </row>
    <row r="2560">
      <c r="K2560">
        <f>IF($A2560="","",SUM($E2560:$J2560))</f>
        <v/>
      </c>
      <c r="M2560">
        <f>IF($A2560="","",MAX(0,ROUNDUP(DASHBOARD!$F$3-$D2560,0)))</f>
        <v/>
      </c>
      <c r="N2560">
        <f>IF($A2560="","",$K2560+(5002-ROW())/10000)</f>
        <v/>
      </c>
    </row>
    <row r="2561">
      <c r="K2561">
        <f>IF($A2561="","",SUM($E2561:$J2561))</f>
        <v/>
      </c>
      <c r="M2561">
        <f>IF($A2561="","",MAX(0,ROUNDUP(DASHBOARD!$F$3-$D2561,0)))</f>
        <v/>
      </c>
      <c r="N2561">
        <f>IF($A2561="","",$K2561+(5002-ROW())/10000)</f>
        <v/>
      </c>
    </row>
    <row r="2562">
      <c r="K2562">
        <f>IF($A2562="","",SUM($E2562:$J2562))</f>
        <v/>
      </c>
      <c r="M2562">
        <f>IF($A2562="","",MAX(0,ROUNDUP(DASHBOARD!$F$3-$D2562,0)))</f>
        <v/>
      </c>
      <c r="N2562">
        <f>IF($A2562="","",$K2562+(5002-ROW())/10000)</f>
        <v/>
      </c>
    </row>
    <row r="2563">
      <c r="K2563">
        <f>IF($A2563="","",SUM($E2563:$J2563))</f>
        <v/>
      </c>
      <c r="M2563">
        <f>IF($A2563="","",MAX(0,ROUNDUP(DASHBOARD!$F$3-$D2563,0)))</f>
        <v/>
      </c>
      <c r="N2563">
        <f>IF($A2563="","",$K2563+(5002-ROW())/10000)</f>
        <v/>
      </c>
    </row>
    <row r="2564">
      <c r="K2564">
        <f>IF($A2564="","",SUM($E2564:$J2564))</f>
        <v/>
      </c>
      <c r="M2564">
        <f>IF($A2564="","",MAX(0,ROUNDUP(DASHBOARD!$F$3-$D2564,0)))</f>
        <v/>
      </c>
      <c r="N2564">
        <f>IF($A2564="","",$K2564+(5002-ROW())/10000)</f>
        <v/>
      </c>
    </row>
    <row r="2565">
      <c r="K2565">
        <f>IF($A2565="","",SUM($E2565:$J2565))</f>
        <v/>
      </c>
      <c r="M2565">
        <f>IF($A2565="","",MAX(0,ROUNDUP(DASHBOARD!$F$3-$D2565,0)))</f>
        <v/>
      </c>
      <c r="N2565">
        <f>IF($A2565="","",$K2565+(5002-ROW())/10000)</f>
        <v/>
      </c>
    </row>
    <row r="2566">
      <c r="K2566">
        <f>IF($A2566="","",SUM($E2566:$J2566))</f>
        <v/>
      </c>
      <c r="M2566">
        <f>IF($A2566="","",MAX(0,ROUNDUP(DASHBOARD!$F$3-$D2566,0)))</f>
        <v/>
      </c>
      <c r="N2566">
        <f>IF($A2566="","",$K2566+(5002-ROW())/10000)</f>
        <v/>
      </c>
    </row>
    <row r="2567">
      <c r="K2567">
        <f>IF($A2567="","",SUM($E2567:$J2567))</f>
        <v/>
      </c>
      <c r="M2567">
        <f>IF($A2567="","",MAX(0,ROUNDUP(DASHBOARD!$F$3-$D2567,0)))</f>
        <v/>
      </c>
      <c r="N2567">
        <f>IF($A2567="","",$K2567+(5002-ROW())/10000)</f>
        <v/>
      </c>
    </row>
    <row r="2568">
      <c r="K2568">
        <f>IF($A2568="","",SUM($E2568:$J2568))</f>
        <v/>
      </c>
      <c r="M2568">
        <f>IF($A2568="","",MAX(0,ROUNDUP(DASHBOARD!$F$3-$D2568,0)))</f>
        <v/>
      </c>
      <c r="N2568">
        <f>IF($A2568="","",$K2568+(5002-ROW())/10000)</f>
        <v/>
      </c>
    </row>
    <row r="2569">
      <c r="K2569">
        <f>IF($A2569="","",SUM($E2569:$J2569))</f>
        <v/>
      </c>
      <c r="M2569">
        <f>IF($A2569="","",MAX(0,ROUNDUP(DASHBOARD!$F$3-$D2569,0)))</f>
        <v/>
      </c>
      <c r="N2569">
        <f>IF($A2569="","",$K2569+(5002-ROW())/10000)</f>
        <v/>
      </c>
    </row>
    <row r="2570">
      <c r="K2570">
        <f>IF($A2570="","",SUM($E2570:$J2570))</f>
        <v/>
      </c>
      <c r="M2570">
        <f>IF($A2570="","",MAX(0,ROUNDUP(DASHBOARD!$F$3-$D2570,0)))</f>
        <v/>
      </c>
      <c r="N2570">
        <f>IF($A2570="","",$K2570+(5002-ROW())/10000)</f>
        <v/>
      </c>
    </row>
    <row r="2571">
      <c r="K2571">
        <f>IF($A2571="","",SUM($E2571:$J2571))</f>
        <v/>
      </c>
      <c r="M2571">
        <f>IF($A2571="","",MAX(0,ROUNDUP(DASHBOARD!$F$3-$D2571,0)))</f>
        <v/>
      </c>
      <c r="N2571">
        <f>IF($A2571="","",$K2571+(5002-ROW())/10000)</f>
        <v/>
      </c>
    </row>
    <row r="2572">
      <c r="K2572">
        <f>IF($A2572="","",SUM($E2572:$J2572))</f>
        <v/>
      </c>
      <c r="M2572">
        <f>IF($A2572="","",MAX(0,ROUNDUP(DASHBOARD!$F$3-$D2572,0)))</f>
        <v/>
      </c>
      <c r="N2572">
        <f>IF($A2572="","",$K2572+(5002-ROW())/10000)</f>
        <v/>
      </c>
    </row>
    <row r="2573">
      <c r="K2573">
        <f>IF($A2573="","",SUM($E2573:$J2573))</f>
        <v/>
      </c>
      <c r="M2573">
        <f>IF($A2573="","",MAX(0,ROUNDUP(DASHBOARD!$F$3-$D2573,0)))</f>
        <v/>
      </c>
      <c r="N2573">
        <f>IF($A2573="","",$K2573+(5002-ROW())/10000)</f>
        <v/>
      </c>
    </row>
    <row r="2574">
      <c r="K2574">
        <f>IF($A2574="","",SUM($E2574:$J2574))</f>
        <v/>
      </c>
      <c r="M2574">
        <f>IF($A2574="","",MAX(0,ROUNDUP(DASHBOARD!$F$3-$D2574,0)))</f>
        <v/>
      </c>
      <c r="N2574">
        <f>IF($A2574="","",$K2574+(5002-ROW())/10000)</f>
        <v/>
      </c>
    </row>
    <row r="2575">
      <c r="K2575">
        <f>IF($A2575="","",SUM($E2575:$J2575))</f>
        <v/>
      </c>
      <c r="M2575">
        <f>IF($A2575="","",MAX(0,ROUNDUP(DASHBOARD!$F$3-$D2575,0)))</f>
        <v/>
      </c>
      <c r="N2575">
        <f>IF($A2575="","",$K2575+(5002-ROW())/10000)</f>
        <v/>
      </c>
    </row>
    <row r="2576">
      <c r="K2576">
        <f>IF($A2576="","",SUM($E2576:$J2576))</f>
        <v/>
      </c>
      <c r="M2576">
        <f>IF($A2576="","",MAX(0,ROUNDUP(DASHBOARD!$F$3-$D2576,0)))</f>
        <v/>
      </c>
      <c r="N2576">
        <f>IF($A2576="","",$K2576+(5002-ROW())/10000)</f>
        <v/>
      </c>
    </row>
    <row r="2577">
      <c r="K2577">
        <f>IF($A2577="","",SUM($E2577:$J2577))</f>
        <v/>
      </c>
      <c r="M2577">
        <f>IF($A2577="","",MAX(0,ROUNDUP(DASHBOARD!$F$3-$D2577,0)))</f>
        <v/>
      </c>
      <c r="N2577">
        <f>IF($A2577="","",$K2577+(5002-ROW())/10000)</f>
        <v/>
      </c>
    </row>
    <row r="2578">
      <c r="K2578">
        <f>IF($A2578="","",SUM($E2578:$J2578))</f>
        <v/>
      </c>
      <c r="M2578">
        <f>IF($A2578="","",MAX(0,ROUNDUP(DASHBOARD!$F$3-$D2578,0)))</f>
        <v/>
      </c>
      <c r="N2578">
        <f>IF($A2578="","",$K2578+(5002-ROW())/10000)</f>
        <v/>
      </c>
    </row>
    <row r="2579">
      <c r="K2579">
        <f>IF($A2579="","",SUM($E2579:$J2579))</f>
        <v/>
      </c>
      <c r="M2579">
        <f>IF($A2579="","",MAX(0,ROUNDUP(DASHBOARD!$F$3-$D2579,0)))</f>
        <v/>
      </c>
      <c r="N2579">
        <f>IF($A2579="","",$K2579+(5002-ROW())/10000)</f>
        <v/>
      </c>
    </row>
    <row r="2580">
      <c r="K2580">
        <f>IF($A2580="","",SUM($E2580:$J2580))</f>
        <v/>
      </c>
      <c r="M2580">
        <f>IF($A2580="","",MAX(0,ROUNDUP(DASHBOARD!$F$3-$D2580,0)))</f>
        <v/>
      </c>
      <c r="N2580">
        <f>IF($A2580="","",$K2580+(5002-ROW())/10000)</f>
        <v/>
      </c>
    </row>
    <row r="2581">
      <c r="K2581">
        <f>IF($A2581="","",SUM($E2581:$J2581))</f>
        <v/>
      </c>
      <c r="M2581">
        <f>IF($A2581="","",MAX(0,ROUNDUP(DASHBOARD!$F$3-$D2581,0)))</f>
        <v/>
      </c>
      <c r="N2581">
        <f>IF($A2581="","",$K2581+(5002-ROW())/10000)</f>
        <v/>
      </c>
    </row>
    <row r="2582">
      <c r="K2582">
        <f>IF($A2582="","",SUM($E2582:$J2582))</f>
        <v/>
      </c>
      <c r="M2582">
        <f>IF($A2582="","",MAX(0,ROUNDUP(DASHBOARD!$F$3-$D2582,0)))</f>
        <v/>
      </c>
      <c r="N2582">
        <f>IF($A2582="","",$K2582+(5002-ROW())/10000)</f>
        <v/>
      </c>
    </row>
    <row r="2583">
      <c r="K2583">
        <f>IF($A2583="","",SUM($E2583:$J2583))</f>
        <v/>
      </c>
      <c r="M2583">
        <f>IF($A2583="","",MAX(0,ROUNDUP(DASHBOARD!$F$3-$D2583,0)))</f>
        <v/>
      </c>
      <c r="N2583">
        <f>IF($A2583="","",$K2583+(5002-ROW())/10000)</f>
        <v/>
      </c>
    </row>
    <row r="2584">
      <c r="K2584">
        <f>IF($A2584="","",SUM($E2584:$J2584))</f>
        <v/>
      </c>
      <c r="M2584">
        <f>IF($A2584="","",MAX(0,ROUNDUP(DASHBOARD!$F$3-$D2584,0)))</f>
        <v/>
      </c>
      <c r="N2584">
        <f>IF($A2584="","",$K2584+(5002-ROW())/10000)</f>
        <v/>
      </c>
    </row>
    <row r="2585">
      <c r="K2585">
        <f>IF($A2585="","",SUM($E2585:$J2585))</f>
        <v/>
      </c>
      <c r="M2585">
        <f>IF($A2585="","",MAX(0,ROUNDUP(DASHBOARD!$F$3-$D2585,0)))</f>
        <v/>
      </c>
      <c r="N2585">
        <f>IF($A2585="","",$K2585+(5002-ROW())/10000)</f>
        <v/>
      </c>
    </row>
    <row r="2586">
      <c r="K2586">
        <f>IF($A2586="","",SUM($E2586:$J2586))</f>
        <v/>
      </c>
      <c r="M2586">
        <f>IF($A2586="","",MAX(0,ROUNDUP(DASHBOARD!$F$3-$D2586,0)))</f>
        <v/>
      </c>
      <c r="N2586">
        <f>IF($A2586="","",$K2586+(5002-ROW())/10000)</f>
        <v/>
      </c>
    </row>
    <row r="2587">
      <c r="K2587">
        <f>IF($A2587="","",SUM($E2587:$J2587))</f>
        <v/>
      </c>
      <c r="M2587">
        <f>IF($A2587="","",MAX(0,ROUNDUP(DASHBOARD!$F$3-$D2587,0)))</f>
        <v/>
      </c>
      <c r="N2587">
        <f>IF($A2587="","",$K2587+(5002-ROW())/10000)</f>
        <v/>
      </c>
    </row>
    <row r="2588">
      <c r="K2588">
        <f>IF($A2588="","",SUM($E2588:$J2588))</f>
        <v/>
      </c>
      <c r="M2588">
        <f>IF($A2588="","",MAX(0,ROUNDUP(DASHBOARD!$F$3-$D2588,0)))</f>
        <v/>
      </c>
      <c r="N2588">
        <f>IF($A2588="","",$K2588+(5002-ROW())/10000)</f>
        <v/>
      </c>
    </row>
    <row r="2589">
      <c r="K2589">
        <f>IF($A2589="","",SUM($E2589:$J2589))</f>
        <v/>
      </c>
      <c r="M2589">
        <f>IF($A2589="","",MAX(0,ROUNDUP(DASHBOARD!$F$3-$D2589,0)))</f>
        <v/>
      </c>
      <c r="N2589">
        <f>IF($A2589="","",$K2589+(5002-ROW())/10000)</f>
        <v/>
      </c>
    </row>
    <row r="2590">
      <c r="K2590">
        <f>IF($A2590="","",SUM($E2590:$J2590))</f>
        <v/>
      </c>
      <c r="M2590">
        <f>IF($A2590="","",MAX(0,ROUNDUP(DASHBOARD!$F$3-$D2590,0)))</f>
        <v/>
      </c>
      <c r="N2590">
        <f>IF($A2590="","",$K2590+(5002-ROW())/10000)</f>
        <v/>
      </c>
    </row>
    <row r="2591">
      <c r="K2591">
        <f>IF($A2591="","",SUM($E2591:$J2591))</f>
        <v/>
      </c>
      <c r="M2591">
        <f>IF($A2591="","",MAX(0,ROUNDUP(DASHBOARD!$F$3-$D2591,0)))</f>
        <v/>
      </c>
      <c r="N2591">
        <f>IF($A2591="","",$K2591+(5002-ROW())/10000)</f>
        <v/>
      </c>
    </row>
    <row r="2592">
      <c r="K2592">
        <f>IF($A2592="","",SUM($E2592:$J2592))</f>
        <v/>
      </c>
      <c r="M2592">
        <f>IF($A2592="","",MAX(0,ROUNDUP(DASHBOARD!$F$3-$D2592,0)))</f>
        <v/>
      </c>
      <c r="N2592">
        <f>IF($A2592="","",$K2592+(5002-ROW())/10000)</f>
        <v/>
      </c>
    </row>
    <row r="2593">
      <c r="K2593">
        <f>IF($A2593="","",SUM($E2593:$J2593))</f>
        <v/>
      </c>
      <c r="M2593">
        <f>IF($A2593="","",MAX(0,ROUNDUP(DASHBOARD!$F$3-$D2593,0)))</f>
        <v/>
      </c>
      <c r="N2593">
        <f>IF($A2593="","",$K2593+(5002-ROW())/10000)</f>
        <v/>
      </c>
    </row>
    <row r="2594">
      <c r="K2594">
        <f>IF($A2594="","",SUM($E2594:$J2594))</f>
        <v/>
      </c>
      <c r="M2594">
        <f>IF($A2594="","",MAX(0,ROUNDUP(DASHBOARD!$F$3-$D2594,0)))</f>
        <v/>
      </c>
      <c r="N2594">
        <f>IF($A2594="","",$K2594+(5002-ROW())/10000)</f>
        <v/>
      </c>
    </row>
    <row r="2595">
      <c r="K2595">
        <f>IF($A2595="","",SUM($E2595:$J2595))</f>
        <v/>
      </c>
      <c r="M2595">
        <f>IF($A2595="","",MAX(0,ROUNDUP(DASHBOARD!$F$3-$D2595,0)))</f>
        <v/>
      </c>
      <c r="N2595">
        <f>IF($A2595="","",$K2595+(5002-ROW())/10000)</f>
        <v/>
      </c>
    </row>
    <row r="2596">
      <c r="K2596">
        <f>IF($A2596="","",SUM($E2596:$J2596))</f>
        <v/>
      </c>
      <c r="M2596">
        <f>IF($A2596="","",MAX(0,ROUNDUP(DASHBOARD!$F$3-$D2596,0)))</f>
        <v/>
      </c>
      <c r="N2596">
        <f>IF($A2596="","",$K2596+(5002-ROW())/10000)</f>
        <v/>
      </c>
    </row>
    <row r="2597">
      <c r="K2597">
        <f>IF($A2597="","",SUM($E2597:$J2597))</f>
        <v/>
      </c>
      <c r="M2597">
        <f>IF($A2597="","",MAX(0,ROUNDUP(DASHBOARD!$F$3-$D2597,0)))</f>
        <v/>
      </c>
      <c r="N2597">
        <f>IF($A2597="","",$K2597+(5002-ROW())/10000)</f>
        <v/>
      </c>
    </row>
    <row r="2598">
      <c r="K2598">
        <f>IF($A2598="","",SUM($E2598:$J2598))</f>
        <v/>
      </c>
      <c r="M2598">
        <f>IF($A2598="","",MAX(0,ROUNDUP(DASHBOARD!$F$3-$D2598,0)))</f>
        <v/>
      </c>
      <c r="N2598">
        <f>IF($A2598="","",$K2598+(5002-ROW())/10000)</f>
        <v/>
      </c>
    </row>
    <row r="2599">
      <c r="K2599">
        <f>IF($A2599="","",SUM($E2599:$J2599))</f>
        <v/>
      </c>
      <c r="M2599">
        <f>IF($A2599="","",MAX(0,ROUNDUP(DASHBOARD!$F$3-$D2599,0)))</f>
        <v/>
      </c>
      <c r="N2599">
        <f>IF($A2599="","",$K2599+(5002-ROW())/10000)</f>
        <v/>
      </c>
    </row>
    <row r="2600">
      <c r="K2600">
        <f>IF($A2600="","",SUM($E2600:$J2600))</f>
        <v/>
      </c>
      <c r="M2600">
        <f>IF($A2600="","",MAX(0,ROUNDUP(DASHBOARD!$F$3-$D2600,0)))</f>
        <v/>
      </c>
      <c r="N2600">
        <f>IF($A2600="","",$K2600+(5002-ROW())/10000)</f>
        <v/>
      </c>
    </row>
    <row r="2601">
      <c r="K2601">
        <f>IF($A2601="","",SUM($E2601:$J2601))</f>
        <v/>
      </c>
      <c r="M2601">
        <f>IF($A2601="","",MAX(0,ROUNDUP(DASHBOARD!$F$3-$D2601,0)))</f>
        <v/>
      </c>
      <c r="N2601">
        <f>IF($A2601="","",$K2601+(5002-ROW())/10000)</f>
        <v/>
      </c>
    </row>
    <row r="2602">
      <c r="K2602">
        <f>IF($A2602="","",SUM($E2602:$J2602))</f>
        <v/>
      </c>
      <c r="M2602">
        <f>IF($A2602="","",MAX(0,ROUNDUP(DASHBOARD!$F$3-$D2602,0)))</f>
        <v/>
      </c>
      <c r="N2602">
        <f>IF($A2602="","",$K2602+(5002-ROW())/10000)</f>
        <v/>
      </c>
    </row>
    <row r="2603">
      <c r="K2603">
        <f>IF($A2603="","",SUM($E2603:$J2603))</f>
        <v/>
      </c>
      <c r="M2603">
        <f>IF($A2603="","",MAX(0,ROUNDUP(DASHBOARD!$F$3-$D2603,0)))</f>
        <v/>
      </c>
      <c r="N2603">
        <f>IF($A2603="","",$K2603+(5002-ROW())/10000)</f>
        <v/>
      </c>
    </row>
    <row r="2604">
      <c r="K2604">
        <f>IF($A2604="","",SUM($E2604:$J2604))</f>
        <v/>
      </c>
      <c r="M2604">
        <f>IF($A2604="","",MAX(0,ROUNDUP(DASHBOARD!$F$3-$D2604,0)))</f>
        <v/>
      </c>
      <c r="N2604">
        <f>IF($A2604="","",$K2604+(5002-ROW())/10000)</f>
        <v/>
      </c>
    </row>
    <row r="2605">
      <c r="K2605">
        <f>IF($A2605="","",SUM($E2605:$J2605))</f>
        <v/>
      </c>
      <c r="M2605">
        <f>IF($A2605="","",MAX(0,ROUNDUP(DASHBOARD!$F$3-$D2605,0)))</f>
        <v/>
      </c>
      <c r="N2605">
        <f>IF($A2605="","",$K2605+(5002-ROW())/10000)</f>
        <v/>
      </c>
    </row>
    <row r="2606">
      <c r="K2606">
        <f>IF($A2606="","",SUM($E2606:$J2606))</f>
        <v/>
      </c>
      <c r="M2606">
        <f>IF($A2606="","",MAX(0,ROUNDUP(DASHBOARD!$F$3-$D2606,0)))</f>
        <v/>
      </c>
      <c r="N2606">
        <f>IF($A2606="","",$K2606+(5002-ROW())/10000)</f>
        <v/>
      </c>
    </row>
    <row r="2607">
      <c r="K2607">
        <f>IF($A2607="","",SUM($E2607:$J2607))</f>
        <v/>
      </c>
      <c r="M2607">
        <f>IF($A2607="","",MAX(0,ROUNDUP(DASHBOARD!$F$3-$D2607,0)))</f>
        <v/>
      </c>
      <c r="N2607">
        <f>IF($A2607="","",$K2607+(5002-ROW())/10000)</f>
        <v/>
      </c>
    </row>
    <row r="2608">
      <c r="K2608">
        <f>IF($A2608="","",SUM($E2608:$J2608))</f>
        <v/>
      </c>
      <c r="M2608">
        <f>IF($A2608="","",MAX(0,ROUNDUP(DASHBOARD!$F$3-$D2608,0)))</f>
        <v/>
      </c>
      <c r="N2608">
        <f>IF($A2608="","",$K2608+(5002-ROW())/10000)</f>
        <v/>
      </c>
    </row>
    <row r="2609">
      <c r="K2609">
        <f>IF($A2609="","",SUM($E2609:$J2609))</f>
        <v/>
      </c>
      <c r="M2609">
        <f>IF($A2609="","",MAX(0,ROUNDUP(DASHBOARD!$F$3-$D2609,0)))</f>
        <v/>
      </c>
      <c r="N2609">
        <f>IF($A2609="","",$K2609+(5002-ROW())/10000)</f>
        <v/>
      </c>
    </row>
    <row r="2610">
      <c r="K2610">
        <f>IF($A2610="","",SUM($E2610:$J2610))</f>
        <v/>
      </c>
      <c r="M2610">
        <f>IF($A2610="","",MAX(0,ROUNDUP(DASHBOARD!$F$3-$D2610,0)))</f>
        <v/>
      </c>
      <c r="N2610">
        <f>IF($A2610="","",$K2610+(5002-ROW())/10000)</f>
        <v/>
      </c>
    </row>
    <row r="2611">
      <c r="K2611">
        <f>IF($A2611="","",SUM($E2611:$J2611))</f>
        <v/>
      </c>
      <c r="M2611">
        <f>IF($A2611="","",MAX(0,ROUNDUP(DASHBOARD!$F$3-$D2611,0)))</f>
        <v/>
      </c>
      <c r="N2611">
        <f>IF($A2611="","",$K2611+(5002-ROW())/10000)</f>
        <v/>
      </c>
    </row>
    <row r="2612">
      <c r="K2612">
        <f>IF($A2612="","",SUM($E2612:$J2612))</f>
        <v/>
      </c>
      <c r="M2612">
        <f>IF($A2612="","",MAX(0,ROUNDUP(DASHBOARD!$F$3-$D2612,0)))</f>
        <v/>
      </c>
      <c r="N2612">
        <f>IF($A2612="","",$K2612+(5002-ROW())/10000)</f>
        <v/>
      </c>
    </row>
    <row r="2613">
      <c r="K2613">
        <f>IF($A2613="","",SUM($E2613:$J2613))</f>
        <v/>
      </c>
      <c r="M2613">
        <f>IF($A2613="","",MAX(0,ROUNDUP(DASHBOARD!$F$3-$D2613,0)))</f>
        <v/>
      </c>
      <c r="N2613">
        <f>IF($A2613="","",$K2613+(5002-ROW())/10000)</f>
        <v/>
      </c>
    </row>
    <row r="2614">
      <c r="K2614">
        <f>IF($A2614="","",SUM($E2614:$J2614))</f>
        <v/>
      </c>
      <c r="M2614">
        <f>IF($A2614="","",MAX(0,ROUNDUP(DASHBOARD!$F$3-$D2614,0)))</f>
        <v/>
      </c>
      <c r="N2614">
        <f>IF($A2614="","",$K2614+(5002-ROW())/10000)</f>
        <v/>
      </c>
    </row>
    <row r="2615">
      <c r="K2615">
        <f>IF($A2615="","",SUM($E2615:$J2615))</f>
        <v/>
      </c>
      <c r="M2615">
        <f>IF($A2615="","",MAX(0,ROUNDUP(DASHBOARD!$F$3-$D2615,0)))</f>
        <v/>
      </c>
      <c r="N2615">
        <f>IF($A2615="","",$K2615+(5002-ROW())/10000)</f>
        <v/>
      </c>
    </row>
    <row r="2616">
      <c r="K2616">
        <f>IF($A2616="","",SUM($E2616:$J2616))</f>
        <v/>
      </c>
      <c r="M2616">
        <f>IF($A2616="","",MAX(0,ROUNDUP(DASHBOARD!$F$3-$D2616,0)))</f>
        <v/>
      </c>
      <c r="N2616">
        <f>IF($A2616="","",$K2616+(5002-ROW())/10000)</f>
        <v/>
      </c>
    </row>
    <row r="2617">
      <c r="K2617">
        <f>IF($A2617="","",SUM($E2617:$J2617))</f>
        <v/>
      </c>
      <c r="M2617">
        <f>IF($A2617="","",MAX(0,ROUNDUP(DASHBOARD!$F$3-$D2617,0)))</f>
        <v/>
      </c>
      <c r="N2617">
        <f>IF($A2617="","",$K2617+(5002-ROW())/10000)</f>
        <v/>
      </c>
    </row>
    <row r="2618">
      <c r="K2618">
        <f>IF($A2618="","",SUM($E2618:$J2618))</f>
        <v/>
      </c>
      <c r="M2618">
        <f>IF($A2618="","",MAX(0,ROUNDUP(DASHBOARD!$F$3-$D2618,0)))</f>
        <v/>
      </c>
      <c r="N2618">
        <f>IF($A2618="","",$K2618+(5002-ROW())/10000)</f>
        <v/>
      </c>
    </row>
    <row r="2619">
      <c r="K2619">
        <f>IF($A2619="","",SUM($E2619:$J2619))</f>
        <v/>
      </c>
      <c r="M2619">
        <f>IF($A2619="","",MAX(0,ROUNDUP(DASHBOARD!$F$3-$D2619,0)))</f>
        <v/>
      </c>
      <c r="N2619">
        <f>IF($A2619="","",$K2619+(5002-ROW())/10000)</f>
        <v/>
      </c>
    </row>
    <row r="2620">
      <c r="K2620">
        <f>IF($A2620="","",SUM($E2620:$J2620))</f>
        <v/>
      </c>
      <c r="M2620">
        <f>IF($A2620="","",MAX(0,ROUNDUP(DASHBOARD!$F$3-$D2620,0)))</f>
        <v/>
      </c>
      <c r="N2620">
        <f>IF($A2620="","",$K2620+(5002-ROW())/10000)</f>
        <v/>
      </c>
    </row>
    <row r="2621">
      <c r="K2621">
        <f>IF($A2621="","",SUM($E2621:$J2621))</f>
        <v/>
      </c>
      <c r="M2621">
        <f>IF($A2621="","",MAX(0,ROUNDUP(DASHBOARD!$F$3-$D2621,0)))</f>
        <v/>
      </c>
      <c r="N2621">
        <f>IF($A2621="","",$K2621+(5002-ROW())/10000)</f>
        <v/>
      </c>
    </row>
    <row r="2622">
      <c r="K2622">
        <f>IF($A2622="","",SUM($E2622:$J2622))</f>
        <v/>
      </c>
      <c r="M2622">
        <f>IF($A2622="","",MAX(0,ROUNDUP(DASHBOARD!$F$3-$D2622,0)))</f>
        <v/>
      </c>
      <c r="N2622">
        <f>IF($A2622="","",$K2622+(5002-ROW())/10000)</f>
        <v/>
      </c>
    </row>
    <row r="2623">
      <c r="K2623">
        <f>IF($A2623="","",SUM($E2623:$J2623))</f>
        <v/>
      </c>
      <c r="M2623">
        <f>IF($A2623="","",MAX(0,ROUNDUP(DASHBOARD!$F$3-$D2623,0)))</f>
        <v/>
      </c>
      <c r="N2623">
        <f>IF($A2623="","",$K2623+(5002-ROW())/10000)</f>
        <v/>
      </c>
    </row>
    <row r="2624">
      <c r="K2624">
        <f>IF($A2624="","",SUM($E2624:$J2624))</f>
        <v/>
      </c>
      <c r="M2624">
        <f>IF($A2624="","",MAX(0,ROUNDUP(DASHBOARD!$F$3-$D2624,0)))</f>
        <v/>
      </c>
      <c r="N2624">
        <f>IF($A2624="","",$K2624+(5002-ROW())/10000)</f>
        <v/>
      </c>
    </row>
    <row r="2625">
      <c r="K2625">
        <f>IF($A2625="","",SUM($E2625:$J2625))</f>
        <v/>
      </c>
      <c r="M2625">
        <f>IF($A2625="","",MAX(0,ROUNDUP(DASHBOARD!$F$3-$D2625,0)))</f>
        <v/>
      </c>
      <c r="N2625">
        <f>IF($A2625="","",$K2625+(5002-ROW())/10000)</f>
        <v/>
      </c>
    </row>
    <row r="2626">
      <c r="K2626">
        <f>IF($A2626="","",SUM($E2626:$J2626))</f>
        <v/>
      </c>
      <c r="M2626">
        <f>IF($A2626="","",MAX(0,ROUNDUP(DASHBOARD!$F$3-$D2626,0)))</f>
        <v/>
      </c>
      <c r="N2626">
        <f>IF($A2626="","",$K2626+(5002-ROW())/10000)</f>
        <v/>
      </c>
    </row>
    <row r="2627">
      <c r="K2627">
        <f>IF($A2627="","",SUM($E2627:$J2627))</f>
        <v/>
      </c>
      <c r="M2627">
        <f>IF($A2627="","",MAX(0,ROUNDUP(DASHBOARD!$F$3-$D2627,0)))</f>
        <v/>
      </c>
      <c r="N2627">
        <f>IF($A2627="","",$K2627+(5002-ROW())/10000)</f>
        <v/>
      </c>
    </row>
    <row r="2628">
      <c r="K2628">
        <f>IF($A2628="","",SUM($E2628:$J2628))</f>
        <v/>
      </c>
      <c r="M2628">
        <f>IF($A2628="","",MAX(0,ROUNDUP(DASHBOARD!$F$3-$D2628,0)))</f>
        <v/>
      </c>
      <c r="N2628">
        <f>IF($A2628="","",$K2628+(5002-ROW())/10000)</f>
        <v/>
      </c>
    </row>
    <row r="2629">
      <c r="K2629">
        <f>IF($A2629="","",SUM($E2629:$J2629))</f>
        <v/>
      </c>
      <c r="M2629">
        <f>IF($A2629="","",MAX(0,ROUNDUP(DASHBOARD!$F$3-$D2629,0)))</f>
        <v/>
      </c>
      <c r="N2629">
        <f>IF($A2629="","",$K2629+(5002-ROW())/10000)</f>
        <v/>
      </c>
    </row>
    <row r="2630">
      <c r="K2630">
        <f>IF($A2630="","",SUM($E2630:$J2630))</f>
        <v/>
      </c>
      <c r="M2630">
        <f>IF($A2630="","",MAX(0,ROUNDUP(DASHBOARD!$F$3-$D2630,0)))</f>
        <v/>
      </c>
      <c r="N2630">
        <f>IF($A2630="","",$K2630+(5002-ROW())/10000)</f>
        <v/>
      </c>
    </row>
    <row r="2631">
      <c r="K2631">
        <f>IF($A2631="","",SUM($E2631:$J2631))</f>
        <v/>
      </c>
      <c r="M2631">
        <f>IF($A2631="","",MAX(0,ROUNDUP(DASHBOARD!$F$3-$D2631,0)))</f>
        <v/>
      </c>
      <c r="N2631">
        <f>IF($A2631="","",$K2631+(5002-ROW())/10000)</f>
        <v/>
      </c>
    </row>
    <row r="2632">
      <c r="K2632">
        <f>IF($A2632="","",SUM($E2632:$J2632))</f>
        <v/>
      </c>
      <c r="M2632">
        <f>IF($A2632="","",MAX(0,ROUNDUP(DASHBOARD!$F$3-$D2632,0)))</f>
        <v/>
      </c>
      <c r="N2632">
        <f>IF($A2632="","",$K2632+(5002-ROW())/10000)</f>
        <v/>
      </c>
    </row>
    <row r="2633">
      <c r="K2633">
        <f>IF($A2633="","",SUM($E2633:$J2633))</f>
        <v/>
      </c>
      <c r="M2633">
        <f>IF($A2633="","",MAX(0,ROUNDUP(DASHBOARD!$F$3-$D2633,0)))</f>
        <v/>
      </c>
      <c r="N2633">
        <f>IF($A2633="","",$K2633+(5002-ROW())/10000)</f>
        <v/>
      </c>
    </row>
    <row r="2634">
      <c r="K2634">
        <f>IF($A2634="","",SUM($E2634:$J2634))</f>
        <v/>
      </c>
      <c r="M2634">
        <f>IF($A2634="","",MAX(0,ROUNDUP(DASHBOARD!$F$3-$D2634,0)))</f>
        <v/>
      </c>
      <c r="N2634">
        <f>IF($A2634="","",$K2634+(5002-ROW())/10000)</f>
        <v/>
      </c>
    </row>
    <row r="2635">
      <c r="K2635">
        <f>IF($A2635="","",SUM($E2635:$J2635))</f>
        <v/>
      </c>
      <c r="M2635">
        <f>IF($A2635="","",MAX(0,ROUNDUP(DASHBOARD!$F$3-$D2635,0)))</f>
        <v/>
      </c>
      <c r="N2635">
        <f>IF($A2635="","",$K2635+(5002-ROW())/10000)</f>
        <v/>
      </c>
    </row>
    <row r="2636">
      <c r="K2636">
        <f>IF($A2636="","",SUM($E2636:$J2636))</f>
        <v/>
      </c>
      <c r="M2636">
        <f>IF($A2636="","",MAX(0,ROUNDUP(DASHBOARD!$F$3-$D2636,0)))</f>
        <v/>
      </c>
      <c r="N2636">
        <f>IF($A2636="","",$K2636+(5002-ROW())/10000)</f>
        <v/>
      </c>
    </row>
    <row r="2637">
      <c r="K2637">
        <f>IF($A2637="","",SUM($E2637:$J2637))</f>
        <v/>
      </c>
      <c r="M2637">
        <f>IF($A2637="","",MAX(0,ROUNDUP(DASHBOARD!$F$3-$D2637,0)))</f>
        <v/>
      </c>
      <c r="N2637">
        <f>IF($A2637="","",$K2637+(5002-ROW())/10000)</f>
        <v/>
      </c>
    </row>
    <row r="2638">
      <c r="K2638">
        <f>IF($A2638="","",SUM($E2638:$J2638))</f>
        <v/>
      </c>
      <c r="M2638">
        <f>IF($A2638="","",MAX(0,ROUNDUP(DASHBOARD!$F$3-$D2638,0)))</f>
        <v/>
      </c>
      <c r="N2638">
        <f>IF($A2638="","",$K2638+(5002-ROW())/10000)</f>
        <v/>
      </c>
    </row>
    <row r="2639">
      <c r="K2639">
        <f>IF($A2639="","",SUM($E2639:$J2639))</f>
        <v/>
      </c>
      <c r="M2639">
        <f>IF($A2639="","",MAX(0,ROUNDUP(DASHBOARD!$F$3-$D2639,0)))</f>
        <v/>
      </c>
      <c r="N2639">
        <f>IF($A2639="","",$K2639+(5002-ROW())/10000)</f>
        <v/>
      </c>
    </row>
    <row r="2640">
      <c r="K2640">
        <f>IF($A2640="","",SUM($E2640:$J2640))</f>
        <v/>
      </c>
      <c r="M2640">
        <f>IF($A2640="","",MAX(0,ROUNDUP(DASHBOARD!$F$3-$D2640,0)))</f>
        <v/>
      </c>
      <c r="N2640">
        <f>IF($A2640="","",$K2640+(5002-ROW())/10000)</f>
        <v/>
      </c>
    </row>
    <row r="2641">
      <c r="K2641">
        <f>IF($A2641="","",SUM($E2641:$J2641))</f>
        <v/>
      </c>
      <c r="M2641">
        <f>IF($A2641="","",MAX(0,ROUNDUP(DASHBOARD!$F$3-$D2641,0)))</f>
        <v/>
      </c>
      <c r="N2641">
        <f>IF($A2641="","",$K2641+(5002-ROW())/10000)</f>
        <v/>
      </c>
    </row>
    <row r="2642">
      <c r="K2642">
        <f>IF($A2642="","",SUM($E2642:$J2642))</f>
        <v/>
      </c>
      <c r="M2642">
        <f>IF($A2642="","",MAX(0,ROUNDUP(DASHBOARD!$F$3-$D2642,0)))</f>
        <v/>
      </c>
      <c r="N2642">
        <f>IF($A2642="","",$K2642+(5002-ROW())/10000)</f>
        <v/>
      </c>
    </row>
    <row r="2643">
      <c r="K2643">
        <f>IF($A2643="","",SUM($E2643:$J2643))</f>
        <v/>
      </c>
      <c r="M2643">
        <f>IF($A2643="","",MAX(0,ROUNDUP(DASHBOARD!$F$3-$D2643,0)))</f>
        <v/>
      </c>
      <c r="N2643">
        <f>IF($A2643="","",$K2643+(5002-ROW())/10000)</f>
        <v/>
      </c>
    </row>
    <row r="2644">
      <c r="K2644">
        <f>IF($A2644="","",SUM($E2644:$J2644))</f>
        <v/>
      </c>
      <c r="M2644">
        <f>IF($A2644="","",MAX(0,ROUNDUP(DASHBOARD!$F$3-$D2644,0)))</f>
        <v/>
      </c>
      <c r="N2644">
        <f>IF($A2644="","",$K2644+(5002-ROW())/10000)</f>
        <v/>
      </c>
    </row>
    <row r="2645">
      <c r="K2645">
        <f>IF($A2645="","",SUM($E2645:$J2645))</f>
        <v/>
      </c>
      <c r="M2645">
        <f>IF($A2645="","",MAX(0,ROUNDUP(DASHBOARD!$F$3-$D2645,0)))</f>
        <v/>
      </c>
      <c r="N2645">
        <f>IF($A2645="","",$K2645+(5002-ROW())/10000)</f>
        <v/>
      </c>
    </row>
    <row r="2646">
      <c r="K2646">
        <f>IF($A2646="","",SUM($E2646:$J2646))</f>
        <v/>
      </c>
      <c r="M2646">
        <f>IF($A2646="","",MAX(0,ROUNDUP(DASHBOARD!$F$3-$D2646,0)))</f>
        <v/>
      </c>
      <c r="N2646">
        <f>IF($A2646="","",$K2646+(5002-ROW())/10000)</f>
        <v/>
      </c>
    </row>
    <row r="2647">
      <c r="K2647">
        <f>IF($A2647="","",SUM($E2647:$J2647))</f>
        <v/>
      </c>
      <c r="M2647">
        <f>IF($A2647="","",MAX(0,ROUNDUP(DASHBOARD!$F$3-$D2647,0)))</f>
        <v/>
      </c>
      <c r="N2647">
        <f>IF($A2647="","",$K2647+(5002-ROW())/10000)</f>
        <v/>
      </c>
    </row>
    <row r="2648">
      <c r="K2648">
        <f>IF($A2648="","",SUM($E2648:$J2648))</f>
        <v/>
      </c>
      <c r="M2648">
        <f>IF($A2648="","",MAX(0,ROUNDUP(DASHBOARD!$F$3-$D2648,0)))</f>
        <v/>
      </c>
      <c r="N2648">
        <f>IF($A2648="","",$K2648+(5002-ROW())/10000)</f>
        <v/>
      </c>
    </row>
    <row r="2649">
      <c r="K2649">
        <f>IF($A2649="","",SUM($E2649:$J2649))</f>
        <v/>
      </c>
      <c r="M2649">
        <f>IF($A2649="","",MAX(0,ROUNDUP(DASHBOARD!$F$3-$D2649,0)))</f>
        <v/>
      </c>
      <c r="N2649">
        <f>IF($A2649="","",$K2649+(5002-ROW())/10000)</f>
        <v/>
      </c>
    </row>
    <row r="2650">
      <c r="K2650">
        <f>IF($A2650="","",SUM($E2650:$J2650))</f>
        <v/>
      </c>
      <c r="M2650">
        <f>IF($A2650="","",MAX(0,ROUNDUP(DASHBOARD!$F$3-$D2650,0)))</f>
        <v/>
      </c>
      <c r="N2650">
        <f>IF($A2650="","",$K2650+(5002-ROW())/10000)</f>
        <v/>
      </c>
    </row>
    <row r="2651">
      <c r="K2651">
        <f>IF($A2651="","",SUM($E2651:$J2651))</f>
        <v/>
      </c>
      <c r="M2651">
        <f>IF($A2651="","",MAX(0,ROUNDUP(DASHBOARD!$F$3-$D2651,0)))</f>
        <v/>
      </c>
      <c r="N2651">
        <f>IF($A2651="","",$K2651+(5002-ROW())/10000)</f>
        <v/>
      </c>
    </row>
    <row r="2652">
      <c r="K2652">
        <f>IF($A2652="","",SUM($E2652:$J2652))</f>
        <v/>
      </c>
      <c r="M2652">
        <f>IF($A2652="","",MAX(0,ROUNDUP(DASHBOARD!$F$3-$D2652,0)))</f>
        <v/>
      </c>
      <c r="N2652">
        <f>IF($A2652="","",$K2652+(5002-ROW())/10000)</f>
        <v/>
      </c>
    </row>
    <row r="2653">
      <c r="K2653">
        <f>IF($A2653="","",SUM($E2653:$J2653))</f>
        <v/>
      </c>
      <c r="M2653">
        <f>IF($A2653="","",MAX(0,ROUNDUP(DASHBOARD!$F$3-$D2653,0)))</f>
        <v/>
      </c>
      <c r="N2653">
        <f>IF($A2653="","",$K2653+(5002-ROW())/10000)</f>
        <v/>
      </c>
    </row>
    <row r="2654">
      <c r="K2654">
        <f>IF($A2654="","",SUM($E2654:$J2654))</f>
        <v/>
      </c>
      <c r="M2654">
        <f>IF($A2654="","",MAX(0,ROUNDUP(DASHBOARD!$F$3-$D2654,0)))</f>
        <v/>
      </c>
      <c r="N2654">
        <f>IF($A2654="","",$K2654+(5002-ROW())/10000)</f>
        <v/>
      </c>
    </row>
    <row r="2655">
      <c r="K2655">
        <f>IF($A2655="","",SUM($E2655:$J2655))</f>
        <v/>
      </c>
      <c r="M2655">
        <f>IF($A2655="","",MAX(0,ROUNDUP(DASHBOARD!$F$3-$D2655,0)))</f>
        <v/>
      </c>
      <c r="N2655">
        <f>IF($A2655="","",$K2655+(5002-ROW())/10000)</f>
        <v/>
      </c>
    </row>
    <row r="2656">
      <c r="K2656">
        <f>IF($A2656="","",SUM($E2656:$J2656))</f>
        <v/>
      </c>
      <c r="M2656">
        <f>IF($A2656="","",MAX(0,ROUNDUP(DASHBOARD!$F$3-$D2656,0)))</f>
        <v/>
      </c>
      <c r="N2656">
        <f>IF($A2656="","",$K2656+(5002-ROW())/10000)</f>
        <v/>
      </c>
    </row>
    <row r="2657">
      <c r="K2657">
        <f>IF($A2657="","",SUM($E2657:$J2657))</f>
        <v/>
      </c>
      <c r="M2657">
        <f>IF($A2657="","",MAX(0,ROUNDUP(DASHBOARD!$F$3-$D2657,0)))</f>
        <v/>
      </c>
      <c r="N2657">
        <f>IF($A2657="","",$K2657+(5002-ROW())/10000)</f>
        <v/>
      </c>
    </row>
    <row r="2658">
      <c r="K2658">
        <f>IF($A2658="","",SUM($E2658:$J2658))</f>
        <v/>
      </c>
      <c r="M2658">
        <f>IF($A2658="","",MAX(0,ROUNDUP(DASHBOARD!$F$3-$D2658,0)))</f>
        <v/>
      </c>
      <c r="N2658">
        <f>IF($A2658="","",$K2658+(5002-ROW())/10000)</f>
        <v/>
      </c>
    </row>
    <row r="2659">
      <c r="K2659">
        <f>IF($A2659="","",SUM($E2659:$J2659))</f>
        <v/>
      </c>
      <c r="M2659">
        <f>IF($A2659="","",MAX(0,ROUNDUP(DASHBOARD!$F$3-$D2659,0)))</f>
        <v/>
      </c>
      <c r="N2659">
        <f>IF($A2659="","",$K2659+(5002-ROW())/10000)</f>
        <v/>
      </c>
    </row>
    <row r="2660">
      <c r="K2660">
        <f>IF($A2660="","",SUM($E2660:$J2660))</f>
        <v/>
      </c>
      <c r="M2660">
        <f>IF($A2660="","",MAX(0,ROUNDUP(DASHBOARD!$F$3-$D2660,0)))</f>
        <v/>
      </c>
      <c r="N2660">
        <f>IF($A2660="","",$K2660+(5002-ROW())/10000)</f>
        <v/>
      </c>
    </row>
    <row r="2661">
      <c r="K2661">
        <f>IF($A2661="","",SUM($E2661:$J2661))</f>
        <v/>
      </c>
      <c r="M2661">
        <f>IF($A2661="","",MAX(0,ROUNDUP(DASHBOARD!$F$3-$D2661,0)))</f>
        <v/>
      </c>
      <c r="N2661">
        <f>IF($A2661="","",$K2661+(5002-ROW())/10000)</f>
        <v/>
      </c>
    </row>
    <row r="2662">
      <c r="K2662">
        <f>IF($A2662="","",SUM($E2662:$J2662))</f>
        <v/>
      </c>
      <c r="M2662">
        <f>IF($A2662="","",MAX(0,ROUNDUP(DASHBOARD!$F$3-$D2662,0)))</f>
        <v/>
      </c>
      <c r="N2662">
        <f>IF($A2662="","",$K2662+(5002-ROW())/10000)</f>
        <v/>
      </c>
    </row>
    <row r="2663">
      <c r="K2663">
        <f>IF($A2663="","",SUM($E2663:$J2663))</f>
        <v/>
      </c>
      <c r="M2663">
        <f>IF($A2663="","",MAX(0,ROUNDUP(DASHBOARD!$F$3-$D2663,0)))</f>
        <v/>
      </c>
      <c r="N2663">
        <f>IF($A2663="","",$K2663+(5002-ROW())/10000)</f>
        <v/>
      </c>
    </row>
    <row r="2664">
      <c r="K2664">
        <f>IF($A2664="","",SUM($E2664:$J2664))</f>
        <v/>
      </c>
      <c r="M2664">
        <f>IF($A2664="","",MAX(0,ROUNDUP(DASHBOARD!$F$3-$D2664,0)))</f>
        <v/>
      </c>
      <c r="N2664">
        <f>IF($A2664="","",$K2664+(5002-ROW())/10000)</f>
        <v/>
      </c>
    </row>
    <row r="2665">
      <c r="K2665">
        <f>IF($A2665="","",SUM($E2665:$J2665))</f>
        <v/>
      </c>
      <c r="M2665">
        <f>IF($A2665="","",MAX(0,ROUNDUP(DASHBOARD!$F$3-$D2665,0)))</f>
        <v/>
      </c>
      <c r="N2665">
        <f>IF($A2665="","",$K2665+(5002-ROW())/10000)</f>
        <v/>
      </c>
    </row>
    <row r="2666">
      <c r="K2666">
        <f>IF($A2666="","",SUM($E2666:$J2666))</f>
        <v/>
      </c>
      <c r="M2666">
        <f>IF($A2666="","",MAX(0,ROUNDUP(DASHBOARD!$F$3-$D2666,0)))</f>
        <v/>
      </c>
      <c r="N2666">
        <f>IF($A2666="","",$K2666+(5002-ROW())/10000)</f>
        <v/>
      </c>
    </row>
    <row r="2667">
      <c r="K2667">
        <f>IF($A2667="","",SUM($E2667:$J2667))</f>
        <v/>
      </c>
      <c r="M2667">
        <f>IF($A2667="","",MAX(0,ROUNDUP(DASHBOARD!$F$3-$D2667,0)))</f>
        <v/>
      </c>
      <c r="N2667">
        <f>IF($A2667="","",$K2667+(5002-ROW())/10000)</f>
        <v/>
      </c>
    </row>
    <row r="2668">
      <c r="K2668">
        <f>IF($A2668="","",SUM($E2668:$J2668))</f>
        <v/>
      </c>
      <c r="M2668">
        <f>IF($A2668="","",MAX(0,ROUNDUP(DASHBOARD!$F$3-$D2668,0)))</f>
        <v/>
      </c>
      <c r="N2668">
        <f>IF($A2668="","",$K2668+(5002-ROW())/10000)</f>
        <v/>
      </c>
    </row>
    <row r="2669">
      <c r="K2669">
        <f>IF($A2669="","",SUM($E2669:$J2669))</f>
        <v/>
      </c>
      <c r="M2669">
        <f>IF($A2669="","",MAX(0,ROUNDUP(DASHBOARD!$F$3-$D2669,0)))</f>
        <v/>
      </c>
      <c r="N2669">
        <f>IF($A2669="","",$K2669+(5002-ROW())/10000)</f>
        <v/>
      </c>
    </row>
    <row r="2670">
      <c r="K2670">
        <f>IF($A2670="","",SUM($E2670:$J2670))</f>
        <v/>
      </c>
      <c r="M2670">
        <f>IF($A2670="","",MAX(0,ROUNDUP(DASHBOARD!$F$3-$D2670,0)))</f>
        <v/>
      </c>
      <c r="N2670">
        <f>IF($A2670="","",$K2670+(5002-ROW())/10000)</f>
        <v/>
      </c>
    </row>
    <row r="2671">
      <c r="K2671">
        <f>IF($A2671="","",SUM($E2671:$J2671))</f>
        <v/>
      </c>
      <c r="M2671">
        <f>IF($A2671="","",MAX(0,ROUNDUP(DASHBOARD!$F$3-$D2671,0)))</f>
        <v/>
      </c>
      <c r="N2671">
        <f>IF($A2671="","",$K2671+(5002-ROW())/10000)</f>
        <v/>
      </c>
    </row>
    <row r="2672">
      <c r="K2672">
        <f>IF($A2672="","",SUM($E2672:$J2672))</f>
        <v/>
      </c>
      <c r="M2672">
        <f>IF($A2672="","",MAX(0,ROUNDUP(DASHBOARD!$F$3-$D2672,0)))</f>
        <v/>
      </c>
      <c r="N2672">
        <f>IF($A2672="","",$K2672+(5002-ROW())/10000)</f>
        <v/>
      </c>
    </row>
    <row r="2673">
      <c r="K2673">
        <f>IF($A2673="","",SUM($E2673:$J2673))</f>
        <v/>
      </c>
      <c r="M2673">
        <f>IF($A2673="","",MAX(0,ROUNDUP(DASHBOARD!$F$3-$D2673,0)))</f>
        <v/>
      </c>
      <c r="N2673">
        <f>IF($A2673="","",$K2673+(5002-ROW())/10000)</f>
        <v/>
      </c>
    </row>
    <row r="2674">
      <c r="K2674">
        <f>IF($A2674="","",SUM($E2674:$J2674))</f>
        <v/>
      </c>
      <c r="M2674">
        <f>IF($A2674="","",MAX(0,ROUNDUP(DASHBOARD!$F$3-$D2674,0)))</f>
        <v/>
      </c>
      <c r="N2674">
        <f>IF($A2674="","",$K2674+(5002-ROW())/10000)</f>
        <v/>
      </c>
    </row>
    <row r="2675">
      <c r="K2675">
        <f>IF($A2675="","",SUM($E2675:$J2675))</f>
        <v/>
      </c>
      <c r="M2675">
        <f>IF($A2675="","",MAX(0,ROUNDUP(DASHBOARD!$F$3-$D2675,0)))</f>
        <v/>
      </c>
      <c r="N2675">
        <f>IF($A2675="","",$K2675+(5002-ROW())/10000)</f>
        <v/>
      </c>
    </row>
    <row r="2676">
      <c r="K2676">
        <f>IF($A2676="","",SUM($E2676:$J2676))</f>
        <v/>
      </c>
      <c r="M2676">
        <f>IF($A2676="","",MAX(0,ROUNDUP(DASHBOARD!$F$3-$D2676,0)))</f>
        <v/>
      </c>
      <c r="N2676">
        <f>IF($A2676="","",$K2676+(5002-ROW())/10000)</f>
        <v/>
      </c>
    </row>
    <row r="2677">
      <c r="K2677">
        <f>IF($A2677="","",SUM($E2677:$J2677))</f>
        <v/>
      </c>
      <c r="M2677">
        <f>IF($A2677="","",MAX(0,ROUNDUP(DASHBOARD!$F$3-$D2677,0)))</f>
        <v/>
      </c>
      <c r="N2677">
        <f>IF($A2677="","",$K2677+(5002-ROW())/10000)</f>
        <v/>
      </c>
    </row>
    <row r="2678">
      <c r="K2678">
        <f>IF($A2678="","",SUM($E2678:$J2678))</f>
        <v/>
      </c>
      <c r="M2678">
        <f>IF($A2678="","",MAX(0,ROUNDUP(DASHBOARD!$F$3-$D2678,0)))</f>
        <v/>
      </c>
      <c r="N2678">
        <f>IF($A2678="","",$K2678+(5002-ROW())/10000)</f>
        <v/>
      </c>
    </row>
    <row r="2679">
      <c r="K2679">
        <f>IF($A2679="","",SUM($E2679:$J2679))</f>
        <v/>
      </c>
      <c r="M2679">
        <f>IF($A2679="","",MAX(0,ROUNDUP(DASHBOARD!$F$3-$D2679,0)))</f>
        <v/>
      </c>
      <c r="N2679">
        <f>IF($A2679="","",$K2679+(5002-ROW())/10000)</f>
        <v/>
      </c>
    </row>
    <row r="2680">
      <c r="K2680">
        <f>IF($A2680="","",SUM($E2680:$J2680))</f>
        <v/>
      </c>
      <c r="M2680">
        <f>IF($A2680="","",MAX(0,ROUNDUP(DASHBOARD!$F$3-$D2680,0)))</f>
        <v/>
      </c>
      <c r="N2680">
        <f>IF($A2680="","",$K2680+(5002-ROW())/10000)</f>
        <v/>
      </c>
    </row>
    <row r="2681">
      <c r="K2681">
        <f>IF($A2681="","",SUM($E2681:$J2681))</f>
        <v/>
      </c>
      <c r="M2681">
        <f>IF($A2681="","",MAX(0,ROUNDUP(DASHBOARD!$F$3-$D2681,0)))</f>
        <v/>
      </c>
      <c r="N2681">
        <f>IF($A2681="","",$K2681+(5002-ROW())/10000)</f>
        <v/>
      </c>
    </row>
    <row r="2682">
      <c r="K2682">
        <f>IF($A2682="","",SUM($E2682:$J2682))</f>
        <v/>
      </c>
      <c r="M2682">
        <f>IF($A2682="","",MAX(0,ROUNDUP(DASHBOARD!$F$3-$D2682,0)))</f>
        <v/>
      </c>
      <c r="N2682">
        <f>IF($A2682="","",$K2682+(5002-ROW())/10000)</f>
        <v/>
      </c>
    </row>
    <row r="2683">
      <c r="K2683">
        <f>IF($A2683="","",SUM($E2683:$J2683))</f>
        <v/>
      </c>
      <c r="M2683">
        <f>IF($A2683="","",MAX(0,ROUNDUP(DASHBOARD!$F$3-$D2683,0)))</f>
        <v/>
      </c>
      <c r="N2683">
        <f>IF($A2683="","",$K2683+(5002-ROW())/10000)</f>
        <v/>
      </c>
    </row>
    <row r="2684">
      <c r="K2684">
        <f>IF($A2684="","",SUM($E2684:$J2684))</f>
        <v/>
      </c>
      <c r="M2684">
        <f>IF($A2684="","",MAX(0,ROUNDUP(DASHBOARD!$F$3-$D2684,0)))</f>
        <v/>
      </c>
      <c r="N2684">
        <f>IF($A2684="","",$K2684+(5002-ROW())/10000)</f>
        <v/>
      </c>
    </row>
    <row r="2685">
      <c r="K2685">
        <f>IF($A2685="","",SUM($E2685:$J2685))</f>
        <v/>
      </c>
      <c r="M2685">
        <f>IF($A2685="","",MAX(0,ROUNDUP(DASHBOARD!$F$3-$D2685,0)))</f>
        <v/>
      </c>
      <c r="N2685">
        <f>IF($A2685="","",$K2685+(5002-ROW())/10000)</f>
        <v/>
      </c>
    </row>
    <row r="2686">
      <c r="K2686">
        <f>IF($A2686="","",SUM($E2686:$J2686))</f>
        <v/>
      </c>
      <c r="M2686">
        <f>IF($A2686="","",MAX(0,ROUNDUP(DASHBOARD!$F$3-$D2686,0)))</f>
        <v/>
      </c>
      <c r="N2686">
        <f>IF($A2686="","",$K2686+(5002-ROW())/10000)</f>
        <v/>
      </c>
    </row>
    <row r="2687">
      <c r="K2687">
        <f>IF($A2687="","",SUM($E2687:$J2687))</f>
        <v/>
      </c>
      <c r="M2687">
        <f>IF($A2687="","",MAX(0,ROUNDUP(DASHBOARD!$F$3-$D2687,0)))</f>
        <v/>
      </c>
      <c r="N2687">
        <f>IF($A2687="","",$K2687+(5002-ROW())/10000)</f>
        <v/>
      </c>
    </row>
    <row r="2688">
      <c r="K2688">
        <f>IF($A2688="","",SUM($E2688:$J2688))</f>
        <v/>
      </c>
      <c r="M2688">
        <f>IF($A2688="","",MAX(0,ROUNDUP(DASHBOARD!$F$3-$D2688,0)))</f>
        <v/>
      </c>
      <c r="N2688">
        <f>IF($A2688="","",$K2688+(5002-ROW())/10000)</f>
        <v/>
      </c>
    </row>
    <row r="2689">
      <c r="K2689">
        <f>IF($A2689="","",SUM($E2689:$J2689))</f>
        <v/>
      </c>
      <c r="M2689">
        <f>IF($A2689="","",MAX(0,ROUNDUP(DASHBOARD!$F$3-$D2689,0)))</f>
        <v/>
      </c>
      <c r="N2689">
        <f>IF($A2689="","",$K2689+(5002-ROW())/10000)</f>
        <v/>
      </c>
    </row>
    <row r="2690">
      <c r="K2690">
        <f>IF($A2690="","",SUM($E2690:$J2690))</f>
        <v/>
      </c>
      <c r="M2690">
        <f>IF($A2690="","",MAX(0,ROUNDUP(DASHBOARD!$F$3-$D2690,0)))</f>
        <v/>
      </c>
      <c r="N2690">
        <f>IF($A2690="","",$K2690+(5002-ROW())/10000)</f>
        <v/>
      </c>
    </row>
    <row r="2691">
      <c r="K2691">
        <f>IF($A2691="","",SUM($E2691:$J2691))</f>
        <v/>
      </c>
      <c r="M2691">
        <f>IF($A2691="","",MAX(0,ROUNDUP(DASHBOARD!$F$3-$D2691,0)))</f>
        <v/>
      </c>
      <c r="N2691">
        <f>IF($A2691="","",$K2691+(5002-ROW())/10000)</f>
        <v/>
      </c>
    </row>
    <row r="2692">
      <c r="K2692">
        <f>IF($A2692="","",SUM($E2692:$J2692))</f>
        <v/>
      </c>
      <c r="M2692">
        <f>IF($A2692="","",MAX(0,ROUNDUP(DASHBOARD!$F$3-$D2692,0)))</f>
        <v/>
      </c>
      <c r="N2692">
        <f>IF($A2692="","",$K2692+(5002-ROW())/10000)</f>
        <v/>
      </c>
    </row>
    <row r="2693">
      <c r="K2693">
        <f>IF($A2693="","",SUM($E2693:$J2693))</f>
        <v/>
      </c>
      <c r="M2693">
        <f>IF($A2693="","",MAX(0,ROUNDUP(DASHBOARD!$F$3-$D2693,0)))</f>
        <v/>
      </c>
      <c r="N2693">
        <f>IF($A2693="","",$K2693+(5002-ROW())/10000)</f>
        <v/>
      </c>
    </row>
    <row r="2694">
      <c r="K2694">
        <f>IF($A2694="","",SUM($E2694:$J2694))</f>
        <v/>
      </c>
      <c r="M2694">
        <f>IF($A2694="","",MAX(0,ROUNDUP(DASHBOARD!$F$3-$D2694,0)))</f>
        <v/>
      </c>
      <c r="N2694">
        <f>IF($A2694="","",$K2694+(5002-ROW())/10000)</f>
        <v/>
      </c>
    </row>
    <row r="2695">
      <c r="K2695">
        <f>IF($A2695="","",SUM($E2695:$J2695))</f>
        <v/>
      </c>
      <c r="M2695">
        <f>IF($A2695="","",MAX(0,ROUNDUP(DASHBOARD!$F$3-$D2695,0)))</f>
        <v/>
      </c>
      <c r="N2695">
        <f>IF($A2695="","",$K2695+(5002-ROW())/10000)</f>
        <v/>
      </c>
    </row>
    <row r="2696">
      <c r="K2696">
        <f>IF($A2696="","",SUM($E2696:$J2696))</f>
        <v/>
      </c>
      <c r="M2696">
        <f>IF($A2696="","",MAX(0,ROUNDUP(DASHBOARD!$F$3-$D2696,0)))</f>
        <v/>
      </c>
      <c r="N2696">
        <f>IF($A2696="","",$K2696+(5002-ROW())/10000)</f>
        <v/>
      </c>
    </row>
    <row r="2697">
      <c r="K2697">
        <f>IF($A2697="","",SUM($E2697:$J2697))</f>
        <v/>
      </c>
      <c r="M2697">
        <f>IF($A2697="","",MAX(0,ROUNDUP(DASHBOARD!$F$3-$D2697,0)))</f>
        <v/>
      </c>
      <c r="N2697">
        <f>IF($A2697="","",$K2697+(5002-ROW())/10000)</f>
        <v/>
      </c>
    </row>
    <row r="2698">
      <c r="K2698">
        <f>IF($A2698="","",SUM($E2698:$J2698))</f>
        <v/>
      </c>
      <c r="M2698">
        <f>IF($A2698="","",MAX(0,ROUNDUP(DASHBOARD!$F$3-$D2698,0)))</f>
        <v/>
      </c>
      <c r="N2698">
        <f>IF($A2698="","",$K2698+(5002-ROW())/10000)</f>
        <v/>
      </c>
    </row>
    <row r="2699">
      <c r="K2699">
        <f>IF($A2699="","",SUM($E2699:$J2699))</f>
        <v/>
      </c>
      <c r="M2699">
        <f>IF($A2699="","",MAX(0,ROUNDUP(DASHBOARD!$F$3-$D2699,0)))</f>
        <v/>
      </c>
      <c r="N2699">
        <f>IF($A2699="","",$K2699+(5002-ROW())/10000)</f>
        <v/>
      </c>
    </row>
    <row r="2700">
      <c r="K2700">
        <f>IF($A2700="","",SUM($E2700:$J2700))</f>
        <v/>
      </c>
      <c r="M2700">
        <f>IF($A2700="","",MAX(0,ROUNDUP(DASHBOARD!$F$3-$D2700,0)))</f>
        <v/>
      </c>
      <c r="N2700">
        <f>IF($A2700="","",$K2700+(5002-ROW())/10000)</f>
        <v/>
      </c>
    </row>
    <row r="2701">
      <c r="K2701">
        <f>IF($A2701="","",SUM($E2701:$J2701))</f>
        <v/>
      </c>
      <c r="M2701">
        <f>IF($A2701="","",MAX(0,ROUNDUP(DASHBOARD!$F$3-$D2701,0)))</f>
        <v/>
      </c>
      <c r="N2701">
        <f>IF($A2701="","",$K2701+(5002-ROW())/10000)</f>
        <v/>
      </c>
    </row>
    <row r="2702">
      <c r="K2702">
        <f>IF($A2702="","",SUM($E2702:$J2702))</f>
        <v/>
      </c>
      <c r="M2702">
        <f>IF($A2702="","",MAX(0,ROUNDUP(DASHBOARD!$F$3-$D2702,0)))</f>
        <v/>
      </c>
      <c r="N2702">
        <f>IF($A2702="","",$K2702+(5002-ROW())/10000)</f>
        <v/>
      </c>
    </row>
    <row r="2703">
      <c r="K2703">
        <f>IF($A2703="","",SUM($E2703:$J2703))</f>
        <v/>
      </c>
      <c r="M2703">
        <f>IF($A2703="","",MAX(0,ROUNDUP(DASHBOARD!$F$3-$D2703,0)))</f>
        <v/>
      </c>
      <c r="N2703">
        <f>IF($A2703="","",$K2703+(5002-ROW())/10000)</f>
        <v/>
      </c>
    </row>
    <row r="2704">
      <c r="K2704">
        <f>IF($A2704="","",SUM($E2704:$J2704))</f>
        <v/>
      </c>
      <c r="M2704">
        <f>IF($A2704="","",MAX(0,ROUNDUP(DASHBOARD!$F$3-$D2704,0)))</f>
        <v/>
      </c>
      <c r="N2704">
        <f>IF($A2704="","",$K2704+(5002-ROW())/10000)</f>
        <v/>
      </c>
    </row>
    <row r="2705">
      <c r="K2705">
        <f>IF($A2705="","",SUM($E2705:$J2705))</f>
        <v/>
      </c>
      <c r="M2705">
        <f>IF($A2705="","",MAX(0,ROUNDUP(DASHBOARD!$F$3-$D2705,0)))</f>
        <v/>
      </c>
      <c r="N2705">
        <f>IF($A2705="","",$K2705+(5002-ROW())/10000)</f>
        <v/>
      </c>
    </row>
    <row r="2706">
      <c r="K2706">
        <f>IF($A2706="","",SUM($E2706:$J2706))</f>
        <v/>
      </c>
      <c r="M2706">
        <f>IF($A2706="","",MAX(0,ROUNDUP(DASHBOARD!$F$3-$D2706,0)))</f>
        <v/>
      </c>
      <c r="N2706">
        <f>IF($A2706="","",$K2706+(5002-ROW())/10000)</f>
        <v/>
      </c>
    </row>
    <row r="2707">
      <c r="K2707">
        <f>IF($A2707="","",SUM($E2707:$J2707))</f>
        <v/>
      </c>
      <c r="M2707">
        <f>IF($A2707="","",MAX(0,ROUNDUP(DASHBOARD!$F$3-$D2707,0)))</f>
        <v/>
      </c>
      <c r="N2707">
        <f>IF($A2707="","",$K2707+(5002-ROW())/10000)</f>
        <v/>
      </c>
    </row>
    <row r="2708">
      <c r="K2708">
        <f>IF($A2708="","",SUM($E2708:$J2708))</f>
        <v/>
      </c>
      <c r="M2708">
        <f>IF($A2708="","",MAX(0,ROUNDUP(DASHBOARD!$F$3-$D2708,0)))</f>
        <v/>
      </c>
      <c r="N2708">
        <f>IF($A2708="","",$K2708+(5002-ROW())/10000)</f>
        <v/>
      </c>
    </row>
    <row r="2709">
      <c r="K2709">
        <f>IF($A2709="","",SUM($E2709:$J2709))</f>
        <v/>
      </c>
      <c r="M2709">
        <f>IF($A2709="","",MAX(0,ROUNDUP(DASHBOARD!$F$3-$D2709,0)))</f>
        <v/>
      </c>
      <c r="N2709">
        <f>IF($A2709="","",$K2709+(5002-ROW())/10000)</f>
        <v/>
      </c>
    </row>
    <row r="2710">
      <c r="K2710">
        <f>IF($A2710="","",SUM($E2710:$J2710))</f>
        <v/>
      </c>
      <c r="M2710">
        <f>IF($A2710="","",MAX(0,ROUNDUP(DASHBOARD!$F$3-$D2710,0)))</f>
        <v/>
      </c>
      <c r="N2710">
        <f>IF($A2710="","",$K2710+(5002-ROW())/10000)</f>
        <v/>
      </c>
    </row>
    <row r="2711">
      <c r="K2711">
        <f>IF($A2711="","",SUM($E2711:$J2711))</f>
        <v/>
      </c>
      <c r="M2711">
        <f>IF($A2711="","",MAX(0,ROUNDUP(DASHBOARD!$F$3-$D2711,0)))</f>
        <v/>
      </c>
      <c r="N2711">
        <f>IF($A2711="","",$K2711+(5002-ROW())/10000)</f>
        <v/>
      </c>
    </row>
    <row r="2712">
      <c r="K2712">
        <f>IF($A2712="","",SUM($E2712:$J2712))</f>
        <v/>
      </c>
      <c r="M2712">
        <f>IF($A2712="","",MAX(0,ROUNDUP(DASHBOARD!$F$3-$D2712,0)))</f>
        <v/>
      </c>
      <c r="N2712">
        <f>IF($A2712="","",$K2712+(5002-ROW())/10000)</f>
        <v/>
      </c>
    </row>
    <row r="2713">
      <c r="K2713">
        <f>IF($A2713="","",SUM($E2713:$J2713))</f>
        <v/>
      </c>
      <c r="M2713">
        <f>IF($A2713="","",MAX(0,ROUNDUP(DASHBOARD!$F$3-$D2713,0)))</f>
        <v/>
      </c>
      <c r="N2713">
        <f>IF($A2713="","",$K2713+(5002-ROW())/10000)</f>
        <v/>
      </c>
    </row>
    <row r="2714">
      <c r="K2714">
        <f>IF($A2714="","",SUM($E2714:$J2714))</f>
        <v/>
      </c>
      <c r="M2714">
        <f>IF($A2714="","",MAX(0,ROUNDUP(DASHBOARD!$F$3-$D2714,0)))</f>
        <v/>
      </c>
      <c r="N2714">
        <f>IF($A2714="","",$K2714+(5002-ROW())/10000)</f>
        <v/>
      </c>
    </row>
    <row r="2715">
      <c r="K2715">
        <f>IF($A2715="","",SUM($E2715:$J2715))</f>
        <v/>
      </c>
      <c r="M2715">
        <f>IF($A2715="","",MAX(0,ROUNDUP(DASHBOARD!$F$3-$D2715,0)))</f>
        <v/>
      </c>
      <c r="N2715">
        <f>IF($A2715="","",$K2715+(5002-ROW())/10000)</f>
        <v/>
      </c>
    </row>
    <row r="2716">
      <c r="K2716">
        <f>IF($A2716="","",SUM($E2716:$J2716))</f>
        <v/>
      </c>
      <c r="M2716">
        <f>IF($A2716="","",MAX(0,ROUNDUP(DASHBOARD!$F$3-$D2716,0)))</f>
        <v/>
      </c>
      <c r="N2716">
        <f>IF($A2716="","",$K2716+(5002-ROW())/10000)</f>
        <v/>
      </c>
    </row>
    <row r="2717">
      <c r="K2717">
        <f>IF($A2717="","",SUM($E2717:$J2717))</f>
        <v/>
      </c>
      <c r="M2717">
        <f>IF($A2717="","",MAX(0,ROUNDUP(DASHBOARD!$F$3-$D2717,0)))</f>
        <v/>
      </c>
      <c r="N2717">
        <f>IF($A2717="","",$K2717+(5002-ROW())/10000)</f>
        <v/>
      </c>
    </row>
    <row r="2718">
      <c r="K2718">
        <f>IF($A2718="","",SUM($E2718:$J2718))</f>
        <v/>
      </c>
      <c r="M2718">
        <f>IF($A2718="","",MAX(0,ROUNDUP(DASHBOARD!$F$3-$D2718,0)))</f>
        <v/>
      </c>
      <c r="N2718">
        <f>IF($A2718="","",$K2718+(5002-ROW())/10000)</f>
        <v/>
      </c>
    </row>
    <row r="2719">
      <c r="K2719">
        <f>IF($A2719="","",SUM($E2719:$J2719))</f>
        <v/>
      </c>
      <c r="M2719">
        <f>IF($A2719="","",MAX(0,ROUNDUP(DASHBOARD!$F$3-$D2719,0)))</f>
        <v/>
      </c>
      <c r="N2719">
        <f>IF($A2719="","",$K2719+(5002-ROW())/10000)</f>
        <v/>
      </c>
    </row>
    <row r="2720">
      <c r="K2720">
        <f>IF($A2720="","",SUM($E2720:$J2720))</f>
        <v/>
      </c>
      <c r="M2720">
        <f>IF($A2720="","",MAX(0,ROUNDUP(DASHBOARD!$F$3-$D2720,0)))</f>
        <v/>
      </c>
      <c r="N2720">
        <f>IF($A2720="","",$K2720+(5002-ROW())/10000)</f>
        <v/>
      </c>
    </row>
    <row r="2721">
      <c r="K2721">
        <f>IF($A2721="","",SUM($E2721:$J2721))</f>
        <v/>
      </c>
      <c r="M2721">
        <f>IF($A2721="","",MAX(0,ROUNDUP(DASHBOARD!$F$3-$D2721,0)))</f>
        <v/>
      </c>
      <c r="N2721">
        <f>IF($A2721="","",$K2721+(5002-ROW())/10000)</f>
        <v/>
      </c>
    </row>
    <row r="2722">
      <c r="K2722">
        <f>IF($A2722="","",SUM($E2722:$J2722))</f>
        <v/>
      </c>
      <c r="M2722">
        <f>IF($A2722="","",MAX(0,ROUNDUP(DASHBOARD!$F$3-$D2722,0)))</f>
        <v/>
      </c>
      <c r="N2722">
        <f>IF($A2722="","",$K2722+(5002-ROW())/10000)</f>
        <v/>
      </c>
    </row>
    <row r="2723">
      <c r="K2723">
        <f>IF($A2723="","",SUM($E2723:$J2723))</f>
        <v/>
      </c>
      <c r="M2723">
        <f>IF($A2723="","",MAX(0,ROUNDUP(DASHBOARD!$F$3-$D2723,0)))</f>
        <v/>
      </c>
      <c r="N2723">
        <f>IF($A2723="","",$K2723+(5002-ROW())/10000)</f>
        <v/>
      </c>
    </row>
    <row r="2724">
      <c r="K2724">
        <f>IF($A2724="","",SUM($E2724:$J2724))</f>
        <v/>
      </c>
      <c r="M2724">
        <f>IF($A2724="","",MAX(0,ROUNDUP(DASHBOARD!$F$3-$D2724,0)))</f>
        <v/>
      </c>
      <c r="N2724">
        <f>IF($A2724="","",$K2724+(5002-ROW())/10000)</f>
        <v/>
      </c>
    </row>
    <row r="2725">
      <c r="K2725">
        <f>IF($A2725="","",SUM($E2725:$J2725))</f>
        <v/>
      </c>
      <c r="M2725">
        <f>IF($A2725="","",MAX(0,ROUNDUP(DASHBOARD!$F$3-$D2725,0)))</f>
        <v/>
      </c>
      <c r="N2725">
        <f>IF($A2725="","",$K2725+(5002-ROW())/10000)</f>
        <v/>
      </c>
    </row>
    <row r="2726">
      <c r="K2726">
        <f>IF($A2726="","",SUM($E2726:$J2726))</f>
        <v/>
      </c>
      <c r="M2726">
        <f>IF($A2726="","",MAX(0,ROUNDUP(DASHBOARD!$F$3-$D2726,0)))</f>
        <v/>
      </c>
      <c r="N2726">
        <f>IF($A2726="","",$K2726+(5002-ROW())/10000)</f>
        <v/>
      </c>
    </row>
    <row r="2727">
      <c r="K2727">
        <f>IF($A2727="","",SUM($E2727:$J2727))</f>
        <v/>
      </c>
      <c r="M2727">
        <f>IF($A2727="","",MAX(0,ROUNDUP(DASHBOARD!$F$3-$D2727,0)))</f>
        <v/>
      </c>
      <c r="N2727">
        <f>IF($A2727="","",$K2727+(5002-ROW())/10000)</f>
        <v/>
      </c>
    </row>
    <row r="2728">
      <c r="K2728">
        <f>IF($A2728="","",SUM($E2728:$J2728))</f>
        <v/>
      </c>
      <c r="M2728">
        <f>IF($A2728="","",MAX(0,ROUNDUP(DASHBOARD!$F$3-$D2728,0)))</f>
        <v/>
      </c>
      <c r="N2728">
        <f>IF($A2728="","",$K2728+(5002-ROW())/10000)</f>
        <v/>
      </c>
    </row>
    <row r="2729">
      <c r="K2729">
        <f>IF($A2729="","",SUM($E2729:$J2729))</f>
        <v/>
      </c>
      <c r="M2729">
        <f>IF($A2729="","",MAX(0,ROUNDUP(DASHBOARD!$F$3-$D2729,0)))</f>
        <v/>
      </c>
      <c r="N2729">
        <f>IF($A2729="","",$K2729+(5002-ROW())/10000)</f>
        <v/>
      </c>
    </row>
    <row r="2730">
      <c r="K2730">
        <f>IF($A2730="","",SUM($E2730:$J2730))</f>
        <v/>
      </c>
      <c r="M2730">
        <f>IF($A2730="","",MAX(0,ROUNDUP(DASHBOARD!$F$3-$D2730,0)))</f>
        <v/>
      </c>
      <c r="N2730">
        <f>IF($A2730="","",$K2730+(5002-ROW())/10000)</f>
        <v/>
      </c>
    </row>
    <row r="2731">
      <c r="K2731">
        <f>IF($A2731="","",SUM($E2731:$J2731))</f>
        <v/>
      </c>
      <c r="M2731">
        <f>IF($A2731="","",MAX(0,ROUNDUP(DASHBOARD!$F$3-$D2731,0)))</f>
        <v/>
      </c>
      <c r="N2731">
        <f>IF($A2731="","",$K2731+(5002-ROW())/10000)</f>
        <v/>
      </c>
    </row>
    <row r="2732">
      <c r="K2732">
        <f>IF($A2732="","",SUM($E2732:$J2732))</f>
        <v/>
      </c>
      <c r="M2732">
        <f>IF($A2732="","",MAX(0,ROUNDUP(DASHBOARD!$F$3-$D2732,0)))</f>
        <v/>
      </c>
      <c r="N2732">
        <f>IF($A2732="","",$K2732+(5002-ROW())/10000)</f>
        <v/>
      </c>
    </row>
    <row r="2733">
      <c r="K2733">
        <f>IF($A2733="","",SUM($E2733:$J2733))</f>
        <v/>
      </c>
      <c r="M2733">
        <f>IF($A2733="","",MAX(0,ROUNDUP(DASHBOARD!$F$3-$D2733,0)))</f>
        <v/>
      </c>
      <c r="N2733">
        <f>IF($A2733="","",$K2733+(5002-ROW())/10000)</f>
        <v/>
      </c>
    </row>
    <row r="2734">
      <c r="K2734">
        <f>IF($A2734="","",SUM($E2734:$J2734))</f>
        <v/>
      </c>
      <c r="M2734">
        <f>IF($A2734="","",MAX(0,ROUNDUP(DASHBOARD!$F$3-$D2734,0)))</f>
        <v/>
      </c>
      <c r="N2734">
        <f>IF($A2734="","",$K2734+(5002-ROW())/10000)</f>
        <v/>
      </c>
    </row>
    <row r="2735">
      <c r="K2735">
        <f>IF($A2735="","",SUM($E2735:$J2735))</f>
        <v/>
      </c>
      <c r="M2735">
        <f>IF($A2735="","",MAX(0,ROUNDUP(DASHBOARD!$F$3-$D2735,0)))</f>
        <v/>
      </c>
      <c r="N2735">
        <f>IF($A2735="","",$K2735+(5002-ROW())/10000)</f>
        <v/>
      </c>
    </row>
    <row r="2736">
      <c r="K2736">
        <f>IF($A2736="","",SUM($E2736:$J2736))</f>
        <v/>
      </c>
      <c r="M2736">
        <f>IF($A2736="","",MAX(0,ROUNDUP(DASHBOARD!$F$3-$D2736,0)))</f>
        <v/>
      </c>
      <c r="N2736">
        <f>IF($A2736="","",$K2736+(5002-ROW())/10000)</f>
        <v/>
      </c>
    </row>
    <row r="2737">
      <c r="K2737">
        <f>IF($A2737="","",SUM($E2737:$J2737))</f>
        <v/>
      </c>
      <c r="M2737">
        <f>IF($A2737="","",MAX(0,ROUNDUP(DASHBOARD!$F$3-$D2737,0)))</f>
        <v/>
      </c>
      <c r="N2737">
        <f>IF($A2737="","",$K2737+(5002-ROW())/10000)</f>
        <v/>
      </c>
    </row>
    <row r="2738">
      <c r="K2738">
        <f>IF($A2738="","",SUM($E2738:$J2738))</f>
        <v/>
      </c>
      <c r="M2738">
        <f>IF($A2738="","",MAX(0,ROUNDUP(DASHBOARD!$F$3-$D2738,0)))</f>
        <v/>
      </c>
      <c r="N2738">
        <f>IF($A2738="","",$K2738+(5002-ROW())/10000)</f>
        <v/>
      </c>
    </row>
    <row r="2739">
      <c r="K2739">
        <f>IF($A2739="","",SUM($E2739:$J2739))</f>
        <v/>
      </c>
      <c r="M2739">
        <f>IF($A2739="","",MAX(0,ROUNDUP(DASHBOARD!$F$3-$D2739,0)))</f>
        <v/>
      </c>
      <c r="N2739">
        <f>IF($A2739="","",$K2739+(5002-ROW())/10000)</f>
        <v/>
      </c>
    </row>
    <row r="2740">
      <c r="K2740">
        <f>IF($A2740="","",SUM($E2740:$J2740))</f>
        <v/>
      </c>
      <c r="M2740">
        <f>IF($A2740="","",MAX(0,ROUNDUP(DASHBOARD!$F$3-$D2740,0)))</f>
        <v/>
      </c>
      <c r="N2740">
        <f>IF($A2740="","",$K2740+(5002-ROW())/10000)</f>
        <v/>
      </c>
    </row>
    <row r="2741">
      <c r="K2741">
        <f>IF($A2741="","",SUM($E2741:$J2741))</f>
        <v/>
      </c>
      <c r="M2741">
        <f>IF($A2741="","",MAX(0,ROUNDUP(DASHBOARD!$F$3-$D2741,0)))</f>
        <v/>
      </c>
      <c r="N2741">
        <f>IF($A2741="","",$K2741+(5002-ROW())/10000)</f>
        <v/>
      </c>
    </row>
    <row r="2742">
      <c r="K2742">
        <f>IF($A2742="","",SUM($E2742:$J2742))</f>
        <v/>
      </c>
      <c r="M2742">
        <f>IF($A2742="","",MAX(0,ROUNDUP(DASHBOARD!$F$3-$D2742,0)))</f>
        <v/>
      </c>
      <c r="N2742">
        <f>IF($A2742="","",$K2742+(5002-ROW())/10000)</f>
        <v/>
      </c>
    </row>
    <row r="2743">
      <c r="K2743">
        <f>IF($A2743="","",SUM($E2743:$J2743))</f>
        <v/>
      </c>
      <c r="M2743">
        <f>IF($A2743="","",MAX(0,ROUNDUP(DASHBOARD!$F$3-$D2743,0)))</f>
        <v/>
      </c>
      <c r="N2743">
        <f>IF($A2743="","",$K2743+(5002-ROW())/10000)</f>
        <v/>
      </c>
    </row>
    <row r="2744">
      <c r="K2744">
        <f>IF($A2744="","",SUM($E2744:$J2744))</f>
        <v/>
      </c>
      <c r="M2744">
        <f>IF($A2744="","",MAX(0,ROUNDUP(DASHBOARD!$F$3-$D2744,0)))</f>
        <v/>
      </c>
      <c r="N2744">
        <f>IF($A2744="","",$K2744+(5002-ROW())/10000)</f>
        <v/>
      </c>
    </row>
    <row r="2745">
      <c r="K2745">
        <f>IF($A2745="","",SUM($E2745:$J2745))</f>
        <v/>
      </c>
      <c r="M2745">
        <f>IF($A2745="","",MAX(0,ROUNDUP(DASHBOARD!$F$3-$D2745,0)))</f>
        <v/>
      </c>
      <c r="N2745">
        <f>IF($A2745="","",$K2745+(5002-ROW())/10000)</f>
        <v/>
      </c>
    </row>
    <row r="2746">
      <c r="K2746">
        <f>IF($A2746="","",SUM($E2746:$J2746))</f>
        <v/>
      </c>
      <c r="M2746">
        <f>IF($A2746="","",MAX(0,ROUNDUP(DASHBOARD!$F$3-$D2746,0)))</f>
        <v/>
      </c>
      <c r="N2746">
        <f>IF($A2746="","",$K2746+(5002-ROW())/10000)</f>
        <v/>
      </c>
    </row>
    <row r="2747">
      <c r="K2747">
        <f>IF($A2747="","",SUM($E2747:$J2747))</f>
        <v/>
      </c>
      <c r="M2747">
        <f>IF($A2747="","",MAX(0,ROUNDUP(DASHBOARD!$F$3-$D2747,0)))</f>
        <v/>
      </c>
      <c r="N2747">
        <f>IF($A2747="","",$K2747+(5002-ROW())/10000)</f>
        <v/>
      </c>
    </row>
    <row r="2748">
      <c r="K2748">
        <f>IF($A2748="","",SUM($E2748:$J2748))</f>
        <v/>
      </c>
      <c r="M2748">
        <f>IF($A2748="","",MAX(0,ROUNDUP(DASHBOARD!$F$3-$D2748,0)))</f>
        <v/>
      </c>
      <c r="N2748">
        <f>IF($A2748="","",$K2748+(5002-ROW())/10000)</f>
        <v/>
      </c>
    </row>
    <row r="2749">
      <c r="K2749">
        <f>IF($A2749="","",SUM($E2749:$J2749))</f>
        <v/>
      </c>
      <c r="M2749">
        <f>IF($A2749="","",MAX(0,ROUNDUP(DASHBOARD!$F$3-$D2749,0)))</f>
        <v/>
      </c>
      <c r="N2749">
        <f>IF($A2749="","",$K2749+(5002-ROW())/10000)</f>
        <v/>
      </c>
    </row>
    <row r="2750">
      <c r="K2750">
        <f>IF($A2750="","",SUM($E2750:$J2750))</f>
        <v/>
      </c>
      <c r="M2750">
        <f>IF($A2750="","",MAX(0,ROUNDUP(DASHBOARD!$F$3-$D2750,0)))</f>
        <v/>
      </c>
      <c r="N2750">
        <f>IF($A2750="","",$K2750+(5002-ROW())/10000)</f>
        <v/>
      </c>
    </row>
    <row r="2751">
      <c r="K2751">
        <f>IF($A2751="","",SUM($E2751:$J2751))</f>
        <v/>
      </c>
      <c r="M2751">
        <f>IF($A2751="","",MAX(0,ROUNDUP(DASHBOARD!$F$3-$D2751,0)))</f>
        <v/>
      </c>
      <c r="N2751">
        <f>IF($A2751="","",$K2751+(5002-ROW())/10000)</f>
        <v/>
      </c>
    </row>
    <row r="2752">
      <c r="K2752">
        <f>IF($A2752="","",SUM($E2752:$J2752))</f>
        <v/>
      </c>
      <c r="M2752">
        <f>IF($A2752="","",MAX(0,ROUNDUP(DASHBOARD!$F$3-$D2752,0)))</f>
        <v/>
      </c>
      <c r="N2752">
        <f>IF($A2752="","",$K2752+(5002-ROW())/10000)</f>
        <v/>
      </c>
    </row>
    <row r="2753">
      <c r="K2753">
        <f>IF($A2753="","",SUM($E2753:$J2753))</f>
        <v/>
      </c>
      <c r="M2753">
        <f>IF($A2753="","",MAX(0,ROUNDUP(DASHBOARD!$F$3-$D2753,0)))</f>
        <v/>
      </c>
      <c r="N2753">
        <f>IF($A2753="","",$K2753+(5002-ROW())/10000)</f>
        <v/>
      </c>
    </row>
    <row r="2754">
      <c r="K2754">
        <f>IF($A2754="","",SUM($E2754:$J2754))</f>
        <v/>
      </c>
      <c r="M2754">
        <f>IF($A2754="","",MAX(0,ROUNDUP(DASHBOARD!$F$3-$D2754,0)))</f>
        <v/>
      </c>
      <c r="N2754">
        <f>IF($A2754="","",$K2754+(5002-ROW())/10000)</f>
        <v/>
      </c>
    </row>
    <row r="2755">
      <c r="K2755">
        <f>IF($A2755="","",SUM($E2755:$J2755))</f>
        <v/>
      </c>
      <c r="M2755">
        <f>IF($A2755="","",MAX(0,ROUNDUP(DASHBOARD!$F$3-$D2755,0)))</f>
        <v/>
      </c>
      <c r="N2755">
        <f>IF($A2755="","",$K2755+(5002-ROW())/10000)</f>
        <v/>
      </c>
    </row>
    <row r="2756">
      <c r="K2756">
        <f>IF($A2756="","",SUM($E2756:$J2756))</f>
        <v/>
      </c>
      <c r="M2756">
        <f>IF($A2756="","",MAX(0,ROUNDUP(DASHBOARD!$F$3-$D2756,0)))</f>
        <v/>
      </c>
      <c r="N2756">
        <f>IF($A2756="","",$K2756+(5002-ROW())/10000)</f>
        <v/>
      </c>
    </row>
    <row r="2757">
      <c r="K2757">
        <f>IF($A2757="","",SUM($E2757:$J2757))</f>
        <v/>
      </c>
      <c r="M2757">
        <f>IF($A2757="","",MAX(0,ROUNDUP(DASHBOARD!$F$3-$D2757,0)))</f>
        <v/>
      </c>
      <c r="N2757">
        <f>IF($A2757="","",$K2757+(5002-ROW())/10000)</f>
        <v/>
      </c>
    </row>
    <row r="2758">
      <c r="K2758">
        <f>IF($A2758="","",SUM($E2758:$J2758))</f>
        <v/>
      </c>
      <c r="M2758">
        <f>IF($A2758="","",MAX(0,ROUNDUP(DASHBOARD!$F$3-$D2758,0)))</f>
        <v/>
      </c>
      <c r="N2758">
        <f>IF($A2758="","",$K2758+(5002-ROW())/10000)</f>
        <v/>
      </c>
    </row>
    <row r="2759">
      <c r="K2759">
        <f>IF($A2759="","",SUM($E2759:$J2759))</f>
        <v/>
      </c>
      <c r="M2759">
        <f>IF($A2759="","",MAX(0,ROUNDUP(DASHBOARD!$F$3-$D2759,0)))</f>
        <v/>
      </c>
      <c r="N2759">
        <f>IF($A2759="","",$K2759+(5002-ROW())/10000)</f>
        <v/>
      </c>
    </row>
    <row r="2760">
      <c r="K2760">
        <f>IF($A2760="","",SUM($E2760:$J2760))</f>
        <v/>
      </c>
      <c r="M2760">
        <f>IF($A2760="","",MAX(0,ROUNDUP(DASHBOARD!$F$3-$D2760,0)))</f>
        <v/>
      </c>
      <c r="N2760">
        <f>IF($A2760="","",$K2760+(5002-ROW())/10000)</f>
        <v/>
      </c>
    </row>
    <row r="2761">
      <c r="K2761">
        <f>IF($A2761="","",SUM($E2761:$J2761))</f>
        <v/>
      </c>
      <c r="M2761">
        <f>IF($A2761="","",MAX(0,ROUNDUP(DASHBOARD!$F$3-$D2761,0)))</f>
        <v/>
      </c>
      <c r="N2761">
        <f>IF($A2761="","",$K2761+(5002-ROW())/10000)</f>
        <v/>
      </c>
    </row>
    <row r="2762">
      <c r="K2762">
        <f>IF($A2762="","",SUM($E2762:$J2762))</f>
        <v/>
      </c>
      <c r="M2762">
        <f>IF($A2762="","",MAX(0,ROUNDUP(DASHBOARD!$F$3-$D2762,0)))</f>
        <v/>
      </c>
      <c r="N2762">
        <f>IF($A2762="","",$K2762+(5002-ROW())/10000)</f>
        <v/>
      </c>
    </row>
    <row r="2763">
      <c r="K2763">
        <f>IF($A2763="","",SUM($E2763:$J2763))</f>
        <v/>
      </c>
      <c r="M2763">
        <f>IF($A2763="","",MAX(0,ROUNDUP(DASHBOARD!$F$3-$D2763,0)))</f>
        <v/>
      </c>
      <c r="N2763">
        <f>IF($A2763="","",$K2763+(5002-ROW())/10000)</f>
        <v/>
      </c>
    </row>
    <row r="2764">
      <c r="K2764">
        <f>IF($A2764="","",SUM($E2764:$J2764))</f>
        <v/>
      </c>
      <c r="M2764">
        <f>IF($A2764="","",MAX(0,ROUNDUP(DASHBOARD!$F$3-$D2764,0)))</f>
        <v/>
      </c>
      <c r="N2764">
        <f>IF($A2764="","",$K2764+(5002-ROW())/10000)</f>
        <v/>
      </c>
    </row>
    <row r="2765">
      <c r="K2765">
        <f>IF($A2765="","",SUM($E2765:$J2765))</f>
        <v/>
      </c>
      <c r="M2765">
        <f>IF($A2765="","",MAX(0,ROUNDUP(DASHBOARD!$F$3-$D2765,0)))</f>
        <v/>
      </c>
      <c r="N2765">
        <f>IF($A2765="","",$K2765+(5002-ROW())/10000)</f>
        <v/>
      </c>
    </row>
    <row r="2766">
      <c r="K2766">
        <f>IF($A2766="","",SUM($E2766:$J2766))</f>
        <v/>
      </c>
      <c r="M2766">
        <f>IF($A2766="","",MAX(0,ROUNDUP(DASHBOARD!$F$3-$D2766,0)))</f>
        <v/>
      </c>
      <c r="N2766">
        <f>IF($A2766="","",$K2766+(5002-ROW())/10000)</f>
        <v/>
      </c>
    </row>
    <row r="2767">
      <c r="K2767">
        <f>IF($A2767="","",SUM($E2767:$J2767))</f>
        <v/>
      </c>
      <c r="M2767">
        <f>IF($A2767="","",MAX(0,ROUNDUP(DASHBOARD!$F$3-$D2767,0)))</f>
        <v/>
      </c>
      <c r="N2767">
        <f>IF($A2767="","",$K2767+(5002-ROW())/10000)</f>
        <v/>
      </c>
    </row>
    <row r="2768">
      <c r="K2768">
        <f>IF($A2768="","",SUM($E2768:$J2768))</f>
        <v/>
      </c>
      <c r="M2768">
        <f>IF($A2768="","",MAX(0,ROUNDUP(DASHBOARD!$F$3-$D2768,0)))</f>
        <v/>
      </c>
      <c r="N2768">
        <f>IF($A2768="","",$K2768+(5002-ROW())/10000)</f>
        <v/>
      </c>
    </row>
    <row r="2769">
      <c r="K2769">
        <f>IF($A2769="","",SUM($E2769:$J2769))</f>
        <v/>
      </c>
      <c r="M2769">
        <f>IF($A2769="","",MAX(0,ROUNDUP(DASHBOARD!$F$3-$D2769,0)))</f>
        <v/>
      </c>
      <c r="N2769">
        <f>IF($A2769="","",$K2769+(5002-ROW())/10000)</f>
        <v/>
      </c>
    </row>
    <row r="2770">
      <c r="K2770">
        <f>IF($A2770="","",SUM($E2770:$J2770))</f>
        <v/>
      </c>
      <c r="M2770">
        <f>IF($A2770="","",MAX(0,ROUNDUP(DASHBOARD!$F$3-$D2770,0)))</f>
        <v/>
      </c>
      <c r="N2770">
        <f>IF($A2770="","",$K2770+(5002-ROW())/10000)</f>
        <v/>
      </c>
    </row>
    <row r="2771">
      <c r="K2771">
        <f>IF($A2771="","",SUM($E2771:$J2771))</f>
        <v/>
      </c>
      <c r="M2771">
        <f>IF($A2771="","",MAX(0,ROUNDUP(DASHBOARD!$F$3-$D2771,0)))</f>
        <v/>
      </c>
      <c r="N2771">
        <f>IF($A2771="","",$K2771+(5002-ROW())/10000)</f>
        <v/>
      </c>
    </row>
    <row r="2772">
      <c r="K2772">
        <f>IF($A2772="","",SUM($E2772:$J2772))</f>
        <v/>
      </c>
      <c r="M2772">
        <f>IF($A2772="","",MAX(0,ROUNDUP(DASHBOARD!$F$3-$D2772,0)))</f>
        <v/>
      </c>
      <c r="N2772">
        <f>IF($A2772="","",$K2772+(5002-ROW())/10000)</f>
        <v/>
      </c>
    </row>
    <row r="2773">
      <c r="K2773">
        <f>IF($A2773="","",SUM($E2773:$J2773))</f>
        <v/>
      </c>
      <c r="M2773">
        <f>IF($A2773="","",MAX(0,ROUNDUP(DASHBOARD!$F$3-$D2773,0)))</f>
        <v/>
      </c>
      <c r="N2773">
        <f>IF($A2773="","",$K2773+(5002-ROW())/10000)</f>
        <v/>
      </c>
    </row>
    <row r="2774">
      <c r="K2774">
        <f>IF($A2774="","",SUM($E2774:$J2774))</f>
        <v/>
      </c>
      <c r="M2774">
        <f>IF($A2774="","",MAX(0,ROUNDUP(DASHBOARD!$F$3-$D2774,0)))</f>
        <v/>
      </c>
      <c r="N2774">
        <f>IF($A2774="","",$K2774+(5002-ROW())/10000)</f>
        <v/>
      </c>
    </row>
    <row r="2775">
      <c r="K2775">
        <f>IF($A2775="","",SUM($E2775:$J2775))</f>
        <v/>
      </c>
      <c r="M2775">
        <f>IF($A2775="","",MAX(0,ROUNDUP(DASHBOARD!$F$3-$D2775,0)))</f>
        <v/>
      </c>
      <c r="N2775">
        <f>IF($A2775="","",$K2775+(5002-ROW())/10000)</f>
        <v/>
      </c>
    </row>
    <row r="2776">
      <c r="K2776">
        <f>IF($A2776="","",SUM($E2776:$J2776))</f>
        <v/>
      </c>
      <c r="M2776">
        <f>IF($A2776="","",MAX(0,ROUNDUP(DASHBOARD!$F$3-$D2776,0)))</f>
        <v/>
      </c>
      <c r="N2776">
        <f>IF($A2776="","",$K2776+(5002-ROW())/10000)</f>
        <v/>
      </c>
    </row>
    <row r="2777">
      <c r="K2777">
        <f>IF($A2777="","",SUM($E2777:$J2777))</f>
        <v/>
      </c>
      <c r="M2777">
        <f>IF($A2777="","",MAX(0,ROUNDUP(DASHBOARD!$F$3-$D2777,0)))</f>
        <v/>
      </c>
      <c r="N2777">
        <f>IF($A2777="","",$K2777+(5002-ROW())/10000)</f>
        <v/>
      </c>
    </row>
    <row r="2778">
      <c r="K2778">
        <f>IF($A2778="","",SUM($E2778:$J2778))</f>
        <v/>
      </c>
      <c r="M2778">
        <f>IF($A2778="","",MAX(0,ROUNDUP(DASHBOARD!$F$3-$D2778,0)))</f>
        <v/>
      </c>
      <c r="N2778">
        <f>IF($A2778="","",$K2778+(5002-ROW())/10000)</f>
        <v/>
      </c>
    </row>
    <row r="2779">
      <c r="K2779">
        <f>IF($A2779="","",SUM($E2779:$J2779))</f>
        <v/>
      </c>
      <c r="M2779">
        <f>IF($A2779="","",MAX(0,ROUNDUP(DASHBOARD!$F$3-$D2779,0)))</f>
        <v/>
      </c>
      <c r="N2779">
        <f>IF($A2779="","",$K2779+(5002-ROW())/10000)</f>
        <v/>
      </c>
    </row>
    <row r="2780">
      <c r="K2780">
        <f>IF($A2780="","",SUM($E2780:$J2780))</f>
        <v/>
      </c>
      <c r="M2780">
        <f>IF($A2780="","",MAX(0,ROUNDUP(DASHBOARD!$F$3-$D2780,0)))</f>
        <v/>
      </c>
      <c r="N2780">
        <f>IF($A2780="","",$K2780+(5002-ROW())/10000)</f>
        <v/>
      </c>
    </row>
    <row r="2781">
      <c r="K2781">
        <f>IF($A2781="","",SUM($E2781:$J2781))</f>
        <v/>
      </c>
      <c r="M2781">
        <f>IF($A2781="","",MAX(0,ROUNDUP(DASHBOARD!$F$3-$D2781,0)))</f>
        <v/>
      </c>
      <c r="N2781">
        <f>IF($A2781="","",$K2781+(5002-ROW())/10000)</f>
        <v/>
      </c>
    </row>
    <row r="2782">
      <c r="K2782">
        <f>IF($A2782="","",SUM($E2782:$J2782))</f>
        <v/>
      </c>
      <c r="M2782">
        <f>IF($A2782="","",MAX(0,ROUNDUP(DASHBOARD!$F$3-$D2782,0)))</f>
        <v/>
      </c>
      <c r="N2782">
        <f>IF($A2782="","",$K2782+(5002-ROW())/10000)</f>
        <v/>
      </c>
    </row>
    <row r="2783">
      <c r="K2783">
        <f>IF($A2783="","",SUM($E2783:$J2783))</f>
        <v/>
      </c>
      <c r="M2783">
        <f>IF($A2783="","",MAX(0,ROUNDUP(DASHBOARD!$F$3-$D2783,0)))</f>
        <v/>
      </c>
      <c r="N2783">
        <f>IF($A2783="","",$K2783+(5002-ROW())/10000)</f>
        <v/>
      </c>
    </row>
    <row r="2784">
      <c r="K2784">
        <f>IF($A2784="","",SUM($E2784:$J2784))</f>
        <v/>
      </c>
      <c r="M2784">
        <f>IF($A2784="","",MAX(0,ROUNDUP(DASHBOARD!$F$3-$D2784,0)))</f>
        <v/>
      </c>
      <c r="N2784">
        <f>IF($A2784="","",$K2784+(5002-ROW())/10000)</f>
        <v/>
      </c>
    </row>
    <row r="2785">
      <c r="K2785">
        <f>IF($A2785="","",SUM($E2785:$J2785))</f>
        <v/>
      </c>
      <c r="M2785">
        <f>IF($A2785="","",MAX(0,ROUNDUP(DASHBOARD!$F$3-$D2785,0)))</f>
        <v/>
      </c>
      <c r="N2785">
        <f>IF($A2785="","",$K2785+(5002-ROW())/10000)</f>
        <v/>
      </c>
    </row>
    <row r="2786">
      <c r="K2786">
        <f>IF($A2786="","",SUM($E2786:$J2786))</f>
        <v/>
      </c>
      <c r="M2786">
        <f>IF($A2786="","",MAX(0,ROUNDUP(DASHBOARD!$F$3-$D2786,0)))</f>
        <v/>
      </c>
      <c r="N2786">
        <f>IF($A2786="","",$K2786+(5002-ROW())/10000)</f>
        <v/>
      </c>
    </row>
    <row r="2787">
      <c r="K2787">
        <f>IF($A2787="","",SUM($E2787:$J2787))</f>
        <v/>
      </c>
      <c r="M2787">
        <f>IF($A2787="","",MAX(0,ROUNDUP(DASHBOARD!$F$3-$D2787,0)))</f>
        <v/>
      </c>
      <c r="N2787">
        <f>IF($A2787="","",$K2787+(5002-ROW())/10000)</f>
        <v/>
      </c>
    </row>
    <row r="2788">
      <c r="K2788">
        <f>IF($A2788="","",SUM($E2788:$J2788))</f>
        <v/>
      </c>
      <c r="M2788">
        <f>IF($A2788="","",MAX(0,ROUNDUP(DASHBOARD!$F$3-$D2788,0)))</f>
        <v/>
      </c>
      <c r="N2788">
        <f>IF($A2788="","",$K2788+(5002-ROW())/10000)</f>
        <v/>
      </c>
    </row>
    <row r="2789">
      <c r="K2789">
        <f>IF($A2789="","",SUM($E2789:$J2789))</f>
        <v/>
      </c>
      <c r="M2789">
        <f>IF($A2789="","",MAX(0,ROUNDUP(DASHBOARD!$F$3-$D2789,0)))</f>
        <v/>
      </c>
      <c r="N2789">
        <f>IF($A2789="","",$K2789+(5002-ROW())/10000)</f>
        <v/>
      </c>
    </row>
    <row r="2790">
      <c r="K2790">
        <f>IF($A2790="","",SUM($E2790:$J2790))</f>
        <v/>
      </c>
      <c r="M2790">
        <f>IF($A2790="","",MAX(0,ROUNDUP(DASHBOARD!$F$3-$D2790,0)))</f>
        <v/>
      </c>
      <c r="N2790">
        <f>IF($A2790="","",$K2790+(5002-ROW())/10000)</f>
        <v/>
      </c>
    </row>
    <row r="2791">
      <c r="K2791">
        <f>IF($A2791="","",SUM($E2791:$J2791))</f>
        <v/>
      </c>
      <c r="M2791">
        <f>IF($A2791="","",MAX(0,ROUNDUP(DASHBOARD!$F$3-$D2791,0)))</f>
        <v/>
      </c>
      <c r="N2791">
        <f>IF($A2791="","",$K2791+(5002-ROW())/10000)</f>
        <v/>
      </c>
    </row>
    <row r="2792">
      <c r="K2792">
        <f>IF($A2792="","",SUM($E2792:$J2792))</f>
        <v/>
      </c>
      <c r="M2792">
        <f>IF($A2792="","",MAX(0,ROUNDUP(DASHBOARD!$F$3-$D2792,0)))</f>
        <v/>
      </c>
      <c r="N2792">
        <f>IF($A2792="","",$K2792+(5002-ROW())/10000)</f>
        <v/>
      </c>
    </row>
    <row r="2793">
      <c r="K2793">
        <f>IF($A2793="","",SUM($E2793:$J2793))</f>
        <v/>
      </c>
      <c r="M2793">
        <f>IF($A2793="","",MAX(0,ROUNDUP(DASHBOARD!$F$3-$D2793,0)))</f>
        <v/>
      </c>
      <c r="N2793">
        <f>IF($A2793="","",$K2793+(5002-ROW())/10000)</f>
        <v/>
      </c>
    </row>
    <row r="2794">
      <c r="K2794">
        <f>IF($A2794="","",SUM($E2794:$J2794))</f>
        <v/>
      </c>
      <c r="M2794">
        <f>IF($A2794="","",MAX(0,ROUNDUP(DASHBOARD!$F$3-$D2794,0)))</f>
        <v/>
      </c>
      <c r="N2794">
        <f>IF($A2794="","",$K2794+(5002-ROW())/10000)</f>
        <v/>
      </c>
    </row>
    <row r="2795">
      <c r="K2795">
        <f>IF($A2795="","",SUM($E2795:$J2795))</f>
        <v/>
      </c>
      <c r="M2795">
        <f>IF($A2795="","",MAX(0,ROUNDUP(DASHBOARD!$F$3-$D2795,0)))</f>
        <v/>
      </c>
      <c r="N2795">
        <f>IF($A2795="","",$K2795+(5002-ROW())/10000)</f>
        <v/>
      </c>
    </row>
    <row r="2796">
      <c r="K2796">
        <f>IF($A2796="","",SUM($E2796:$J2796))</f>
        <v/>
      </c>
      <c r="M2796">
        <f>IF($A2796="","",MAX(0,ROUNDUP(DASHBOARD!$F$3-$D2796,0)))</f>
        <v/>
      </c>
      <c r="N2796">
        <f>IF($A2796="","",$K2796+(5002-ROW())/10000)</f>
        <v/>
      </c>
    </row>
    <row r="2797">
      <c r="K2797">
        <f>IF($A2797="","",SUM($E2797:$J2797))</f>
        <v/>
      </c>
      <c r="M2797">
        <f>IF($A2797="","",MAX(0,ROUNDUP(DASHBOARD!$F$3-$D2797,0)))</f>
        <v/>
      </c>
      <c r="N2797">
        <f>IF($A2797="","",$K2797+(5002-ROW())/10000)</f>
        <v/>
      </c>
    </row>
    <row r="2798">
      <c r="K2798">
        <f>IF($A2798="","",SUM($E2798:$J2798))</f>
        <v/>
      </c>
      <c r="M2798">
        <f>IF($A2798="","",MAX(0,ROUNDUP(DASHBOARD!$F$3-$D2798,0)))</f>
        <v/>
      </c>
      <c r="N2798">
        <f>IF($A2798="","",$K2798+(5002-ROW())/10000)</f>
        <v/>
      </c>
    </row>
    <row r="2799">
      <c r="K2799">
        <f>IF($A2799="","",SUM($E2799:$J2799))</f>
        <v/>
      </c>
      <c r="M2799">
        <f>IF($A2799="","",MAX(0,ROUNDUP(DASHBOARD!$F$3-$D2799,0)))</f>
        <v/>
      </c>
      <c r="N2799">
        <f>IF($A2799="","",$K2799+(5002-ROW())/10000)</f>
        <v/>
      </c>
    </row>
    <row r="2800">
      <c r="K2800">
        <f>IF($A2800="","",SUM($E2800:$J2800))</f>
        <v/>
      </c>
      <c r="M2800">
        <f>IF($A2800="","",MAX(0,ROUNDUP(DASHBOARD!$F$3-$D2800,0)))</f>
        <v/>
      </c>
      <c r="N2800">
        <f>IF($A2800="","",$K2800+(5002-ROW())/10000)</f>
        <v/>
      </c>
    </row>
    <row r="2801">
      <c r="K2801">
        <f>IF($A2801="","",SUM($E2801:$J2801))</f>
        <v/>
      </c>
      <c r="M2801">
        <f>IF($A2801="","",MAX(0,ROUNDUP(DASHBOARD!$F$3-$D2801,0)))</f>
        <v/>
      </c>
      <c r="N2801">
        <f>IF($A2801="","",$K2801+(5002-ROW())/10000)</f>
        <v/>
      </c>
    </row>
    <row r="2802">
      <c r="K2802">
        <f>IF($A2802="","",SUM($E2802:$J2802))</f>
        <v/>
      </c>
      <c r="M2802">
        <f>IF($A2802="","",MAX(0,ROUNDUP(DASHBOARD!$F$3-$D2802,0)))</f>
        <v/>
      </c>
      <c r="N2802">
        <f>IF($A2802="","",$K2802+(5002-ROW())/10000)</f>
        <v/>
      </c>
    </row>
    <row r="2803">
      <c r="K2803">
        <f>IF($A2803="","",SUM($E2803:$J2803))</f>
        <v/>
      </c>
      <c r="M2803">
        <f>IF($A2803="","",MAX(0,ROUNDUP(DASHBOARD!$F$3-$D2803,0)))</f>
        <v/>
      </c>
      <c r="N2803">
        <f>IF($A2803="","",$K2803+(5002-ROW())/10000)</f>
        <v/>
      </c>
    </row>
    <row r="2804">
      <c r="K2804">
        <f>IF($A2804="","",SUM($E2804:$J2804))</f>
        <v/>
      </c>
      <c r="M2804">
        <f>IF($A2804="","",MAX(0,ROUNDUP(DASHBOARD!$F$3-$D2804,0)))</f>
        <v/>
      </c>
      <c r="N2804">
        <f>IF($A2804="","",$K2804+(5002-ROW())/10000)</f>
        <v/>
      </c>
    </row>
    <row r="2805">
      <c r="K2805">
        <f>IF($A2805="","",SUM($E2805:$J2805))</f>
        <v/>
      </c>
      <c r="M2805">
        <f>IF($A2805="","",MAX(0,ROUNDUP(DASHBOARD!$F$3-$D2805,0)))</f>
        <v/>
      </c>
      <c r="N2805">
        <f>IF($A2805="","",$K2805+(5002-ROW())/10000)</f>
        <v/>
      </c>
    </row>
    <row r="2806">
      <c r="K2806">
        <f>IF($A2806="","",SUM($E2806:$J2806))</f>
        <v/>
      </c>
      <c r="M2806">
        <f>IF($A2806="","",MAX(0,ROUNDUP(DASHBOARD!$F$3-$D2806,0)))</f>
        <v/>
      </c>
      <c r="N2806">
        <f>IF($A2806="","",$K2806+(5002-ROW())/10000)</f>
        <v/>
      </c>
    </row>
    <row r="2807">
      <c r="K2807">
        <f>IF($A2807="","",SUM($E2807:$J2807))</f>
        <v/>
      </c>
      <c r="M2807">
        <f>IF($A2807="","",MAX(0,ROUNDUP(DASHBOARD!$F$3-$D2807,0)))</f>
        <v/>
      </c>
      <c r="N2807">
        <f>IF($A2807="","",$K2807+(5002-ROW())/10000)</f>
        <v/>
      </c>
    </row>
    <row r="2808">
      <c r="K2808">
        <f>IF($A2808="","",SUM($E2808:$J2808))</f>
        <v/>
      </c>
      <c r="M2808">
        <f>IF($A2808="","",MAX(0,ROUNDUP(DASHBOARD!$F$3-$D2808,0)))</f>
        <v/>
      </c>
      <c r="N2808">
        <f>IF($A2808="","",$K2808+(5002-ROW())/10000)</f>
        <v/>
      </c>
    </row>
    <row r="2809">
      <c r="K2809">
        <f>IF($A2809="","",SUM($E2809:$J2809))</f>
        <v/>
      </c>
      <c r="M2809">
        <f>IF($A2809="","",MAX(0,ROUNDUP(DASHBOARD!$F$3-$D2809,0)))</f>
        <v/>
      </c>
      <c r="N2809">
        <f>IF($A2809="","",$K2809+(5002-ROW())/10000)</f>
        <v/>
      </c>
    </row>
    <row r="2810">
      <c r="K2810">
        <f>IF($A2810="","",SUM($E2810:$J2810))</f>
        <v/>
      </c>
      <c r="M2810">
        <f>IF($A2810="","",MAX(0,ROUNDUP(DASHBOARD!$F$3-$D2810,0)))</f>
        <v/>
      </c>
      <c r="N2810">
        <f>IF($A2810="","",$K2810+(5002-ROW())/10000)</f>
        <v/>
      </c>
    </row>
    <row r="2811">
      <c r="K2811">
        <f>IF($A2811="","",SUM($E2811:$J2811))</f>
        <v/>
      </c>
      <c r="M2811">
        <f>IF($A2811="","",MAX(0,ROUNDUP(DASHBOARD!$F$3-$D2811,0)))</f>
        <v/>
      </c>
      <c r="N2811">
        <f>IF($A2811="","",$K2811+(5002-ROW())/10000)</f>
        <v/>
      </c>
    </row>
    <row r="2812">
      <c r="K2812">
        <f>IF($A2812="","",SUM($E2812:$J2812))</f>
        <v/>
      </c>
      <c r="M2812">
        <f>IF($A2812="","",MAX(0,ROUNDUP(DASHBOARD!$F$3-$D2812,0)))</f>
        <v/>
      </c>
      <c r="N2812">
        <f>IF($A2812="","",$K2812+(5002-ROW())/10000)</f>
        <v/>
      </c>
    </row>
    <row r="2813">
      <c r="K2813">
        <f>IF($A2813="","",SUM($E2813:$J2813))</f>
        <v/>
      </c>
      <c r="M2813">
        <f>IF($A2813="","",MAX(0,ROUNDUP(DASHBOARD!$F$3-$D2813,0)))</f>
        <v/>
      </c>
      <c r="N2813">
        <f>IF($A2813="","",$K2813+(5002-ROW())/10000)</f>
        <v/>
      </c>
    </row>
    <row r="2814">
      <c r="K2814">
        <f>IF($A2814="","",SUM($E2814:$J2814))</f>
        <v/>
      </c>
      <c r="M2814">
        <f>IF($A2814="","",MAX(0,ROUNDUP(DASHBOARD!$F$3-$D2814,0)))</f>
        <v/>
      </c>
      <c r="N2814">
        <f>IF($A2814="","",$K2814+(5002-ROW())/10000)</f>
        <v/>
      </c>
    </row>
    <row r="2815">
      <c r="K2815">
        <f>IF($A2815="","",SUM($E2815:$J2815))</f>
        <v/>
      </c>
      <c r="M2815">
        <f>IF($A2815="","",MAX(0,ROUNDUP(DASHBOARD!$F$3-$D2815,0)))</f>
        <v/>
      </c>
      <c r="N2815">
        <f>IF($A2815="","",$K2815+(5002-ROW())/10000)</f>
        <v/>
      </c>
    </row>
    <row r="2816">
      <c r="K2816">
        <f>IF($A2816="","",SUM($E2816:$J2816))</f>
        <v/>
      </c>
      <c r="M2816">
        <f>IF($A2816="","",MAX(0,ROUNDUP(DASHBOARD!$F$3-$D2816,0)))</f>
        <v/>
      </c>
      <c r="N2816">
        <f>IF($A2816="","",$K2816+(5002-ROW())/10000)</f>
        <v/>
      </c>
    </row>
    <row r="2817">
      <c r="K2817">
        <f>IF($A2817="","",SUM($E2817:$J2817))</f>
        <v/>
      </c>
      <c r="M2817">
        <f>IF($A2817="","",MAX(0,ROUNDUP(DASHBOARD!$F$3-$D2817,0)))</f>
        <v/>
      </c>
      <c r="N2817">
        <f>IF($A2817="","",$K2817+(5002-ROW())/10000)</f>
        <v/>
      </c>
    </row>
    <row r="2818">
      <c r="K2818">
        <f>IF($A2818="","",SUM($E2818:$J2818))</f>
        <v/>
      </c>
      <c r="M2818">
        <f>IF($A2818="","",MAX(0,ROUNDUP(DASHBOARD!$F$3-$D2818,0)))</f>
        <v/>
      </c>
      <c r="N2818">
        <f>IF($A2818="","",$K2818+(5002-ROW())/10000)</f>
        <v/>
      </c>
    </row>
    <row r="2819">
      <c r="K2819">
        <f>IF($A2819="","",SUM($E2819:$J2819))</f>
        <v/>
      </c>
      <c r="M2819">
        <f>IF($A2819="","",MAX(0,ROUNDUP(DASHBOARD!$F$3-$D2819,0)))</f>
        <v/>
      </c>
      <c r="N2819">
        <f>IF($A2819="","",$K2819+(5002-ROW())/10000)</f>
        <v/>
      </c>
    </row>
    <row r="2820">
      <c r="K2820">
        <f>IF($A2820="","",SUM($E2820:$J2820))</f>
        <v/>
      </c>
      <c r="M2820">
        <f>IF($A2820="","",MAX(0,ROUNDUP(DASHBOARD!$F$3-$D2820,0)))</f>
        <v/>
      </c>
      <c r="N2820">
        <f>IF($A2820="","",$K2820+(5002-ROW())/10000)</f>
        <v/>
      </c>
    </row>
    <row r="2821">
      <c r="K2821">
        <f>IF($A2821="","",SUM($E2821:$J2821))</f>
        <v/>
      </c>
      <c r="M2821">
        <f>IF($A2821="","",MAX(0,ROUNDUP(DASHBOARD!$F$3-$D2821,0)))</f>
        <v/>
      </c>
      <c r="N2821">
        <f>IF($A2821="","",$K2821+(5002-ROW())/10000)</f>
        <v/>
      </c>
    </row>
    <row r="2822">
      <c r="K2822">
        <f>IF($A2822="","",SUM($E2822:$J2822))</f>
        <v/>
      </c>
      <c r="M2822">
        <f>IF($A2822="","",MAX(0,ROUNDUP(DASHBOARD!$F$3-$D2822,0)))</f>
        <v/>
      </c>
      <c r="N2822">
        <f>IF($A2822="","",$K2822+(5002-ROW())/10000)</f>
        <v/>
      </c>
    </row>
    <row r="2823">
      <c r="K2823">
        <f>IF($A2823="","",SUM($E2823:$J2823))</f>
        <v/>
      </c>
      <c r="M2823">
        <f>IF($A2823="","",MAX(0,ROUNDUP(DASHBOARD!$F$3-$D2823,0)))</f>
        <v/>
      </c>
      <c r="N2823">
        <f>IF($A2823="","",$K2823+(5002-ROW())/10000)</f>
        <v/>
      </c>
    </row>
    <row r="2824">
      <c r="K2824">
        <f>IF($A2824="","",SUM($E2824:$J2824))</f>
        <v/>
      </c>
      <c r="M2824">
        <f>IF($A2824="","",MAX(0,ROUNDUP(DASHBOARD!$F$3-$D2824,0)))</f>
        <v/>
      </c>
      <c r="N2824">
        <f>IF($A2824="","",$K2824+(5002-ROW())/10000)</f>
        <v/>
      </c>
    </row>
    <row r="2825">
      <c r="K2825">
        <f>IF($A2825="","",SUM($E2825:$J2825))</f>
        <v/>
      </c>
      <c r="M2825">
        <f>IF($A2825="","",MAX(0,ROUNDUP(DASHBOARD!$F$3-$D2825,0)))</f>
        <v/>
      </c>
      <c r="N2825">
        <f>IF($A2825="","",$K2825+(5002-ROW())/10000)</f>
        <v/>
      </c>
    </row>
    <row r="2826">
      <c r="K2826">
        <f>IF($A2826="","",SUM($E2826:$J2826))</f>
        <v/>
      </c>
      <c r="M2826">
        <f>IF($A2826="","",MAX(0,ROUNDUP(DASHBOARD!$F$3-$D2826,0)))</f>
        <v/>
      </c>
      <c r="N2826">
        <f>IF($A2826="","",$K2826+(5002-ROW())/10000)</f>
        <v/>
      </c>
    </row>
    <row r="2827">
      <c r="K2827">
        <f>IF($A2827="","",SUM($E2827:$J2827))</f>
        <v/>
      </c>
      <c r="M2827">
        <f>IF($A2827="","",MAX(0,ROUNDUP(DASHBOARD!$F$3-$D2827,0)))</f>
        <v/>
      </c>
      <c r="N2827">
        <f>IF($A2827="","",$K2827+(5002-ROW())/10000)</f>
        <v/>
      </c>
    </row>
    <row r="2828">
      <c r="K2828">
        <f>IF($A2828="","",SUM($E2828:$J2828))</f>
        <v/>
      </c>
      <c r="M2828">
        <f>IF($A2828="","",MAX(0,ROUNDUP(DASHBOARD!$F$3-$D2828,0)))</f>
        <v/>
      </c>
      <c r="N2828">
        <f>IF($A2828="","",$K2828+(5002-ROW())/10000)</f>
        <v/>
      </c>
    </row>
    <row r="2829">
      <c r="K2829">
        <f>IF($A2829="","",SUM($E2829:$J2829))</f>
        <v/>
      </c>
      <c r="M2829">
        <f>IF($A2829="","",MAX(0,ROUNDUP(DASHBOARD!$F$3-$D2829,0)))</f>
        <v/>
      </c>
      <c r="N2829">
        <f>IF($A2829="","",$K2829+(5002-ROW())/10000)</f>
        <v/>
      </c>
    </row>
    <row r="2830">
      <c r="K2830">
        <f>IF($A2830="","",SUM($E2830:$J2830))</f>
        <v/>
      </c>
      <c r="M2830">
        <f>IF($A2830="","",MAX(0,ROUNDUP(DASHBOARD!$F$3-$D2830,0)))</f>
        <v/>
      </c>
      <c r="N2830">
        <f>IF($A2830="","",$K2830+(5002-ROW())/10000)</f>
        <v/>
      </c>
    </row>
    <row r="2831">
      <c r="K2831">
        <f>IF($A2831="","",SUM($E2831:$J2831))</f>
        <v/>
      </c>
      <c r="M2831">
        <f>IF($A2831="","",MAX(0,ROUNDUP(DASHBOARD!$F$3-$D2831,0)))</f>
        <v/>
      </c>
      <c r="N2831">
        <f>IF($A2831="","",$K2831+(5002-ROW())/10000)</f>
        <v/>
      </c>
    </row>
    <row r="2832">
      <c r="K2832">
        <f>IF($A2832="","",SUM($E2832:$J2832))</f>
        <v/>
      </c>
      <c r="M2832">
        <f>IF($A2832="","",MAX(0,ROUNDUP(DASHBOARD!$F$3-$D2832,0)))</f>
        <v/>
      </c>
      <c r="N2832">
        <f>IF($A2832="","",$K2832+(5002-ROW())/10000)</f>
        <v/>
      </c>
    </row>
    <row r="2833">
      <c r="K2833">
        <f>IF($A2833="","",SUM($E2833:$J2833))</f>
        <v/>
      </c>
      <c r="M2833">
        <f>IF($A2833="","",MAX(0,ROUNDUP(DASHBOARD!$F$3-$D2833,0)))</f>
        <v/>
      </c>
      <c r="N2833">
        <f>IF($A2833="","",$K2833+(5002-ROW())/10000)</f>
        <v/>
      </c>
    </row>
    <row r="2834">
      <c r="K2834">
        <f>IF($A2834="","",SUM($E2834:$J2834))</f>
        <v/>
      </c>
      <c r="M2834">
        <f>IF($A2834="","",MAX(0,ROUNDUP(DASHBOARD!$F$3-$D2834,0)))</f>
        <v/>
      </c>
      <c r="N2834">
        <f>IF($A2834="","",$K2834+(5002-ROW())/10000)</f>
        <v/>
      </c>
    </row>
    <row r="2835">
      <c r="K2835">
        <f>IF($A2835="","",SUM($E2835:$J2835))</f>
        <v/>
      </c>
      <c r="M2835">
        <f>IF($A2835="","",MAX(0,ROUNDUP(DASHBOARD!$F$3-$D2835,0)))</f>
        <v/>
      </c>
      <c r="N2835">
        <f>IF($A2835="","",$K2835+(5002-ROW())/10000)</f>
        <v/>
      </c>
    </row>
    <row r="2836">
      <c r="K2836">
        <f>IF($A2836="","",SUM($E2836:$J2836))</f>
        <v/>
      </c>
      <c r="M2836">
        <f>IF($A2836="","",MAX(0,ROUNDUP(DASHBOARD!$F$3-$D2836,0)))</f>
        <v/>
      </c>
      <c r="N2836">
        <f>IF($A2836="","",$K2836+(5002-ROW())/10000)</f>
        <v/>
      </c>
    </row>
    <row r="2837">
      <c r="K2837">
        <f>IF($A2837="","",SUM($E2837:$J2837))</f>
        <v/>
      </c>
      <c r="M2837">
        <f>IF($A2837="","",MAX(0,ROUNDUP(DASHBOARD!$F$3-$D2837,0)))</f>
        <v/>
      </c>
      <c r="N2837">
        <f>IF($A2837="","",$K2837+(5002-ROW())/10000)</f>
        <v/>
      </c>
    </row>
    <row r="2838">
      <c r="K2838">
        <f>IF($A2838="","",SUM($E2838:$J2838))</f>
        <v/>
      </c>
      <c r="M2838">
        <f>IF($A2838="","",MAX(0,ROUNDUP(DASHBOARD!$F$3-$D2838,0)))</f>
        <v/>
      </c>
      <c r="N2838">
        <f>IF($A2838="","",$K2838+(5002-ROW())/10000)</f>
        <v/>
      </c>
    </row>
    <row r="2839">
      <c r="K2839">
        <f>IF($A2839="","",SUM($E2839:$J2839))</f>
        <v/>
      </c>
      <c r="M2839">
        <f>IF($A2839="","",MAX(0,ROUNDUP(DASHBOARD!$F$3-$D2839,0)))</f>
        <v/>
      </c>
      <c r="N2839">
        <f>IF($A2839="","",$K2839+(5002-ROW())/10000)</f>
        <v/>
      </c>
    </row>
    <row r="2840">
      <c r="K2840">
        <f>IF($A2840="","",SUM($E2840:$J2840))</f>
        <v/>
      </c>
      <c r="M2840">
        <f>IF($A2840="","",MAX(0,ROUNDUP(DASHBOARD!$F$3-$D2840,0)))</f>
        <v/>
      </c>
      <c r="N2840">
        <f>IF($A2840="","",$K2840+(5002-ROW())/10000)</f>
        <v/>
      </c>
    </row>
    <row r="2841">
      <c r="K2841">
        <f>IF($A2841="","",SUM($E2841:$J2841))</f>
        <v/>
      </c>
      <c r="M2841">
        <f>IF($A2841="","",MAX(0,ROUNDUP(DASHBOARD!$F$3-$D2841,0)))</f>
        <v/>
      </c>
      <c r="N2841">
        <f>IF($A2841="","",$K2841+(5002-ROW())/10000)</f>
        <v/>
      </c>
    </row>
    <row r="2842">
      <c r="K2842">
        <f>IF($A2842="","",SUM($E2842:$J2842))</f>
        <v/>
      </c>
      <c r="M2842">
        <f>IF($A2842="","",MAX(0,ROUNDUP(DASHBOARD!$F$3-$D2842,0)))</f>
        <v/>
      </c>
      <c r="N2842">
        <f>IF($A2842="","",$K2842+(5002-ROW())/10000)</f>
        <v/>
      </c>
    </row>
    <row r="2843">
      <c r="K2843">
        <f>IF($A2843="","",SUM($E2843:$J2843))</f>
        <v/>
      </c>
      <c r="M2843">
        <f>IF($A2843="","",MAX(0,ROUNDUP(DASHBOARD!$F$3-$D2843,0)))</f>
        <v/>
      </c>
      <c r="N2843">
        <f>IF($A2843="","",$K2843+(5002-ROW())/10000)</f>
        <v/>
      </c>
    </row>
    <row r="2844">
      <c r="K2844">
        <f>IF($A2844="","",SUM($E2844:$J2844))</f>
        <v/>
      </c>
      <c r="M2844">
        <f>IF($A2844="","",MAX(0,ROUNDUP(DASHBOARD!$F$3-$D2844,0)))</f>
        <v/>
      </c>
      <c r="N2844">
        <f>IF($A2844="","",$K2844+(5002-ROW())/10000)</f>
        <v/>
      </c>
    </row>
    <row r="2845">
      <c r="K2845">
        <f>IF($A2845="","",SUM($E2845:$J2845))</f>
        <v/>
      </c>
      <c r="M2845">
        <f>IF($A2845="","",MAX(0,ROUNDUP(DASHBOARD!$F$3-$D2845,0)))</f>
        <v/>
      </c>
      <c r="N2845">
        <f>IF($A2845="","",$K2845+(5002-ROW())/10000)</f>
        <v/>
      </c>
    </row>
    <row r="2846">
      <c r="K2846">
        <f>IF($A2846="","",SUM($E2846:$J2846))</f>
        <v/>
      </c>
      <c r="M2846">
        <f>IF($A2846="","",MAX(0,ROUNDUP(DASHBOARD!$F$3-$D2846,0)))</f>
        <v/>
      </c>
      <c r="N2846">
        <f>IF($A2846="","",$K2846+(5002-ROW())/10000)</f>
        <v/>
      </c>
    </row>
    <row r="2847">
      <c r="K2847">
        <f>IF($A2847="","",SUM($E2847:$J2847))</f>
        <v/>
      </c>
      <c r="M2847">
        <f>IF($A2847="","",MAX(0,ROUNDUP(DASHBOARD!$F$3-$D2847,0)))</f>
        <v/>
      </c>
      <c r="N2847">
        <f>IF($A2847="","",$K2847+(5002-ROW())/10000)</f>
        <v/>
      </c>
    </row>
    <row r="2848">
      <c r="K2848">
        <f>IF($A2848="","",SUM($E2848:$J2848))</f>
        <v/>
      </c>
      <c r="M2848">
        <f>IF($A2848="","",MAX(0,ROUNDUP(DASHBOARD!$F$3-$D2848,0)))</f>
        <v/>
      </c>
      <c r="N2848">
        <f>IF($A2848="","",$K2848+(5002-ROW())/10000)</f>
        <v/>
      </c>
    </row>
    <row r="2849">
      <c r="K2849">
        <f>IF($A2849="","",SUM($E2849:$J2849))</f>
        <v/>
      </c>
      <c r="M2849">
        <f>IF($A2849="","",MAX(0,ROUNDUP(DASHBOARD!$F$3-$D2849,0)))</f>
        <v/>
      </c>
      <c r="N2849">
        <f>IF($A2849="","",$K2849+(5002-ROW())/10000)</f>
        <v/>
      </c>
    </row>
    <row r="2850">
      <c r="K2850">
        <f>IF($A2850="","",SUM($E2850:$J2850))</f>
        <v/>
      </c>
      <c r="M2850">
        <f>IF($A2850="","",MAX(0,ROUNDUP(DASHBOARD!$F$3-$D2850,0)))</f>
        <v/>
      </c>
      <c r="N2850">
        <f>IF($A2850="","",$K2850+(5002-ROW())/10000)</f>
        <v/>
      </c>
    </row>
    <row r="2851">
      <c r="K2851">
        <f>IF($A2851="","",SUM($E2851:$J2851))</f>
        <v/>
      </c>
      <c r="M2851">
        <f>IF($A2851="","",MAX(0,ROUNDUP(DASHBOARD!$F$3-$D2851,0)))</f>
        <v/>
      </c>
      <c r="N2851">
        <f>IF($A2851="","",$K2851+(5002-ROW())/10000)</f>
        <v/>
      </c>
    </row>
    <row r="2852">
      <c r="K2852">
        <f>IF($A2852="","",SUM($E2852:$J2852))</f>
        <v/>
      </c>
      <c r="M2852">
        <f>IF($A2852="","",MAX(0,ROUNDUP(DASHBOARD!$F$3-$D2852,0)))</f>
        <v/>
      </c>
      <c r="N2852">
        <f>IF($A2852="","",$K2852+(5002-ROW())/10000)</f>
        <v/>
      </c>
    </row>
    <row r="2853">
      <c r="K2853">
        <f>IF($A2853="","",SUM($E2853:$J2853))</f>
        <v/>
      </c>
      <c r="M2853">
        <f>IF($A2853="","",MAX(0,ROUNDUP(DASHBOARD!$F$3-$D2853,0)))</f>
        <v/>
      </c>
      <c r="N2853">
        <f>IF($A2853="","",$K2853+(5002-ROW())/10000)</f>
        <v/>
      </c>
    </row>
    <row r="2854">
      <c r="K2854">
        <f>IF($A2854="","",SUM($E2854:$J2854))</f>
        <v/>
      </c>
      <c r="M2854">
        <f>IF($A2854="","",MAX(0,ROUNDUP(DASHBOARD!$F$3-$D2854,0)))</f>
        <v/>
      </c>
      <c r="N2854">
        <f>IF($A2854="","",$K2854+(5002-ROW())/10000)</f>
        <v/>
      </c>
    </row>
    <row r="2855">
      <c r="K2855">
        <f>IF($A2855="","",SUM($E2855:$J2855))</f>
        <v/>
      </c>
      <c r="M2855">
        <f>IF($A2855="","",MAX(0,ROUNDUP(DASHBOARD!$F$3-$D2855,0)))</f>
        <v/>
      </c>
      <c r="N2855">
        <f>IF($A2855="","",$K2855+(5002-ROW())/10000)</f>
        <v/>
      </c>
    </row>
    <row r="2856">
      <c r="K2856">
        <f>IF($A2856="","",SUM($E2856:$J2856))</f>
        <v/>
      </c>
      <c r="M2856">
        <f>IF($A2856="","",MAX(0,ROUNDUP(DASHBOARD!$F$3-$D2856,0)))</f>
        <v/>
      </c>
      <c r="N2856">
        <f>IF($A2856="","",$K2856+(5002-ROW())/10000)</f>
        <v/>
      </c>
    </row>
    <row r="2857">
      <c r="K2857">
        <f>IF($A2857="","",SUM($E2857:$J2857))</f>
        <v/>
      </c>
      <c r="M2857">
        <f>IF($A2857="","",MAX(0,ROUNDUP(DASHBOARD!$F$3-$D2857,0)))</f>
        <v/>
      </c>
      <c r="N2857">
        <f>IF($A2857="","",$K2857+(5002-ROW())/10000)</f>
        <v/>
      </c>
    </row>
    <row r="2858">
      <c r="K2858">
        <f>IF($A2858="","",SUM($E2858:$J2858))</f>
        <v/>
      </c>
      <c r="M2858">
        <f>IF($A2858="","",MAX(0,ROUNDUP(DASHBOARD!$F$3-$D2858,0)))</f>
        <v/>
      </c>
      <c r="N2858">
        <f>IF($A2858="","",$K2858+(5002-ROW())/10000)</f>
        <v/>
      </c>
    </row>
    <row r="2859">
      <c r="K2859">
        <f>IF($A2859="","",SUM($E2859:$J2859))</f>
        <v/>
      </c>
      <c r="M2859">
        <f>IF($A2859="","",MAX(0,ROUNDUP(DASHBOARD!$F$3-$D2859,0)))</f>
        <v/>
      </c>
      <c r="N2859">
        <f>IF($A2859="","",$K2859+(5002-ROW())/10000)</f>
        <v/>
      </c>
    </row>
    <row r="2860">
      <c r="K2860">
        <f>IF($A2860="","",SUM($E2860:$J2860))</f>
        <v/>
      </c>
      <c r="M2860">
        <f>IF($A2860="","",MAX(0,ROUNDUP(DASHBOARD!$F$3-$D2860,0)))</f>
        <v/>
      </c>
      <c r="N2860">
        <f>IF($A2860="","",$K2860+(5002-ROW())/10000)</f>
        <v/>
      </c>
    </row>
    <row r="2861">
      <c r="K2861">
        <f>IF($A2861="","",SUM($E2861:$J2861))</f>
        <v/>
      </c>
      <c r="M2861">
        <f>IF($A2861="","",MAX(0,ROUNDUP(DASHBOARD!$F$3-$D2861,0)))</f>
        <v/>
      </c>
      <c r="N2861">
        <f>IF($A2861="","",$K2861+(5002-ROW())/10000)</f>
        <v/>
      </c>
    </row>
    <row r="2862">
      <c r="K2862">
        <f>IF($A2862="","",SUM($E2862:$J2862))</f>
        <v/>
      </c>
      <c r="M2862">
        <f>IF($A2862="","",MAX(0,ROUNDUP(DASHBOARD!$F$3-$D2862,0)))</f>
        <v/>
      </c>
      <c r="N2862">
        <f>IF($A2862="","",$K2862+(5002-ROW())/10000)</f>
        <v/>
      </c>
    </row>
    <row r="2863">
      <c r="K2863">
        <f>IF($A2863="","",SUM($E2863:$J2863))</f>
        <v/>
      </c>
      <c r="M2863">
        <f>IF($A2863="","",MAX(0,ROUNDUP(DASHBOARD!$F$3-$D2863,0)))</f>
        <v/>
      </c>
      <c r="N2863">
        <f>IF($A2863="","",$K2863+(5002-ROW())/10000)</f>
        <v/>
      </c>
    </row>
    <row r="2864">
      <c r="K2864">
        <f>IF($A2864="","",SUM($E2864:$J2864))</f>
        <v/>
      </c>
      <c r="M2864">
        <f>IF($A2864="","",MAX(0,ROUNDUP(DASHBOARD!$F$3-$D2864,0)))</f>
        <v/>
      </c>
      <c r="N2864">
        <f>IF($A2864="","",$K2864+(5002-ROW())/10000)</f>
        <v/>
      </c>
    </row>
    <row r="2865">
      <c r="K2865">
        <f>IF($A2865="","",SUM($E2865:$J2865))</f>
        <v/>
      </c>
      <c r="M2865">
        <f>IF($A2865="","",MAX(0,ROUNDUP(DASHBOARD!$F$3-$D2865,0)))</f>
        <v/>
      </c>
      <c r="N2865">
        <f>IF($A2865="","",$K2865+(5002-ROW())/10000)</f>
        <v/>
      </c>
    </row>
    <row r="2866">
      <c r="K2866">
        <f>IF($A2866="","",SUM($E2866:$J2866))</f>
        <v/>
      </c>
      <c r="M2866">
        <f>IF($A2866="","",MAX(0,ROUNDUP(DASHBOARD!$F$3-$D2866,0)))</f>
        <v/>
      </c>
      <c r="N2866">
        <f>IF($A2866="","",$K2866+(5002-ROW())/10000)</f>
        <v/>
      </c>
    </row>
    <row r="2867">
      <c r="K2867">
        <f>IF($A2867="","",SUM($E2867:$J2867))</f>
        <v/>
      </c>
      <c r="M2867">
        <f>IF($A2867="","",MAX(0,ROUNDUP(DASHBOARD!$F$3-$D2867,0)))</f>
        <v/>
      </c>
      <c r="N2867">
        <f>IF($A2867="","",$K2867+(5002-ROW())/10000)</f>
        <v/>
      </c>
    </row>
    <row r="2868">
      <c r="K2868">
        <f>IF($A2868="","",SUM($E2868:$J2868))</f>
        <v/>
      </c>
      <c r="M2868">
        <f>IF($A2868="","",MAX(0,ROUNDUP(DASHBOARD!$F$3-$D2868,0)))</f>
        <v/>
      </c>
      <c r="N2868">
        <f>IF($A2868="","",$K2868+(5002-ROW())/10000)</f>
        <v/>
      </c>
    </row>
    <row r="2869">
      <c r="K2869">
        <f>IF($A2869="","",SUM($E2869:$J2869))</f>
        <v/>
      </c>
      <c r="M2869">
        <f>IF($A2869="","",MAX(0,ROUNDUP(DASHBOARD!$F$3-$D2869,0)))</f>
        <v/>
      </c>
      <c r="N2869">
        <f>IF($A2869="","",$K2869+(5002-ROW())/10000)</f>
        <v/>
      </c>
    </row>
    <row r="2870">
      <c r="K2870">
        <f>IF($A2870="","",SUM($E2870:$J2870))</f>
        <v/>
      </c>
      <c r="M2870">
        <f>IF($A2870="","",MAX(0,ROUNDUP(DASHBOARD!$F$3-$D2870,0)))</f>
        <v/>
      </c>
      <c r="N2870">
        <f>IF($A2870="","",$K2870+(5002-ROW())/10000)</f>
        <v/>
      </c>
    </row>
    <row r="2871">
      <c r="K2871">
        <f>IF($A2871="","",SUM($E2871:$J2871))</f>
        <v/>
      </c>
      <c r="M2871">
        <f>IF($A2871="","",MAX(0,ROUNDUP(DASHBOARD!$F$3-$D2871,0)))</f>
        <v/>
      </c>
      <c r="N2871">
        <f>IF($A2871="","",$K2871+(5002-ROW())/10000)</f>
        <v/>
      </c>
    </row>
    <row r="2872">
      <c r="K2872">
        <f>IF($A2872="","",SUM($E2872:$J2872))</f>
        <v/>
      </c>
      <c r="M2872">
        <f>IF($A2872="","",MAX(0,ROUNDUP(DASHBOARD!$F$3-$D2872,0)))</f>
        <v/>
      </c>
      <c r="N2872">
        <f>IF($A2872="","",$K2872+(5002-ROW())/10000)</f>
        <v/>
      </c>
    </row>
    <row r="2873">
      <c r="K2873">
        <f>IF($A2873="","",SUM($E2873:$J2873))</f>
        <v/>
      </c>
      <c r="M2873">
        <f>IF($A2873="","",MAX(0,ROUNDUP(DASHBOARD!$F$3-$D2873,0)))</f>
        <v/>
      </c>
      <c r="N2873">
        <f>IF($A2873="","",$K2873+(5002-ROW())/10000)</f>
        <v/>
      </c>
    </row>
    <row r="2874">
      <c r="K2874">
        <f>IF($A2874="","",SUM($E2874:$J2874))</f>
        <v/>
      </c>
      <c r="M2874">
        <f>IF($A2874="","",MAX(0,ROUNDUP(DASHBOARD!$F$3-$D2874,0)))</f>
        <v/>
      </c>
      <c r="N2874">
        <f>IF($A2874="","",$K2874+(5002-ROW())/10000)</f>
        <v/>
      </c>
    </row>
    <row r="2875">
      <c r="K2875">
        <f>IF($A2875="","",SUM($E2875:$J2875))</f>
        <v/>
      </c>
      <c r="M2875">
        <f>IF($A2875="","",MAX(0,ROUNDUP(DASHBOARD!$F$3-$D2875,0)))</f>
        <v/>
      </c>
      <c r="N2875">
        <f>IF($A2875="","",$K2875+(5002-ROW())/10000)</f>
        <v/>
      </c>
    </row>
    <row r="2876">
      <c r="K2876">
        <f>IF($A2876="","",SUM($E2876:$J2876))</f>
        <v/>
      </c>
      <c r="M2876">
        <f>IF($A2876="","",MAX(0,ROUNDUP(DASHBOARD!$F$3-$D2876,0)))</f>
        <v/>
      </c>
      <c r="N2876">
        <f>IF($A2876="","",$K2876+(5002-ROW())/10000)</f>
        <v/>
      </c>
    </row>
    <row r="2877">
      <c r="K2877">
        <f>IF($A2877="","",SUM($E2877:$J2877))</f>
        <v/>
      </c>
      <c r="M2877">
        <f>IF($A2877="","",MAX(0,ROUNDUP(DASHBOARD!$F$3-$D2877,0)))</f>
        <v/>
      </c>
      <c r="N2877">
        <f>IF($A2877="","",$K2877+(5002-ROW())/10000)</f>
        <v/>
      </c>
    </row>
    <row r="2878">
      <c r="K2878">
        <f>IF($A2878="","",SUM($E2878:$J2878))</f>
        <v/>
      </c>
      <c r="M2878">
        <f>IF($A2878="","",MAX(0,ROUNDUP(DASHBOARD!$F$3-$D2878,0)))</f>
        <v/>
      </c>
      <c r="N2878">
        <f>IF($A2878="","",$K2878+(5002-ROW())/10000)</f>
        <v/>
      </c>
    </row>
    <row r="2879">
      <c r="K2879">
        <f>IF($A2879="","",SUM($E2879:$J2879))</f>
        <v/>
      </c>
      <c r="M2879">
        <f>IF($A2879="","",MAX(0,ROUNDUP(DASHBOARD!$F$3-$D2879,0)))</f>
        <v/>
      </c>
      <c r="N2879">
        <f>IF($A2879="","",$K2879+(5002-ROW())/10000)</f>
        <v/>
      </c>
    </row>
    <row r="2880">
      <c r="K2880">
        <f>IF($A2880="","",SUM($E2880:$J2880))</f>
        <v/>
      </c>
      <c r="M2880">
        <f>IF($A2880="","",MAX(0,ROUNDUP(DASHBOARD!$F$3-$D2880,0)))</f>
        <v/>
      </c>
      <c r="N2880">
        <f>IF($A2880="","",$K2880+(5002-ROW())/10000)</f>
        <v/>
      </c>
    </row>
    <row r="2881">
      <c r="K2881">
        <f>IF($A2881="","",SUM($E2881:$J2881))</f>
        <v/>
      </c>
      <c r="M2881">
        <f>IF($A2881="","",MAX(0,ROUNDUP(DASHBOARD!$F$3-$D2881,0)))</f>
        <v/>
      </c>
      <c r="N2881">
        <f>IF($A2881="","",$K2881+(5002-ROW())/10000)</f>
        <v/>
      </c>
    </row>
    <row r="2882">
      <c r="K2882">
        <f>IF($A2882="","",SUM($E2882:$J2882))</f>
        <v/>
      </c>
      <c r="M2882">
        <f>IF($A2882="","",MAX(0,ROUNDUP(DASHBOARD!$F$3-$D2882,0)))</f>
        <v/>
      </c>
      <c r="N2882">
        <f>IF($A2882="","",$K2882+(5002-ROW())/10000)</f>
        <v/>
      </c>
    </row>
    <row r="2883">
      <c r="K2883">
        <f>IF($A2883="","",SUM($E2883:$J2883))</f>
        <v/>
      </c>
      <c r="M2883">
        <f>IF($A2883="","",MAX(0,ROUNDUP(DASHBOARD!$F$3-$D2883,0)))</f>
        <v/>
      </c>
      <c r="N2883">
        <f>IF($A2883="","",$K2883+(5002-ROW())/10000)</f>
        <v/>
      </c>
    </row>
    <row r="2884">
      <c r="K2884">
        <f>IF($A2884="","",SUM($E2884:$J2884))</f>
        <v/>
      </c>
      <c r="M2884">
        <f>IF($A2884="","",MAX(0,ROUNDUP(DASHBOARD!$F$3-$D2884,0)))</f>
        <v/>
      </c>
      <c r="N2884">
        <f>IF($A2884="","",$K2884+(5002-ROW())/10000)</f>
        <v/>
      </c>
    </row>
    <row r="2885">
      <c r="K2885">
        <f>IF($A2885="","",SUM($E2885:$J2885))</f>
        <v/>
      </c>
      <c r="M2885">
        <f>IF($A2885="","",MAX(0,ROUNDUP(DASHBOARD!$F$3-$D2885,0)))</f>
        <v/>
      </c>
      <c r="N2885">
        <f>IF($A2885="","",$K2885+(5002-ROW())/10000)</f>
        <v/>
      </c>
    </row>
    <row r="2886">
      <c r="K2886">
        <f>IF($A2886="","",SUM($E2886:$J2886))</f>
        <v/>
      </c>
      <c r="M2886">
        <f>IF($A2886="","",MAX(0,ROUNDUP(DASHBOARD!$F$3-$D2886,0)))</f>
        <v/>
      </c>
      <c r="N2886">
        <f>IF($A2886="","",$K2886+(5002-ROW())/10000)</f>
        <v/>
      </c>
    </row>
    <row r="2887">
      <c r="K2887">
        <f>IF($A2887="","",SUM($E2887:$J2887))</f>
        <v/>
      </c>
      <c r="M2887">
        <f>IF($A2887="","",MAX(0,ROUNDUP(DASHBOARD!$F$3-$D2887,0)))</f>
        <v/>
      </c>
      <c r="N2887">
        <f>IF($A2887="","",$K2887+(5002-ROW())/10000)</f>
        <v/>
      </c>
    </row>
    <row r="2888">
      <c r="K2888">
        <f>IF($A2888="","",SUM($E2888:$J2888))</f>
        <v/>
      </c>
      <c r="M2888">
        <f>IF($A2888="","",MAX(0,ROUNDUP(DASHBOARD!$F$3-$D2888,0)))</f>
        <v/>
      </c>
      <c r="N2888">
        <f>IF($A2888="","",$K2888+(5002-ROW())/10000)</f>
        <v/>
      </c>
    </row>
    <row r="2889">
      <c r="K2889">
        <f>IF($A2889="","",SUM($E2889:$J2889))</f>
        <v/>
      </c>
      <c r="M2889">
        <f>IF($A2889="","",MAX(0,ROUNDUP(DASHBOARD!$F$3-$D2889,0)))</f>
        <v/>
      </c>
      <c r="N2889">
        <f>IF($A2889="","",$K2889+(5002-ROW())/10000)</f>
        <v/>
      </c>
    </row>
    <row r="2890">
      <c r="K2890">
        <f>IF($A2890="","",SUM($E2890:$J2890))</f>
        <v/>
      </c>
      <c r="M2890">
        <f>IF($A2890="","",MAX(0,ROUNDUP(DASHBOARD!$F$3-$D2890,0)))</f>
        <v/>
      </c>
      <c r="N2890">
        <f>IF($A2890="","",$K2890+(5002-ROW())/10000)</f>
        <v/>
      </c>
    </row>
    <row r="2891">
      <c r="K2891">
        <f>IF($A2891="","",SUM($E2891:$J2891))</f>
        <v/>
      </c>
      <c r="M2891">
        <f>IF($A2891="","",MAX(0,ROUNDUP(DASHBOARD!$F$3-$D2891,0)))</f>
        <v/>
      </c>
      <c r="N2891">
        <f>IF($A2891="","",$K2891+(5002-ROW())/10000)</f>
        <v/>
      </c>
    </row>
    <row r="2892">
      <c r="K2892">
        <f>IF($A2892="","",SUM($E2892:$J2892))</f>
        <v/>
      </c>
      <c r="M2892">
        <f>IF($A2892="","",MAX(0,ROUNDUP(DASHBOARD!$F$3-$D2892,0)))</f>
        <v/>
      </c>
      <c r="N2892">
        <f>IF($A2892="","",$K2892+(5002-ROW())/10000)</f>
        <v/>
      </c>
    </row>
    <row r="2893">
      <c r="K2893">
        <f>IF($A2893="","",SUM($E2893:$J2893))</f>
        <v/>
      </c>
      <c r="M2893">
        <f>IF($A2893="","",MAX(0,ROUNDUP(DASHBOARD!$F$3-$D2893,0)))</f>
        <v/>
      </c>
      <c r="N2893">
        <f>IF($A2893="","",$K2893+(5002-ROW())/10000)</f>
        <v/>
      </c>
    </row>
    <row r="2894">
      <c r="K2894">
        <f>IF($A2894="","",SUM($E2894:$J2894))</f>
        <v/>
      </c>
      <c r="M2894">
        <f>IF($A2894="","",MAX(0,ROUNDUP(DASHBOARD!$F$3-$D2894,0)))</f>
        <v/>
      </c>
      <c r="N2894">
        <f>IF($A2894="","",$K2894+(5002-ROW())/10000)</f>
        <v/>
      </c>
    </row>
    <row r="2895">
      <c r="K2895">
        <f>IF($A2895="","",SUM($E2895:$J2895))</f>
        <v/>
      </c>
      <c r="M2895">
        <f>IF($A2895="","",MAX(0,ROUNDUP(DASHBOARD!$F$3-$D2895,0)))</f>
        <v/>
      </c>
      <c r="N2895">
        <f>IF($A2895="","",$K2895+(5002-ROW())/10000)</f>
        <v/>
      </c>
    </row>
    <row r="2896">
      <c r="K2896">
        <f>IF($A2896="","",SUM($E2896:$J2896))</f>
        <v/>
      </c>
      <c r="M2896">
        <f>IF($A2896="","",MAX(0,ROUNDUP(DASHBOARD!$F$3-$D2896,0)))</f>
        <v/>
      </c>
      <c r="N2896">
        <f>IF($A2896="","",$K2896+(5002-ROW())/10000)</f>
        <v/>
      </c>
    </row>
    <row r="2897">
      <c r="K2897">
        <f>IF($A2897="","",SUM($E2897:$J2897))</f>
        <v/>
      </c>
      <c r="M2897">
        <f>IF($A2897="","",MAX(0,ROUNDUP(DASHBOARD!$F$3-$D2897,0)))</f>
        <v/>
      </c>
      <c r="N2897">
        <f>IF($A2897="","",$K2897+(5002-ROW())/10000)</f>
        <v/>
      </c>
    </row>
    <row r="2898">
      <c r="K2898">
        <f>IF($A2898="","",SUM($E2898:$J2898))</f>
        <v/>
      </c>
      <c r="M2898">
        <f>IF($A2898="","",MAX(0,ROUNDUP(DASHBOARD!$F$3-$D2898,0)))</f>
        <v/>
      </c>
      <c r="N2898">
        <f>IF($A2898="","",$K2898+(5002-ROW())/10000)</f>
        <v/>
      </c>
    </row>
    <row r="2899">
      <c r="K2899">
        <f>IF($A2899="","",SUM($E2899:$J2899))</f>
        <v/>
      </c>
      <c r="M2899">
        <f>IF($A2899="","",MAX(0,ROUNDUP(DASHBOARD!$F$3-$D2899,0)))</f>
        <v/>
      </c>
      <c r="N2899">
        <f>IF($A2899="","",$K2899+(5002-ROW())/10000)</f>
        <v/>
      </c>
    </row>
    <row r="2900">
      <c r="K2900">
        <f>IF($A2900="","",SUM($E2900:$J2900))</f>
        <v/>
      </c>
      <c r="M2900">
        <f>IF($A2900="","",MAX(0,ROUNDUP(DASHBOARD!$F$3-$D2900,0)))</f>
        <v/>
      </c>
      <c r="N2900">
        <f>IF($A2900="","",$K2900+(5002-ROW())/10000)</f>
        <v/>
      </c>
    </row>
    <row r="2901">
      <c r="K2901">
        <f>IF($A2901="","",SUM($E2901:$J2901))</f>
        <v/>
      </c>
      <c r="M2901">
        <f>IF($A2901="","",MAX(0,ROUNDUP(DASHBOARD!$F$3-$D2901,0)))</f>
        <v/>
      </c>
      <c r="N2901">
        <f>IF($A2901="","",$K2901+(5002-ROW())/10000)</f>
        <v/>
      </c>
    </row>
    <row r="2902">
      <c r="K2902">
        <f>IF($A2902="","",SUM($E2902:$J2902))</f>
        <v/>
      </c>
      <c r="M2902">
        <f>IF($A2902="","",MAX(0,ROUNDUP(DASHBOARD!$F$3-$D2902,0)))</f>
        <v/>
      </c>
      <c r="N2902">
        <f>IF($A2902="","",$K2902+(5002-ROW())/10000)</f>
        <v/>
      </c>
    </row>
    <row r="2903">
      <c r="K2903">
        <f>IF($A2903="","",SUM($E2903:$J2903))</f>
        <v/>
      </c>
      <c r="M2903">
        <f>IF($A2903="","",MAX(0,ROUNDUP(DASHBOARD!$F$3-$D2903,0)))</f>
        <v/>
      </c>
      <c r="N2903">
        <f>IF($A2903="","",$K2903+(5002-ROW())/10000)</f>
        <v/>
      </c>
    </row>
    <row r="2904">
      <c r="K2904">
        <f>IF($A2904="","",SUM($E2904:$J2904))</f>
        <v/>
      </c>
      <c r="M2904">
        <f>IF($A2904="","",MAX(0,ROUNDUP(DASHBOARD!$F$3-$D2904,0)))</f>
        <v/>
      </c>
      <c r="N2904">
        <f>IF($A2904="","",$K2904+(5002-ROW())/10000)</f>
        <v/>
      </c>
    </row>
    <row r="2905">
      <c r="K2905">
        <f>IF($A2905="","",SUM($E2905:$J2905))</f>
        <v/>
      </c>
      <c r="M2905">
        <f>IF($A2905="","",MAX(0,ROUNDUP(DASHBOARD!$F$3-$D2905,0)))</f>
        <v/>
      </c>
      <c r="N2905">
        <f>IF($A2905="","",$K2905+(5002-ROW())/10000)</f>
        <v/>
      </c>
    </row>
    <row r="2906">
      <c r="K2906">
        <f>IF($A2906="","",SUM($E2906:$J2906))</f>
        <v/>
      </c>
      <c r="M2906">
        <f>IF($A2906="","",MAX(0,ROUNDUP(DASHBOARD!$F$3-$D2906,0)))</f>
        <v/>
      </c>
      <c r="N2906">
        <f>IF($A2906="","",$K2906+(5002-ROW())/10000)</f>
        <v/>
      </c>
    </row>
    <row r="2907">
      <c r="K2907">
        <f>IF($A2907="","",SUM($E2907:$J2907))</f>
        <v/>
      </c>
      <c r="M2907">
        <f>IF($A2907="","",MAX(0,ROUNDUP(DASHBOARD!$F$3-$D2907,0)))</f>
        <v/>
      </c>
      <c r="N2907">
        <f>IF($A2907="","",$K2907+(5002-ROW())/10000)</f>
        <v/>
      </c>
    </row>
    <row r="2908">
      <c r="K2908">
        <f>IF($A2908="","",SUM($E2908:$J2908))</f>
        <v/>
      </c>
      <c r="M2908">
        <f>IF($A2908="","",MAX(0,ROUNDUP(DASHBOARD!$F$3-$D2908,0)))</f>
        <v/>
      </c>
      <c r="N2908">
        <f>IF($A2908="","",$K2908+(5002-ROW())/10000)</f>
        <v/>
      </c>
    </row>
    <row r="2909">
      <c r="K2909">
        <f>IF($A2909="","",SUM($E2909:$J2909))</f>
        <v/>
      </c>
      <c r="M2909">
        <f>IF($A2909="","",MAX(0,ROUNDUP(DASHBOARD!$F$3-$D2909,0)))</f>
        <v/>
      </c>
      <c r="N2909">
        <f>IF($A2909="","",$K2909+(5002-ROW())/10000)</f>
        <v/>
      </c>
    </row>
    <row r="2910">
      <c r="K2910">
        <f>IF($A2910="","",SUM($E2910:$J2910))</f>
        <v/>
      </c>
      <c r="M2910">
        <f>IF($A2910="","",MAX(0,ROUNDUP(DASHBOARD!$F$3-$D2910,0)))</f>
        <v/>
      </c>
      <c r="N2910">
        <f>IF($A2910="","",$K2910+(5002-ROW())/10000)</f>
        <v/>
      </c>
    </row>
    <row r="2911">
      <c r="K2911">
        <f>IF($A2911="","",SUM($E2911:$J2911))</f>
        <v/>
      </c>
      <c r="M2911">
        <f>IF($A2911="","",MAX(0,ROUNDUP(DASHBOARD!$F$3-$D2911,0)))</f>
        <v/>
      </c>
      <c r="N2911">
        <f>IF($A2911="","",$K2911+(5002-ROW())/10000)</f>
        <v/>
      </c>
    </row>
    <row r="2912">
      <c r="K2912">
        <f>IF($A2912="","",SUM($E2912:$J2912))</f>
        <v/>
      </c>
      <c r="M2912">
        <f>IF($A2912="","",MAX(0,ROUNDUP(DASHBOARD!$F$3-$D2912,0)))</f>
        <v/>
      </c>
      <c r="N2912">
        <f>IF($A2912="","",$K2912+(5002-ROW())/10000)</f>
        <v/>
      </c>
    </row>
    <row r="2913">
      <c r="K2913">
        <f>IF($A2913="","",SUM($E2913:$J2913))</f>
        <v/>
      </c>
      <c r="M2913">
        <f>IF($A2913="","",MAX(0,ROUNDUP(DASHBOARD!$F$3-$D2913,0)))</f>
        <v/>
      </c>
      <c r="N2913">
        <f>IF($A2913="","",$K2913+(5002-ROW())/10000)</f>
        <v/>
      </c>
    </row>
    <row r="2914">
      <c r="K2914">
        <f>IF($A2914="","",SUM($E2914:$J2914))</f>
        <v/>
      </c>
      <c r="M2914">
        <f>IF($A2914="","",MAX(0,ROUNDUP(DASHBOARD!$F$3-$D2914,0)))</f>
        <v/>
      </c>
      <c r="N2914">
        <f>IF($A2914="","",$K2914+(5002-ROW())/10000)</f>
        <v/>
      </c>
    </row>
    <row r="2915">
      <c r="K2915">
        <f>IF($A2915="","",SUM($E2915:$J2915))</f>
        <v/>
      </c>
      <c r="M2915">
        <f>IF($A2915="","",MAX(0,ROUNDUP(DASHBOARD!$F$3-$D2915,0)))</f>
        <v/>
      </c>
      <c r="N2915">
        <f>IF($A2915="","",$K2915+(5002-ROW())/10000)</f>
        <v/>
      </c>
    </row>
    <row r="2916">
      <c r="K2916">
        <f>IF($A2916="","",SUM($E2916:$J2916))</f>
        <v/>
      </c>
      <c r="M2916">
        <f>IF($A2916="","",MAX(0,ROUNDUP(DASHBOARD!$F$3-$D2916,0)))</f>
        <v/>
      </c>
      <c r="N2916">
        <f>IF($A2916="","",$K2916+(5002-ROW())/10000)</f>
        <v/>
      </c>
    </row>
    <row r="2917">
      <c r="K2917">
        <f>IF($A2917="","",SUM($E2917:$J2917))</f>
        <v/>
      </c>
      <c r="M2917">
        <f>IF($A2917="","",MAX(0,ROUNDUP(DASHBOARD!$F$3-$D2917,0)))</f>
        <v/>
      </c>
      <c r="N2917">
        <f>IF($A2917="","",$K2917+(5002-ROW())/10000)</f>
        <v/>
      </c>
    </row>
    <row r="2918">
      <c r="K2918">
        <f>IF($A2918="","",SUM($E2918:$J2918))</f>
        <v/>
      </c>
      <c r="M2918">
        <f>IF($A2918="","",MAX(0,ROUNDUP(DASHBOARD!$F$3-$D2918,0)))</f>
        <v/>
      </c>
      <c r="N2918">
        <f>IF($A2918="","",$K2918+(5002-ROW())/10000)</f>
        <v/>
      </c>
    </row>
    <row r="2919">
      <c r="K2919">
        <f>IF($A2919="","",SUM($E2919:$J2919))</f>
        <v/>
      </c>
      <c r="M2919">
        <f>IF($A2919="","",MAX(0,ROUNDUP(DASHBOARD!$F$3-$D2919,0)))</f>
        <v/>
      </c>
      <c r="N2919">
        <f>IF($A2919="","",$K2919+(5002-ROW())/10000)</f>
        <v/>
      </c>
    </row>
    <row r="2920">
      <c r="K2920">
        <f>IF($A2920="","",SUM($E2920:$J2920))</f>
        <v/>
      </c>
      <c r="M2920">
        <f>IF($A2920="","",MAX(0,ROUNDUP(DASHBOARD!$F$3-$D2920,0)))</f>
        <v/>
      </c>
      <c r="N2920">
        <f>IF($A2920="","",$K2920+(5002-ROW())/10000)</f>
        <v/>
      </c>
    </row>
    <row r="2921">
      <c r="K2921">
        <f>IF($A2921="","",SUM($E2921:$J2921))</f>
        <v/>
      </c>
      <c r="M2921">
        <f>IF($A2921="","",MAX(0,ROUNDUP(DASHBOARD!$F$3-$D2921,0)))</f>
        <v/>
      </c>
      <c r="N2921">
        <f>IF($A2921="","",$K2921+(5002-ROW())/10000)</f>
        <v/>
      </c>
    </row>
    <row r="2922">
      <c r="K2922">
        <f>IF($A2922="","",SUM($E2922:$J2922))</f>
        <v/>
      </c>
      <c r="M2922">
        <f>IF($A2922="","",MAX(0,ROUNDUP(DASHBOARD!$F$3-$D2922,0)))</f>
        <v/>
      </c>
      <c r="N2922">
        <f>IF($A2922="","",$K2922+(5002-ROW())/10000)</f>
        <v/>
      </c>
    </row>
    <row r="2923">
      <c r="K2923">
        <f>IF($A2923="","",SUM($E2923:$J2923))</f>
        <v/>
      </c>
      <c r="M2923">
        <f>IF($A2923="","",MAX(0,ROUNDUP(DASHBOARD!$F$3-$D2923,0)))</f>
        <v/>
      </c>
      <c r="N2923">
        <f>IF($A2923="","",$K2923+(5002-ROW())/10000)</f>
        <v/>
      </c>
    </row>
    <row r="2924">
      <c r="K2924">
        <f>IF($A2924="","",SUM($E2924:$J2924))</f>
        <v/>
      </c>
      <c r="M2924">
        <f>IF($A2924="","",MAX(0,ROUNDUP(DASHBOARD!$F$3-$D2924,0)))</f>
        <v/>
      </c>
      <c r="N2924">
        <f>IF($A2924="","",$K2924+(5002-ROW())/10000)</f>
        <v/>
      </c>
    </row>
    <row r="2925">
      <c r="K2925">
        <f>IF($A2925="","",SUM($E2925:$J2925))</f>
        <v/>
      </c>
      <c r="M2925">
        <f>IF($A2925="","",MAX(0,ROUNDUP(DASHBOARD!$F$3-$D2925,0)))</f>
        <v/>
      </c>
      <c r="N2925">
        <f>IF($A2925="","",$K2925+(5002-ROW())/10000)</f>
        <v/>
      </c>
    </row>
    <row r="2926">
      <c r="K2926">
        <f>IF($A2926="","",SUM($E2926:$J2926))</f>
        <v/>
      </c>
      <c r="M2926">
        <f>IF($A2926="","",MAX(0,ROUNDUP(DASHBOARD!$F$3-$D2926,0)))</f>
        <v/>
      </c>
      <c r="N2926">
        <f>IF($A2926="","",$K2926+(5002-ROW())/10000)</f>
        <v/>
      </c>
    </row>
    <row r="2927">
      <c r="K2927">
        <f>IF($A2927="","",SUM($E2927:$J2927))</f>
        <v/>
      </c>
      <c r="M2927">
        <f>IF($A2927="","",MAX(0,ROUNDUP(DASHBOARD!$F$3-$D2927,0)))</f>
        <v/>
      </c>
      <c r="N2927">
        <f>IF($A2927="","",$K2927+(5002-ROW())/10000)</f>
        <v/>
      </c>
    </row>
    <row r="2928">
      <c r="K2928">
        <f>IF($A2928="","",SUM($E2928:$J2928))</f>
        <v/>
      </c>
      <c r="M2928">
        <f>IF($A2928="","",MAX(0,ROUNDUP(DASHBOARD!$F$3-$D2928,0)))</f>
        <v/>
      </c>
      <c r="N2928">
        <f>IF($A2928="","",$K2928+(5002-ROW())/10000)</f>
        <v/>
      </c>
    </row>
    <row r="2929">
      <c r="K2929">
        <f>IF($A2929="","",SUM($E2929:$J2929))</f>
        <v/>
      </c>
      <c r="M2929">
        <f>IF($A2929="","",MAX(0,ROUNDUP(DASHBOARD!$F$3-$D2929,0)))</f>
        <v/>
      </c>
      <c r="N2929">
        <f>IF($A2929="","",$K2929+(5002-ROW())/10000)</f>
        <v/>
      </c>
    </row>
    <row r="2930">
      <c r="K2930">
        <f>IF($A2930="","",SUM($E2930:$J2930))</f>
        <v/>
      </c>
      <c r="M2930">
        <f>IF($A2930="","",MAX(0,ROUNDUP(DASHBOARD!$F$3-$D2930,0)))</f>
        <v/>
      </c>
      <c r="N2930">
        <f>IF($A2930="","",$K2930+(5002-ROW())/10000)</f>
        <v/>
      </c>
    </row>
    <row r="2931">
      <c r="K2931">
        <f>IF($A2931="","",SUM($E2931:$J2931))</f>
        <v/>
      </c>
      <c r="M2931">
        <f>IF($A2931="","",MAX(0,ROUNDUP(DASHBOARD!$F$3-$D2931,0)))</f>
        <v/>
      </c>
      <c r="N2931">
        <f>IF($A2931="","",$K2931+(5002-ROW())/10000)</f>
        <v/>
      </c>
    </row>
    <row r="2932">
      <c r="K2932">
        <f>IF($A2932="","",SUM($E2932:$J2932))</f>
        <v/>
      </c>
      <c r="M2932">
        <f>IF($A2932="","",MAX(0,ROUNDUP(DASHBOARD!$F$3-$D2932,0)))</f>
        <v/>
      </c>
      <c r="N2932">
        <f>IF($A2932="","",$K2932+(5002-ROW())/10000)</f>
        <v/>
      </c>
    </row>
    <row r="2933">
      <c r="K2933">
        <f>IF($A2933="","",SUM($E2933:$J2933))</f>
        <v/>
      </c>
      <c r="M2933">
        <f>IF($A2933="","",MAX(0,ROUNDUP(DASHBOARD!$F$3-$D2933,0)))</f>
        <v/>
      </c>
      <c r="N2933">
        <f>IF($A2933="","",$K2933+(5002-ROW())/10000)</f>
        <v/>
      </c>
    </row>
    <row r="2934">
      <c r="K2934">
        <f>IF($A2934="","",SUM($E2934:$J2934))</f>
        <v/>
      </c>
      <c r="M2934">
        <f>IF($A2934="","",MAX(0,ROUNDUP(DASHBOARD!$F$3-$D2934,0)))</f>
        <v/>
      </c>
      <c r="N2934">
        <f>IF($A2934="","",$K2934+(5002-ROW())/10000)</f>
        <v/>
      </c>
    </row>
    <row r="2935">
      <c r="K2935">
        <f>IF($A2935="","",SUM($E2935:$J2935))</f>
        <v/>
      </c>
      <c r="M2935">
        <f>IF($A2935="","",MAX(0,ROUNDUP(DASHBOARD!$F$3-$D2935,0)))</f>
        <v/>
      </c>
      <c r="N2935">
        <f>IF($A2935="","",$K2935+(5002-ROW())/10000)</f>
        <v/>
      </c>
    </row>
    <row r="2936">
      <c r="K2936">
        <f>IF($A2936="","",SUM($E2936:$J2936))</f>
        <v/>
      </c>
      <c r="M2936">
        <f>IF($A2936="","",MAX(0,ROUNDUP(DASHBOARD!$F$3-$D2936,0)))</f>
        <v/>
      </c>
      <c r="N2936">
        <f>IF($A2936="","",$K2936+(5002-ROW())/10000)</f>
        <v/>
      </c>
    </row>
    <row r="2937">
      <c r="K2937">
        <f>IF($A2937="","",SUM($E2937:$J2937))</f>
        <v/>
      </c>
      <c r="M2937">
        <f>IF($A2937="","",MAX(0,ROUNDUP(DASHBOARD!$F$3-$D2937,0)))</f>
        <v/>
      </c>
      <c r="N2937">
        <f>IF($A2937="","",$K2937+(5002-ROW())/10000)</f>
        <v/>
      </c>
    </row>
    <row r="2938">
      <c r="K2938">
        <f>IF($A2938="","",SUM($E2938:$J2938))</f>
        <v/>
      </c>
      <c r="M2938">
        <f>IF($A2938="","",MAX(0,ROUNDUP(DASHBOARD!$F$3-$D2938,0)))</f>
        <v/>
      </c>
      <c r="N2938">
        <f>IF($A2938="","",$K2938+(5002-ROW())/10000)</f>
        <v/>
      </c>
    </row>
    <row r="2939">
      <c r="K2939">
        <f>IF($A2939="","",SUM($E2939:$J2939))</f>
        <v/>
      </c>
      <c r="M2939">
        <f>IF($A2939="","",MAX(0,ROUNDUP(DASHBOARD!$F$3-$D2939,0)))</f>
        <v/>
      </c>
      <c r="N2939">
        <f>IF($A2939="","",$K2939+(5002-ROW())/10000)</f>
        <v/>
      </c>
    </row>
    <row r="2940">
      <c r="K2940">
        <f>IF($A2940="","",SUM($E2940:$J2940))</f>
        <v/>
      </c>
      <c r="M2940">
        <f>IF($A2940="","",MAX(0,ROUNDUP(DASHBOARD!$F$3-$D2940,0)))</f>
        <v/>
      </c>
      <c r="N2940">
        <f>IF($A2940="","",$K2940+(5002-ROW())/10000)</f>
        <v/>
      </c>
    </row>
    <row r="2941">
      <c r="K2941">
        <f>IF($A2941="","",SUM($E2941:$J2941))</f>
        <v/>
      </c>
      <c r="M2941">
        <f>IF($A2941="","",MAX(0,ROUNDUP(DASHBOARD!$F$3-$D2941,0)))</f>
        <v/>
      </c>
      <c r="N2941">
        <f>IF($A2941="","",$K2941+(5002-ROW())/10000)</f>
        <v/>
      </c>
    </row>
    <row r="2942">
      <c r="K2942">
        <f>IF($A2942="","",SUM($E2942:$J2942))</f>
        <v/>
      </c>
      <c r="M2942">
        <f>IF($A2942="","",MAX(0,ROUNDUP(DASHBOARD!$F$3-$D2942,0)))</f>
        <v/>
      </c>
      <c r="N2942">
        <f>IF($A2942="","",$K2942+(5002-ROW())/10000)</f>
        <v/>
      </c>
    </row>
    <row r="2943">
      <c r="K2943">
        <f>IF($A2943="","",SUM($E2943:$J2943))</f>
        <v/>
      </c>
      <c r="M2943">
        <f>IF($A2943="","",MAX(0,ROUNDUP(DASHBOARD!$F$3-$D2943,0)))</f>
        <v/>
      </c>
      <c r="N2943">
        <f>IF($A2943="","",$K2943+(5002-ROW())/10000)</f>
        <v/>
      </c>
    </row>
    <row r="2944">
      <c r="K2944">
        <f>IF($A2944="","",SUM($E2944:$J2944))</f>
        <v/>
      </c>
      <c r="M2944">
        <f>IF($A2944="","",MAX(0,ROUNDUP(DASHBOARD!$F$3-$D2944,0)))</f>
        <v/>
      </c>
      <c r="N2944">
        <f>IF($A2944="","",$K2944+(5002-ROW())/10000)</f>
        <v/>
      </c>
    </row>
    <row r="2945">
      <c r="K2945">
        <f>IF($A2945="","",SUM($E2945:$J2945))</f>
        <v/>
      </c>
      <c r="M2945">
        <f>IF($A2945="","",MAX(0,ROUNDUP(DASHBOARD!$F$3-$D2945,0)))</f>
        <v/>
      </c>
      <c r="N2945">
        <f>IF($A2945="","",$K2945+(5002-ROW())/10000)</f>
        <v/>
      </c>
    </row>
    <row r="2946">
      <c r="K2946">
        <f>IF($A2946="","",SUM($E2946:$J2946))</f>
        <v/>
      </c>
      <c r="M2946">
        <f>IF($A2946="","",MAX(0,ROUNDUP(DASHBOARD!$F$3-$D2946,0)))</f>
        <v/>
      </c>
      <c r="N2946">
        <f>IF($A2946="","",$K2946+(5002-ROW())/10000)</f>
        <v/>
      </c>
    </row>
    <row r="2947">
      <c r="K2947">
        <f>IF($A2947="","",SUM($E2947:$J2947))</f>
        <v/>
      </c>
      <c r="M2947">
        <f>IF($A2947="","",MAX(0,ROUNDUP(DASHBOARD!$F$3-$D2947,0)))</f>
        <v/>
      </c>
      <c r="N2947">
        <f>IF($A2947="","",$K2947+(5002-ROW())/10000)</f>
        <v/>
      </c>
    </row>
    <row r="2948">
      <c r="K2948">
        <f>IF($A2948="","",SUM($E2948:$J2948))</f>
        <v/>
      </c>
      <c r="M2948">
        <f>IF($A2948="","",MAX(0,ROUNDUP(DASHBOARD!$F$3-$D2948,0)))</f>
        <v/>
      </c>
      <c r="N2948">
        <f>IF($A2948="","",$K2948+(5002-ROW())/10000)</f>
        <v/>
      </c>
    </row>
    <row r="2949">
      <c r="K2949">
        <f>IF($A2949="","",SUM($E2949:$J2949))</f>
        <v/>
      </c>
      <c r="M2949">
        <f>IF($A2949="","",MAX(0,ROUNDUP(DASHBOARD!$F$3-$D2949,0)))</f>
        <v/>
      </c>
      <c r="N2949">
        <f>IF($A2949="","",$K2949+(5002-ROW())/10000)</f>
        <v/>
      </c>
    </row>
    <row r="2950">
      <c r="K2950">
        <f>IF($A2950="","",SUM($E2950:$J2950))</f>
        <v/>
      </c>
      <c r="M2950">
        <f>IF($A2950="","",MAX(0,ROUNDUP(DASHBOARD!$F$3-$D2950,0)))</f>
        <v/>
      </c>
      <c r="N2950">
        <f>IF($A2950="","",$K2950+(5002-ROW())/10000)</f>
        <v/>
      </c>
    </row>
    <row r="2951">
      <c r="K2951">
        <f>IF($A2951="","",SUM($E2951:$J2951))</f>
        <v/>
      </c>
      <c r="M2951">
        <f>IF($A2951="","",MAX(0,ROUNDUP(DASHBOARD!$F$3-$D2951,0)))</f>
        <v/>
      </c>
      <c r="N2951">
        <f>IF($A2951="","",$K2951+(5002-ROW())/10000)</f>
        <v/>
      </c>
    </row>
    <row r="2952">
      <c r="K2952">
        <f>IF($A2952="","",SUM($E2952:$J2952))</f>
        <v/>
      </c>
      <c r="M2952">
        <f>IF($A2952="","",MAX(0,ROUNDUP(DASHBOARD!$F$3-$D2952,0)))</f>
        <v/>
      </c>
      <c r="N2952">
        <f>IF($A2952="","",$K2952+(5002-ROW())/10000)</f>
        <v/>
      </c>
    </row>
    <row r="2953">
      <c r="K2953">
        <f>IF($A2953="","",SUM($E2953:$J2953))</f>
        <v/>
      </c>
      <c r="M2953">
        <f>IF($A2953="","",MAX(0,ROUNDUP(DASHBOARD!$F$3-$D2953,0)))</f>
        <v/>
      </c>
      <c r="N2953">
        <f>IF($A2953="","",$K2953+(5002-ROW())/10000)</f>
        <v/>
      </c>
    </row>
    <row r="2954">
      <c r="K2954">
        <f>IF($A2954="","",SUM($E2954:$J2954))</f>
        <v/>
      </c>
      <c r="M2954">
        <f>IF($A2954="","",MAX(0,ROUNDUP(DASHBOARD!$F$3-$D2954,0)))</f>
        <v/>
      </c>
      <c r="N2954">
        <f>IF($A2954="","",$K2954+(5002-ROW())/10000)</f>
        <v/>
      </c>
    </row>
    <row r="2955">
      <c r="K2955">
        <f>IF($A2955="","",SUM($E2955:$J2955))</f>
        <v/>
      </c>
      <c r="M2955">
        <f>IF($A2955="","",MAX(0,ROUNDUP(DASHBOARD!$F$3-$D2955,0)))</f>
        <v/>
      </c>
      <c r="N2955">
        <f>IF($A2955="","",$K2955+(5002-ROW())/10000)</f>
        <v/>
      </c>
    </row>
    <row r="2956">
      <c r="K2956">
        <f>IF($A2956="","",SUM($E2956:$J2956))</f>
        <v/>
      </c>
      <c r="M2956">
        <f>IF($A2956="","",MAX(0,ROUNDUP(DASHBOARD!$F$3-$D2956,0)))</f>
        <v/>
      </c>
      <c r="N2956">
        <f>IF($A2956="","",$K2956+(5002-ROW())/10000)</f>
        <v/>
      </c>
    </row>
    <row r="2957">
      <c r="K2957">
        <f>IF($A2957="","",SUM($E2957:$J2957))</f>
        <v/>
      </c>
      <c r="M2957">
        <f>IF($A2957="","",MAX(0,ROUNDUP(DASHBOARD!$F$3-$D2957,0)))</f>
        <v/>
      </c>
      <c r="N2957">
        <f>IF($A2957="","",$K2957+(5002-ROW())/10000)</f>
        <v/>
      </c>
    </row>
    <row r="2958">
      <c r="K2958">
        <f>IF($A2958="","",SUM($E2958:$J2958))</f>
        <v/>
      </c>
      <c r="M2958">
        <f>IF($A2958="","",MAX(0,ROUNDUP(DASHBOARD!$F$3-$D2958,0)))</f>
        <v/>
      </c>
      <c r="N2958">
        <f>IF($A2958="","",$K2958+(5002-ROW())/10000)</f>
        <v/>
      </c>
    </row>
    <row r="2959">
      <c r="K2959">
        <f>IF($A2959="","",SUM($E2959:$J2959))</f>
        <v/>
      </c>
      <c r="M2959">
        <f>IF($A2959="","",MAX(0,ROUNDUP(DASHBOARD!$F$3-$D2959,0)))</f>
        <v/>
      </c>
      <c r="N2959">
        <f>IF($A2959="","",$K2959+(5002-ROW())/10000)</f>
        <v/>
      </c>
    </row>
    <row r="2960">
      <c r="K2960">
        <f>IF($A2960="","",SUM($E2960:$J2960))</f>
        <v/>
      </c>
      <c r="M2960">
        <f>IF($A2960="","",MAX(0,ROUNDUP(DASHBOARD!$F$3-$D2960,0)))</f>
        <v/>
      </c>
      <c r="N2960">
        <f>IF($A2960="","",$K2960+(5002-ROW())/10000)</f>
        <v/>
      </c>
    </row>
    <row r="2961">
      <c r="K2961">
        <f>IF($A2961="","",SUM($E2961:$J2961))</f>
        <v/>
      </c>
      <c r="M2961">
        <f>IF($A2961="","",MAX(0,ROUNDUP(DASHBOARD!$F$3-$D2961,0)))</f>
        <v/>
      </c>
      <c r="N2961">
        <f>IF($A2961="","",$K2961+(5002-ROW())/10000)</f>
        <v/>
      </c>
    </row>
    <row r="2962">
      <c r="K2962">
        <f>IF($A2962="","",SUM($E2962:$J2962))</f>
        <v/>
      </c>
      <c r="M2962">
        <f>IF($A2962="","",MAX(0,ROUNDUP(DASHBOARD!$F$3-$D2962,0)))</f>
        <v/>
      </c>
      <c r="N2962">
        <f>IF($A2962="","",$K2962+(5002-ROW())/10000)</f>
        <v/>
      </c>
    </row>
    <row r="2963">
      <c r="K2963">
        <f>IF($A2963="","",SUM($E2963:$J2963))</f>
        <v/>
      </c>
      <c r="M2963">
        <f>IF($A2963="","",MAX(0,ROUNDUP(DASHBOARD!$F$3-$D2963,0)))</f>
        <v/>
      </c>
      <c r="N2963">
        <f>IF($A2963="","",$K2963+(5002-ROW())/10000)</f>
        <v/>
      </c>
    </row>
    <row r="2964">
      <c r="K2964">
        <f>IF($A2964="","",SUM($E2964:$J2964))</f>
        <v/>
      </c>
      <c r="M2964">
        <f>IF($A2964="","",MAX(0,ROUNDUP(DASHBOARD!$F$3-$D2964,0)))</f>
        <v/>
      </c>
      <c r="N2964">
        <f>IF($A2964="","",$K2964+(5002-ROW())/10000)</f>
        <v/>
      </c>
    </row>
    <row r="2965">
      <c r="K2965">
        <f>IF($A2965="","",SUM($E2965:$J2965))</f>
        <v/>
      </c>
      <c r="M2965">
        <f>IF($A2965="","",MAX(0,ROUNDUP(DASHBOARD!$F$3-$D2965,0)))</f>
        <v/>
      </c>
      <c r="N2965">
        <f>IF($A2965="","",$K2965+(5002-ROW())/10000)</f>
        <v/>
      </c>
    </row>
    <row r="2966">
      <c r="K2966">
        <f>IF($A2966="","",SUM($E2966:$J2966))</f>
        <v/>
      </c>
      <c r="M2966">
        <f>IF($A2966="","",MAX(0,ROUNDUP(DASHBOARD!$F$3-$D2966,0)))</f>
        <v/>
      </c>
      <c r="N2966">
        <f>IF($A2966="","",$K2966+(5002-ROW())/10000)</f>
        <v/>
      </c>
    </row>
    <row r="2967">
      <c r="K2967">
        <f>IF($A2967="","",SUM($E2967:$J2967))</f>
        <v/>
      </c>
      <c r="M2967">
        <f>IF($A2967="","",MAX(0,ROUNDUP(DASHBOARD!$F$3-$D2967,0)))</f>
        <v/>
      </c>
      <c r="N2967">
        <f>IF($A2967="","",$K2967+(5002-ROW())/10000)</f>
        <v/>
      </c>
    </row>
    <row r="2968">
      <c r="K2968">
        <f>IF($A2968="","",SUM($E2968:$J2968))</f>
        <v/>
      </c>
      <c r="M2968">
        <f>IF($A2968="","",MAX(0,ROUNDUP(DASHBOARD!$F$3-$D2968,0)))</f>
        <v/>
      </c>
      <c r="N2968">
        <f>IF($A2968="","",$K2968+(5002-ROW())/10000)</f>
        <v/>
      </c>
    </row>
    <row r="2969">
      <c r="K2969">
        <f>IF($A2969="","",SUM($E2969:$J2969))</f>
        <v/>
      </c>
      <c r="M2969">
        <f>IF($A2969="","",MAX(0,ROUNDUP(DASHBOARD!$F$3-$D2969,0)))</f>
        <v/>
      </c>
      <c r="N2969">
        <f>IF($A2969="","",$K2969+(5002-ROW())/10000)</f>
        <v/>
      </c>
    </row>
    <row r="2970">
      <c r="K2970">
        <f>IF($A2970="","",SUM($E2970:$J2970))</f>
        <v/>
      </c>
      <c r="M2970">
        <f>IF($A2970="","",MAX(0,ROUNDUP(DASHBOARD!$F$3-$D2970,0)))</f>
        <v/>
      </c>
      <c r="N2970">
        <f>IF($A2970="","",$K2970+(5002-ROW())/10000)</f>
        <v/>
      </c>
    </row>
    <row r="2971">
      <c r="K2971">
        <f>IF($A2971="","",SUM($E2971:$J2971))</f>
        <v/>
      </c>
      <c r="M2971">
        <f>IF($A2971="","",MAX(0,ROUNDUP(DASHBOARD!$F$3-$D2971,0)))</f>
        <v/>
      </c>
      <c r="N2971">
        <f>IF($A2971="","",$K2971+(5002-ROW())/10000)</f>
        <v/>
      </c>
    </row>
    <row r="2972">
      <c r="K2972">
        <f>IF($A2972="","",SUM($E2972:$J2972))</f>
        <v/>
      </c>
      <c r="M2972">
        <f>IF($A2972="","",MAX(0,ROUNDUP(DASHBOARD!$F$3-$D2972,0)))</f>
        <v/>
      </c>
      <c r="N2972">
        <f>IF($A2972="","",$K2972+(5002-ROW())/10000)</f>
        <v/>
      </c>
    </row>
    <row r="2973">
      <c r="K2973">
        <f>IF($A2973="","",SUM($E2973:$J2973))</f>
        <v/>
      </c>
      <c r="M2973">
        <f>IF($A2973="","",MAX(0,ROUNDUP(DASHBOARD!$F$3-$D2973,0)))</f>
        <v/>
      </c>
      <c r="N2973">
        <f>IF($A2973="","",$K2973+(5002-ROW())/10000)</f>
        <v/>
      </c>
    </row>
    <row r="2974">
      <c r="K2974">
        <f>IF($A2974="","",SUM($E2974:$J2974))</f>
        <v/>
      </c>
      <c r="M2974">
        <f>IF($A2974="","",MAX(0,ROUNDUP(DASHBOARD!$F$3-$D2974,0)))</f>
        <v/>
      </c>
      <c r="N2974">
        <f>IF($A2974="","",$K2974+(5002-ROW())/10000)</f>
        <v/>
      </c>
    </row>
    <row r="2975">
      <c r="K2975">
        <f>IF($A2975="","",SUM($E2975:$J2975))</f>
        <v/>
      </c>
      <c r="M2975">
        <f>IF($A2975="","",MAX(0,ROUNDUP(DASHBOARD!$F$3-$D2975,0)))</f>
        <v/>
      </c>
      <c r="N2975">
        <f>IF($A2975="","",$K2975+(5002-ROW())/10000)</f>
        <v/>
      </c>
    </row>
    <row r="2976">
      <c r="K2976">
        <f>IF($A2976="","",SUM($E2976:$J2976))</f>
        <v/>
      </c>
      <c r="M2976">
        <f>IF($A2976="","",MAX(0,ROUNDUP(DASHBOARD!$F$3-$D2976,0)))</f>
        <v/>
      </c>
      <c r="N2976">
        <f>IF($A2976="","",$K2976+(5002-ROW())/10000)</f>
        <v/>
      </c>
    </row>
    <row r="2977">
      <c r="K2977">
        <f>IF($A2977="","",SUM($E2977:$J2977))</f>
        <v/>
      </c>
      <c r="M2977">
        <f>IF($A2977="","",MAX(0,ROUNDUP(DASHBOARD!$F$3-$D2977,0)))</f>
        <v/>
      </c>
      <c r="N2977">
        <f>IF($A2977="","",$K2977+(5002-ROW())/10000)</f>
        <v/>
      </c>
    </row>
    <row r="2978">
      <c r="K2978">
        <f>IF($A2978="","",SUM($E2978:$J2978))</f>
        <v/>
      </c>
      <c r="M2978">
        <f>IF($A2978="","",MAX(0,ROUNDUP(DASHBOARD!$F$3-$D2978,0)))</f>
        <v/>
      </c>
      <c r="N2978">
        <f>IF($A2978="","",$K2978+(5002-ROW())/10000)</f>
        <v/>
      </c>
    </row>
    <row r="2979">
      <c r="K2979">
        <f>IF($A2979="","",SUM($E2979:$J2979))</f>
        <v/>
      </c>
      <c r="M2979">
        <f>IF($A2979="","",MAX(0,ROUNDUP(DASHBOARD!$F$3-$D2979,0)))</f>
        <v/>
      </c>
      <c r="N2979">
        <f>IF($A2979="","",$K2979+(5002-ROW())/10000)</f>
        <v/>
      </c>
    </row>
    <row r="2980">
      <c r="K2980">
        <f>IF($A2980="","",SUM($E2980:$J2980))</f>
        <v/>
      </c>
      <c r="M2980">
        <f>IF($A2980="","",MAX(0,ROUNDUP(DASHBOARD!$F$3-$D2980,0)))</f>
        <v/>
      </c>
      <c r="N2980">
        <f>IF($A2980="","",$K2980+(5002-ROW())/10000)</f>
        <v/>
      </c>
    </row>
    <row r="2981">
      <c r="K2981">
        <f>IF($A2981="","",SUM($E2981:$J2981))</f>
        <v/>
      </c>
      <c r="M2981">
        <f>IF($A2981="","",MAX(0,ROUNDUP(DASHBOARD!$F$3-$D2981,0)))</f>
        <v/>
      </c>
      <c r="N2981">
        <f>IF($A2981="","",$K2981+(5002-ROW())/10000)</f>
        <v/>
      </c>
    </row>
    <row r="2982">
      <c r="K2982">
        <f>IF($A2982="","",SUM($E2982:$J2982))</f>
        <v/>
      </c>
      <c r="M2982">
        <f>IF($A2982="","",MAX(0,ROUNDUP(DASHBOARD!$F$3-$D2982,0)))</f>
        <v/>
      </c>
      <c r="N2982">
        <f>IF($A2982="","",$K2982+(5002-ROW())/10000)</f>
        <v/>
      </c>
    </row>
    <row r="2983">
      <c r="K2983">
        <f>IF($A2983="","",SUM($E2983:$J2983))</f>
        <v/>
      </c>
      <c r="M2983">
        <f>IF($A2983="","",MAX(0,ROUNDUP(DASHBOARD!$F$3-$D2983,0)))</f>
        <v/>
      </c>
      <c r="N2983">
        <f>IF($A2983="","",$K2983+(5002-ROW())/10000)</f>
        <v/>
      </c>
    </row>
    <row r="2984">
      <c r="K2984">
        <f>IF($A2984="","",SUM($E2984:$J2984))</f>
        <v/>
      </c>
      <c r="M2984">
        <f>IF($A2984="","",MAX(0,ROUNDUP(DASHBOARD!$F$3-$D2984,0)))</f>
        <v/>
      </c>
      <c r="N2984">
        <f>IF($A2984="","",$K2984+(5002-ROW())/10000)</f>
        <v/>
      </c>
    </row>
    <row r="2985">
      <c r="K2985">
        <f>IF($A2985="","",SUM($E2985:$J2985))</f>
        <v/>
      </c>
      <c r="M2985">
        <f>IF($A2985="","",MAX(0,ROUNDUP(DASHBOARD!$F$3-$D2985,0)))</f>
        <v/>
      </c>
      <c r="N2985">
        <f>IF($A2985="","",$K2985+(5002-ROW())/10000)</f>
        <v/>
      </c>
    </row>
    <row r="2986">
      <c r="K2986">
        <f>IF($A2986="","",SUM($E2986:$J2986))</f>
        <v/>
      </c>
      <c r="M2986">
        <f>IF($A2986="","",MAX(0,ROUNDUP(DASHBOARD!$F$3-$D2986,0)))</f>
        <v/>
      </c>
      <c r="N2986">
        <f>IF($A2986="","",$K2986+(5002-ROW())/10000)</f>
        <v/>
      </c>
    </row>
    <row r="2987">
      <c r="K2987">
        <f>IF($A2987="","",SUM($E2987:$J2987))</f>
        <v/>
      </c>
      <c r="M2987">
        <f>IF($A2987="","",MAX(0,ROUNDUP(DASHBOARD!$F$3-$D2987,0)))</f>
        <v/>
      </c>
      <c r="N2987">
        <f>IF($A2987="","",$K2987+(5002-ROW())/10000)</f>
        <v/>
      </c>
    </row>
    <row r="2988">
      <c r="K2988">
        <f>IF($A2988="","",SUM($E2988:$J2988))</f>
        <v/>
      </c>
      <c r="M2988">
        <f>IF($A2988="","",MAX(0,ROUNDUP(DASHBOARD!$F$3-$D2988,0)))</f>
        <v/>
      </c>
      <c r="N2988">
        <f>IF($A2988="","",$K2988+(5002-ROW())/10000)</f>
        <v/>
      </c>
    </row>
    <row r="2989">
      <c r="K2989">
        <f>IF($A2989="","",SUM($E2989:$J2989))</f>
        <v/>
      </c>
      <c r="M2989">
        <f>IF($A2989="","",MAX(0,ROUNDUP(DASHBOARD!$F$3-$D2989,0)))</f>
        <v/>
      </c>
      <c r="N2989">
        <f>IF($A2989="","",$K2989+(5002-ROW())/10000)</f>
        <v/>
      </c>
    </row>
    <row r="2990">
      <c r="K2990">
        <f>IF($A2990="","",SUM($E2990:$J2990))</f>
        <v/>
      </c>
      <c r="M2990">
        <f>IF($A2990="","",MAX(0,ROUNDUP(DASHBOARD!$F$3-$D2990,0)))</f>
        <v/>
      </c>
      <c r="N2990">
        <f>IF($A2990="","",$K2990+(5002-ROW())/10000)</f>
        <v/>
      </c>
    </row>
    <row r="2991">
      <c r="K2991">
        <f>IF($A2991="","",SUM($E2991:$J2991))</f>
        <v/>
      </c>
      <c r="M2991">
        <f>IF($A2991="","",MAX(0,ROUNDUP(DASHBOARD!$F$3-$D2991,0)))</f>
        <v/>
      </c>
      <c r="N2991">
        <f>IF($A2991="","",$K2991+(5002-ROW())/10000)</f>
        <v/>
      </c>
    </row>
    <row r="2992">
      <c r="K2992">
        <f>IF($A2992="","",SUM($E2992:$J2992))</f>
        <v/>
      </c>
      <c r="M2992">
        <f>IF($A2992="","",MAX(0,ROUNDUP(DASHBOARD!$F$3-$D2992,0)))</f>
        <v/>
      </c>
      <c r="N2992">
        <f>IF($A2992="","",$K2992+(5002-ROW())/10000)</f>
        <v/>
      </c>
    </row>
    <row r="2993">
      <c r="K2993">
        <f>IF($A2993="","",SUM($E2993:$J2993))</f>
        <v/>
      </c>
      <c r="M2993">
        <f>IF($A2993="","",MAX(0,ROUNDUP(DASHBOARD!$F$3-$D2993,0)))</f>
        <v/>
      </c>
      <c r="N2993">
        <f>IF($A2993="","",$K2993+(5002-ROW())/10000)</f>
        <v/>
      </c>
    </row>
    <row r="2994">
      <c r="K2994">
        <f>IF($A2994="","",SUM($E2994:$J2994))</f>
        <v/>
      </c>
      <c r="M2994">
        <f>IF($A2994="","",MAX(0,ROUNDUP(DASHBOARD!$F$3-$D2994,0)))</f>
        <v/>
      </c>
      <c r="N2994">
        <f>IF($A2994="","",$K2994+(5002-ROW())/10000)</f>
        <v/>
      </c>
    </row>
    <row r="2995">
      <c r="K2995">
        <f>IF($A2995="","",SUM($E2995:$J2995))</f>
        <v/>
      </c>
      <c r="M2995">
        <f>IF($A2995="","",MAX(0,ROUNDUP(DASHBOARD!$F$3-$D2995,0)))</f>
        <v/>
      </c>
      <c r="N2995">
        <f>IF($A2995="","",$K2995+(5002-ROW())/10000)</f>
        <v/>
      </c>
    </row>
    <row r="2996">
      <c r="K2996">
        <f>IF($A2996="","",SUM($E2996:$J2996))</f>
        <v/>
      </c>
      <c r="M2996">
        <f>IF($A2996="","",MAX(0,ROUNDUP(DASHBOARD!$F$3-$D2996,0)))</f>
        <v/>
      </c>
      <c r="N2996">
        <f>IF($A2996="","",$K2996+(5002-ROW())/10000)</f>
        <v/>
      </c>
    </row>
    <row r="2997">
      <c r="K2997">
        <f>IF($A2997="","",SUM($E2997:$J2997))</f>
        <v/>
      </c>
      <c r="M2997">
        <f>IF($A2997="","",MAX(0,ROUNDUP(DASHBOARD!$F$3-$D2997,0)))</f>
        <v/>
      </c>
      <c r="N2997">
        <f>IF($A2997="","",$K2997+(5002-ROW())/10000)</f>
        <v/>
      </c>
    </row>
    <row r="2998">
      <c r="K2998">
        <f>IF($A2998="","",SUM($E2998:$J2998))</f>
        <v/>
      </c>
      <c r="M2998">
        <f>IF($A2998="","",MAX(0,ROUNDUP(DASHBOARD!$F$3-$D2998,0)))</f>
        <v/>
      </c>
      <c r="N2998">
        <f>IF($A2998="","",$K2998+(5002-ROW())/10000)</f>
        <v/>
      </c>
    </row>
    <row r="2999">
      <c r="K2999">
        <f>IF($A2999="","",SUM($E2999:$J2999))</f>
        <v/>
      </c>
      <c r="M2999">
        <f>IF($A2999="","",MAX(0,ROUNDUP(DASHBOARD!$F$3-$D2999,0)))</f>
        <v/>
      </c>
      <c r="N2999">
        <f>IF($A2999="","",$K2999+(5002-ROW())/10000)</f>
        <v/>
      </c>
    </row>
    <row r="3000">
      <c r="K3000">
        <f>IF($A3000="","",SUM($E3000:$J3000))</f>
        <v/>
      </c>
      <c r="M3000">
        <f>IF($A3000="","",MAX(0,ROUNDUP(DASHBOARD!$F$3-$D3000,0)))</f>
        <v/>
      </c>
      <c r="N3000">
        <f>IF($A3000="","",$K3000+(5002-ROW())/10000)</f>
        <v/>
      </c>
    </row>
    <row r="3001">
      <c r="K3001">
        <f>IF($A3001="","",SUM($E3001:$J3001))</f>
        <v/>
      </c>
      <c r="M3001">
        <f>IF($A3001="","",MAX(0,ROUNDUP(DASHBOARD!$F$3-$D3001,0)))</f>
        <v/>
      </c>
      <c r="N3001">
        <f>IF($A3001="","",$K3001+(5002-ROW())/10000)</f>
        <v/>
      </c>
    </row>
    <row r="3002">
      <c r="K3002">
        <f>IF($A3002="","",SUM($E3002:$J3002))</f>
        <v/>
      </c>
      <c r="M3002">
        <f>IF($A3002="","",MAX(0,ROUNDUP(DASHBOARD!$F$3-$D3002,0)))</f>
        <v/>
      </c>
      <c r="N3002">
        <f>IF($A3002="","",$K3002+(5002-ROW())/10000)</f>
        <v/>
      </c>
    </row>
    <row r="3003">
      <c r="K3003">
        <f>IF($A3003="","",SUM($E3003:$J3003))</f>
        <v/>
      </c>
      <c r="M3003">
        <f>IF($A3003="","",MAX(0,ROUNDUP(DASHBOARD!$F$3-$D3003,0)))</f>
        <v/>
      </c>
      <c r="N3003">
        <f>IF($A3003="","",$K3003+(5002-ROW())/10000)</f>
        <v/>
      </c>
    </row>
    <row r="3004">
      <c r="K3004">
        <f>IF($A3004="","",SUM($E3004:$J3004))</f>
        <v/>
      </c>
      <c r="M3004">
        <f>IF($A3004="","",MAX(0,ROUNDUP(DASHBOARD!$F$3-$D3004,0)))</f>
        <v/>
      </c>
      <c r="N3004">
        <f>IF($A3004="","",$K3004+(5002-ROW())/10000)</f>
        <v/>
      </c>
    </row>
    <row r="3005">
      <c r="K3005">
        <f>IF($A3005="","",SUM($E3005:$J3005))</f>
        <v/>
      </c>
      <c r="M3005">
        <f>IF($A3005="","",MAX(0,ROUNDUP(DASHBOARD!$F$3-$D3005,0)))</f>
        <v/>
      </c>
      <c r="N3005">
        <f>IF($A3005="","",$K3005+(5002-ROW())/10000)</f>
        <v/>
      </c>
    </row>
    <row r="3006">
      <c r="K3006">
        <f>IF($A3006="","",SUM($E3006:$J3006))</f>
        <v/>
      </c>
      <c r="M3006">
        <f>IF($A3006="","",MAX(0,ROUNDUP(DASHBOARD!$F$3-$D3006,0)))</f>
        <v/>
      </c>
      <c r="N3006">
        <f>IF($A3006="","",$K3006+(5002-ROW())/10000)</f>
        <v/>
      </c>
    </row>
    <row r="3007">
      <c r="K3007">
        <f>IF($A3007="","",SUM($E3007:$J3007))</f>
        <v/>
      </c>
      <c r="M3007">
        <f>IF($A3007="","",MAX(0,ROUNDUP(DASHBOARD!$F$3-$D3007,0)))</f>
        <v/>
      </c>
      <c r="N3007">
        <f>IF($A3007="","",$K3007+(5002-ROW())/10000)</f>
        <v/>
      </c>
    </row>
    <row r="3008">
      <c r="K3008">
        <f>IF($A3008="","",SUM($E3008:$J3008))</f>
        <v/>
      </c>
      <c r="M3008">
        <f>IF($A3008="","",MAX(0,ROUNDUP(DASHBOARD!$F$3-$D3008,0)))</f>
        <v/>
      </c>
      <c r="N3008">
        <f>IF($A3008="","",$K3008+(5002-ROW())/10000)</f>
        <v/>
      </c>
    </row>
    <row r="3009">
      <c r="K3009">
        <f>IF($A3009="","",SUM($E3009:$J3009))</f>
        <v/>
      </c>
      <c r="M3009">
        <f>IF($A3009="","",MAX(0,ROUNDUP(DASHBOARD!$F$3-$D3009,0)))</f>
        <v/>
      </c>
      <c r="N3009">
        <f>IF($A3009="","",$K3009+(5002-ROW())/10000)</f>
        <v/>
      </c>
    </row>
    <row r="3010">
      <c r="K3010">
        <f>IF($A3010="","",SUM($E3010:$J3010))</f>
        <v/>
      </c>
      <c r="M3010">
        <f>IF($A3010="","",MAX(0,ROUNDUP(DASHBOARD!$F$3-$D3010,0)))</f>
        <v/>
      </c>
      <c r="N3010">
        <f>IF($A3010="","",$K3010+(5002-ROW())/10000)</f>
        <v/>
      </c>
    </row>
    <row r="3011">
      <c r="K3011">
        <f>IF($A3011="","",SUM($E3011:$J3011))</f>
        <v/>
      </c>
      <c r="M3011">
        <f>IF($A3011="","",MAX(0,ROUNDUP(DASHBOARD!$F$3-$D3011,0)))</f>
        <v/>
      </c>
      <c r="N3011">
        <f>IF($A3011="","",$K3011+(5002-ROW())/10000)</f>
        <v/>
      </c>
    </row>
    <row r="3012">
      <c r="K3012">
        <f>IF($A3012="","",SUM($E3012:$J3012))</f>
        <v/>
      </c>
      <c r="M3012">
        <f>IF($A3012="","",MAX(0,ROUNDUP(DASHBOARD!$F$3-$D3012,0)))</f>
        <v/>
      </c>
      <c r="N3012">
        <f>IF($A3012="","",$K3012+(5002-ROW())/10000)</f>
        <v/>
      </c>
    </row>
    <row r="3013">
      <c r="K3013">
        <f>IF($A3013="","",SUM($E3013:$J3013))</f>
        <v/>
      </c>
      <c r="M3013">
        <f>IF($A3013="","",MAX(0,ROUNDUP(DASHBOARD!$F$3-$D3013,0)))</f>
        <v/>
      </c>
      <c r="N3013">
        <f>IF($A3013="","",$K3013+(5002-ROW())/10000)</f>
        <v/>
      </c>
    </row>
    <row r="3014">
      <c r="K3014">
        <f>IF($A3014="","",SUM($E3014:$J3014))</f>
        <v/>
      </c>
      <c r="M3014">
        <f>IF($A3014="","",MAX(0,ROUNDUP(DASHBOARD!$F$3-$D3014,0)))</f>
        <v/>
      </c>
      <c r="N3014">
        <f>IF($A3014="","",$K3014+(5002-ROW())/10000)</f>
        <v/>
      </c>
    </row>
    <row r="3015">
      <c r="K3015">
        <f>IF($A3015="","",SUM($E3015:$J3015))</f>
        <v/>
      </c>
      <c r="M3015">
        <f>IF($A3015="","",MAX(0,ROUNDUP(DASHBOARD!$F$3-$D3015,0)))</f>
        <v/>
      </c>
      <c r="N3015">
        <f>IF($A3015="","",$K3015+(5002-ROW())/10000)</f>
        <v/>
      </c>
    </row>
    <row r="3016">
      <c r="K3016">
        <f>IF($A3016="","",SUM($E3016:$J3016))</f>
        <v/>
      </c>
      <c r="M3016">
        <f>IF($A3016="","",MAX(0,ROUNDUP(DASHBOARD!$F$3-$D3016,0)))</f>
        <v/>
      </c>
      <c r="N3016">
        <f>IF($A3016="","",$K3016+(5002-ROW())/10000)</f>
        <v/>
      </c>
    </row>
    <row r="3017">
      <c r="K3017">
        <f>IF($A3017="","",SUM($E3017:$J3017))</f>
        <v/>
      </c>
      <c r="M3017">
        <f>IF($A3017="","",MAX(0,ROUNDUP(DASHBOARD!$F$3-$D3017,0)))</f>
        <v/>
      </c>
      <c r="N3017">
        <f>IF($A3017="","",$K3017+(5002-ROW())/10000)</f>
        <v/>
      </c>
    </row>
    <row r="3018">
      <c r="K3018">
        <f>IF($A3018="","",SUM($E3018:$J3018))</f>
        <v/>
      </c>
      <c r="M3018">
        <f>IF($A3018="","",MAX(0,ROUNDUP(DASHBOARD!$F$3-$D3018,0)))</f>
        <v/>
      </c>
      <c r="N3018">
        <f>IF($A3018="","",$K3018+(5002-ROW())/10000)</f>
        <v/>
      </c>
    </row>
    <row r="3019">
      <c r="K3019">
        <f>IF($A3019="","",SUM($E3019:$J3019))</f>
        <v/>
      </c>
      <c r="M3019">
        <f>IF($A3019="","",MAX(0,ROUNDUP(DASHBOARD!$F$3-$D3019,0)))</f>
        <v/>
      </c>
      <c r="N3019">
        <f>IF($A3019="","",$K3019+(5002-ROW())/10000)</f>
        <v/>
      </c>
    </row>
    <row r="3020">
      <c r="K3020">
        <f>IF($A3020="","",SUM($E3020:$J3020))</f>
        <v/>
      </c>
      <c r="M3020">
        <f>IF($A3020="","",MAX(0,ROUNDUP(DASHBOARD!$F$3-$D3020,0)))</f>
        <v/>
      </c>
      <c r="N3020">
        <f>IF($A3020="","",$K3020+(5002-ROW())/10000)</f>
        <v/>
      </c>
    </row>
    <row r="3021">
      <c r="K3021">
        <f>IF($A3021="","",SUM($E3021:$J3021))</f>
        <v/>
      </c>
      <c r="M3021">
        <f>IF($A3021="","",MAX(0,ROUNDUP(DASHBOARD!$F$3-$D3021,0)))</f>
        <v/>
      </c>
      <c r="N3021">
        <f>IF($A3021="","",$K3021+(5002-ROW())/10000)</f>
        <v/>
      </c>
    </row>
    <row r="3022">
      <c r="K3022">
        <f>IF($A3022="","",SUM($E3022:$J3022))</f>
        <v/>
      </c>
      <c r="M3022">
        <f>IF($A3022="","",MAX(0,ROUNDUP(DASHBOARD!$F$3-$D3022,0)))</f>
        <v/>
      </c>
      <c r="N3022">
        <f>IF($A3022="","",$K3022+(5002-ROW())/10000)</f>
        <v/>
      </c>
    </row>
    <row r="3023">
      <c r="K3023">
        <f>IF($A3023="","",SUM($E3023:$J3023))</f>
        <v/>
      </c>
      <c r="M3023">
        <f>IF($A3023="","",MAX(0,ROUNDUP(DASHBOARD!$F$3-$D3023,0)))</f>
        <v/>
      </c>
      <c r="N3023">
        <f>IF($A3023="","",$K3023+(5002-ROW())/10000)</f>
        <v/>
      </c>
    </row>
    <row r="3024">
      <c r="K3024">
        <f>IF($A3024="","",SUM($E3024:$J3024))</f>
        <v/>
      </c>
      <c r="M3024">
        <f>IF($A3024="","",MAX(0,ROUNDUP(DASHBOARD!$F$3-$D3024,0)))</f>
        <v/>
      </c>
      <c r="N3024">
        <f>IF($A3024="","",$K3024+(5002-ROW())/10000)</f>
        <v/>
      </c>
    </row>
    <row r="3025">
      <c r="K3025">
        <f>IF($A3025="","",SUM($E3025:$J3025))</f>
        <v/>
      </c>
      <c r="M3025">
        <f>IF($A3025="","",MAX(0,ROUNDUP(DASHBOARD!$F$3-$D3025,0)))</f>
        <v/>
      </c>
      <c r="N3025">
        <f>IF($A3025="","",$K3025+(5002-ROW())/10000)</f>
        <v/>
      </c>
    </row>
    <row r="3026">
      <c r="K3026">
        <f>IF($A3026="","",SUM($E3026:$J3026))</f>
        <v/>
      </c>
      <c r="M3026">
        <f>IF($A3026="","",MAX(0,ROUNDUP(DASHBOARD!$F$3-$D3026,0)))</f>
        <v/>
      </c>
      <c r="N3026">
        <f>IF($A3026="","",$K3026+(5002-ROW())/10000)</f>
        <v/>
      </c>
    </row>
    <row r="3027">
      <c r="K3027">
        <f>IF($A3027="","",SUM($E3027:$J3027))</f>
        <v/>
      </c>
      <c r="M3027">
        <f>IF($A3027="","",MAX(0,ROUNDUP(DASHBOARD!$F$3-$D3027,0)))</f>
        <v/>
      </c>
      <c r="N3027">
        <f>IF($A3027="","",$K3027+(5002-ROW())/10000)</f>
        <v/>
      </c>
    </row>
    <row r="3028">
      <c r="K3028">
        <f>IF($A3028="","",SUM($E3028:$J3028))</f>
        <v/>
      </c>
      <c r="M3028">
        <f>IF($A3028="","",MAX(0,ROUNDUP(DASHBOARD!$F$3-$D3028,0)))</f>
        <v/>
      </c>
      <c r="N3028">
        <f>IF($A3028="","",$K3028+(5002-ROW())/10000)</f>
        <v/>
      </c>
    </row>
    <row r="3029">
      <c r="K3029">
        <f>IF($A3029="","",SUM($E3029:$J3029))</f>
        <v/>
      </c>
      <c r="M3029">
        <f>IF($A3029="","",MAX(0,ROUNDUP(DASHBOARD!$F$3-$D3029,0)))</f>
        <v/>
      </c>
      <c r="N3029">
        <f>IF($A3029="","",$K3029+(5002-ROW())/10000)</f>
        <v/>
      </c>
    </row>
    <row r="3030">
      <c r="K3030">
        <f>IF($A3030="","",SUM($E3030:$J3030))</f>
        <v/>
      </c>
      <c r="M3030">
        <f>IF($A3030="","",MAX(0,ROUNDUP(DASHBOARD!$F$3-$D3030,0)))</f>
        <v/>
      </c>
      <c r="N3030">
        <f>IF($A3030="","",$K3030+(5002-ROW())/10000)</f>
        <v/>
      </c>
    </row>
    <row r="3031">
      <c r="K3031">
        <f>IF($A3031="","",SUM($E3031:$J3031))</f>
        <v/>
      </c>
      <c r="M3031">
        <f>IF($A3031="","",MAX(0,ROUNDUP(DASHBOARD!$F$3-$D3031,0)))</f>
        <v/>
      </c>
      <c r="N3031">
        <f>IF($A3031="","",$K3031+(5002-ROW())/10000)</f>
        <v/>
      </c>
    </row>
    <row r="3032">
      <c r="K3032">
        <f>IF($A3032="","",SUM($E3032:$J3032))</f>
        <v/>
      </c>
      <c r="M3032">
        <f>IF($A3032="","",MAX(0,ROUNDUP(DASHBOARD!$F$3-$D3032,0)))</f>
        <v/>
      </c>
      <c r="N3032">
        <f>IF($A3032="","",$K3032+(5002-ROW())/10000)</f>
        <v/>
      </c>
    </row>
    <row r="3033">
      <c r="K3033">
        <f>IF($A3033="","",SUM($E3033:$J3033))</f>
        <v/>
      </c>
      <c r="M3033">
        <f>IF($A3033="","",MAX(0,ROUNDUP(DASHBOARD!$F$3-$D3033,0)))</f>
        <v/>
      </c>
      <c r="N3033">
        <f>IF($A3033="","",$K3033+(5002-ROW())/10000)</f>
        <v/>
      </c>
    </row>
    <row r="3034">
      <c r="K3034">
        <f>IF($A3034="","",SUM($E3034:$J3034))</f>
        <v/>
      </c>
      <c r="M3034">
        <f>IF($A3034="","",MAX(0,ROUNDUP(DASHBOARD!$F$3-$D3034,0)))</f>
        <v/>
      </c>
      <c r="N3034">
        <f>IF($A3034="","",$K3034+(5002-ROW())/10000)</f>
        <v/>
      </c>
    </row>
    <row r="3035">
      <c r="K3035">
        <f>IF($A3035="","",SUM($E3035:$J3035))</f>
        <v/>
      </c>
      <c r="M3035">
        <f>IF($A3035="","",MAX(0,ROUNDUP(DASHBOARD!$F$3-$D3035,0)))</f>
        <v/>
      </c>
      <c r="N3035">
        <f>IF($A3035="","",$K3035+(5002-ROW())/10000)</f>
        <v/>
      </c>
    </row>
    <row r="3036">
      <c r="K3036">
        <f>IF($A3036="","",SUM($E3036:$J3036))</f>
        <v/>
      </c>
      <c r="M3036">
        <f>IF($A3036="","",MAX(0,ROUNDUP(DASHBOARD!$F$3-$D3036,0)))</f>
        <v/>
      </c>
      <c r="N3036">
        <f>IF($A3036="","",$K3036+(5002-ROW())/10000)</f>
        <v/>
      </c>
    </row>
    <row r="3037">
      <c r="K3037">
        <f>IF($A3037="","",SUM($E3037:$J3037))</f>
        <v/>
      </c>
      <c r="M3037">
        <f>IF($A3037="","",MAX(0,ROUNDUP(DASHBOARD!$F$3-$D3037,0)))</f>
        <v/>
      </c>
      <c r="N3037">
        <f>IF($A3037="","",$K3037+(5002-ROW())/10000)</f>
        <v/>
      </c>
    </row>
    <row r="3038">
      <c r="K3038">
        <f>IF($A3038="","",SUM($E3038:$J3038))</f>
        <v/>
      </c>
      <c r="M3038">
        <f>IF($A3038="","",MAX(0,ROUNDUP(DASHBOARD!$F$3-$D3038,0)))</f>
        <v/>
      </c>
      <c r="N3038">
        <f>IF($A3038="","",$K3038+(5002-ROW())/10000)</f>
        <v/>
      </c>
    </row>
    <row r="3039">
      <c r="K3039">
        <f>IF($A3039="","",SUM($E3039:$J3039))</f>
        <v/>
      </c>
      <c r="M3039">
        <f>IF($A3039="","",MAX(0,ROUNDUP(DASHBOARD!$F$3-$D3039,0)))</f>
        <v/>
      </c>
      <c r="N3039">
        <f>IF($A3039="","",$K3039+(5002-ROW())/10000)</f>
        <v/>
      </c>
    </row>
    <row r="3040">
      <c r="K3040">
        <f>IF($A3040="","",SUM($E3040:$J3040))</f>
        <v/>
      </c>
      <c r="M3040">
        <f>IF($A3040="","",MAX(0,ROUNDUP(DASHBOARD!$F$3-$D3040,0)))</f>
        <v/>
      </c>
      <c r="N3040">
        <f>IF($A3040="","",$K3040+(5002-ROW())/10000)</f>
        <v/>
      </c>
    </row>
    <row r="3041">
      <c r="K3041">
        <f>IF($A3041="","",SUM($E3041:$J3041))</f>
        <v/>
      </c>
      <c r="M3041">
        <f>IF($A3041="","",MAX(0,ROUNDUP(DASHBOARD!$F$3-$D3041,0)))</f>
        <v/>
      </c>
      <c r="N3041">
        <f>IF($A3041="","",$K3041+(5002-ROW())/10000)</f>
        <v/>
      </c>
    </row>
    <row r="3042">
      <c r="K3042">
        <f>IF($A3042="","",SUM($E3042:$J3042))</f>
        <v/>
      </c>
      <c r="M3042">
        <f>IF($A3042="","",MAX(0,ROUNDUP(DASHBOARD!$F$3-$D3042,0)))</f>
        <v/>
      </c>
      <c r="N3042">
        <f>IF($A3042="","",$K3042+(5002-ROW())/10000)</f>
        <v/>
      </c>
    </row>
    <row r="3043">
      <c r="K3043">
        <f>IF($A3043="","",SUM($E3043:$J3043))</f>
        <v/>
      </c>
      <c r="M3043">
        <f>IF($A3043="","",MAX(0,ROUNDUP(DASHBOARD!$F$3-$D3043,0)))</f>
        <v/>
      </c>
      <c r="N3043">
        <f>IF($A3043="","",$K3043+(5002-ROW())/10000)</f>
        <v/>
      </c>
    </row>
    <row r="3044">
      <c r="K3044">
        <f>IF($A3044="","",SUM($E3044:$J3044))</f>
        <v/>
      </c>
      <c r="M3044">
        <f>IF($A3044="","",MAX(0,ROUNDUP(DASHBOARD!$F$3-$D3044,0)))</f>
        <v/>
      </c>
      <c r="N3044">
        <f>IF($A3044="","",$K3044+(5002-ROW())/10000)</f>
        <v/>
      </c>
    </row>
    <row r="3045">
      <c r="K3045">
        <f>IF($A3045="","",SUM($E3045:$J3045))</f>
        <v/>
      </c>
      <c r="M3045">
        <f>IF($A3045="","",MAX(0,ROUNDUP(DASHBOARD!$F$3-$D3045,0)))</f>
        <v/>
      </c>
      <c r="N3045">
        <f>IF($A3045="","",$K3045+(5002-ROW())/10000)</f>
        <v/>
      </c>
    </row>
    <row r="3046">
      <c r="K3046">
        <f>IF($A3046="","",SUM($E3046:$J3046))</f>
        <v/>
      </c>
      <c r="M3046">
        <f>IF($A3046="","",MAX(0,ROUNDUP(DASHBOARD!$F$3-$D3046,0)))</f>
        <v/>
      </c>
      <c r="N3046">
        <f>IF($A3046="","",$K3046+(5002-ROW())/10000)</f>
        <v/>
      </c>
    </row>
    <row r="3047">
      <c r="K3047">
        <f>IF($A3047="","",SUM($E3047:$J3047))</f>
        <v/>
      </c>
      <c r="M3047">
        <f>IF($A3047="","",MAX(0,ROUNDUP(DASHBOARD!$F$3-$D3047,0)))</f>
        <v/>
      </c>
      <c r="N3047">
        <f>IF($A3047="","",$K3047+(5002-ROW())/10000)</f>
        <v/>
      </c>
    </row>
    <row r="3048">
      <c r="K3048">
        <f>IF($A3048="","",SUM($E3048:$J3048))</f>
        <v/>
      </c>
      <c r="M3048">
        <f>IF($A3048="","",MAX(0,ROUNDUP(DASHBOARD!$F$3-$D3048,0)))</f>
        <v/>
      </c>
      <c r="N3048">
        <f>IF($A3048="","",$K3048+(5002-ROW())/10000)</f>
        <v/>
      </c>
    </row>
    <row r="3049">
      <c r="K3049">
        <f>IF($A3049="","",SUM($E3049:$J3049))</f>
        <v/>
      </c>
      <c r="M3049">
        <f>IF($A3049="","",MAX(0,ROUNDUP(DASHBOARD!$F$3-$D3049,0)))</f>
        <v/>
      </c>
      <c r="N3049">
        <f>IF($A3049="","",$K3049+(5002-ROW())/10000)</f>
        <v/>
      </c>
    </row>
    <row r="3050">
      <c r="K3050">
        <f>IF($A3050="","",SUM($E3050:$J3050))</f>
        <v/>
      </c>
      <c r="M3050">
        <f>IF($A3050="","",MAX(0,ROUNDUP(DASHBOARD!$F$3-$D3050,0)))</f>
        <v/>
      </c>
      <c r="N3050">
        <f>IF($A3050="","",$K3050+(5002-ROW())/10000)</f>
        <v/>
      </c>
    </row>
    <row r="3051">
      <c r="K3051">
        <f>IF($A3051="","",SUM($E3051:$J3051))</f>
        <v/>
      </c>
      <c r="M3051">
        <f>IF($A3051="","",MAX(0,ROUNDUP(DASHBOARD!$F$3-$D3051,0)))</f>
        <v/>
      </c>
      <c r="N3051">
        <f>IF($A3051="","",$K3051+(5002-ROW())/10000)</f>
        <v/>
      </c>
    </row>
    <row r="3052">
      <c r="K3052">
        <f>IF($A3052="","",SUM($E3052:$J3052))</f>
        <v/>
      </c>
      <c r="M3052">
        <f>IF($A3052="","",MAX(0,ROUNDUP(DASHBOARD!$F$3-$D3052,0)))</f>
        <v/>
      </c>
      <c r="N3052">
        <f>IF($A3052="","",$K3052+(5002-ROW())/10000)</f>
        <v/>
      </c>
    </row>
    <row r="3053">
      <c r="K3053">
        <f>IF($A3053="","",SUM($E3053:$J3053))</f>
        <v/>
      </c>
      <c r="M3053">
        <f>IF($A3053="","",MAX(0,ROUNDUP(DASHBOARD!$F$3-$D3053,0)))</f>
        <v/>
      </c>
      <c r="N3053">
        <f>IF($A3053="","",$K3053+(5002-ROW())/10000)</f>
        <v/>
      </c>
    </row>
    <row r="3054">
      <c r="K3054">
        <f>IF($A3054="","",SUM($E3054:$J3054))</f>
        <v/>
      </c>
      <c r="M3054">
        <f>IF($A3054="","",MAX(0,ROUNDUP(DASHBOARD!$F$3-$D3054,0)))</f>
        <v/>
      </c>
      <c r="N3054">
        <f>IF($A3054="","",$K3054+(5002-ROW())/10000)</f>
        <v/>
      </c>
    </row>
    <row r="3055">
      <c r="K3055">
        <f>IF($A3055="","",SUM($E3055:$J3055))</f>
        <v/>
      </c>
      <c r="M3055">
        <f>IF($A3055="","",MAX(0,ROUNDUP(DASHBOARD!$F$3-$D3055,0)))</f>
        <v/>
      </c>
      <c r="N3055">
        <f>IF($A3055="","",$K3055+(5002-ROW())/10000)</f>
        <v/>
      </c>
    </row>
    <row r="3056">
      <c r="K3056">
        <f>IF($A3056="","",SUM($E3056:$J3056))</f>
        <v/>
      </c>
      <c r="M3056">
        <f>IF($A3056="","",MAX(0,ROUNDUP(DASHBOARD!$F$3-$D3056,0)))</f>
        <v/>
      </c>
      <c r="N3056">
        <f>IF($A3056="","",$K3056+(5002-ROW())/10000)</f>
        <v/>
      </c>
    </row>
    <row r="3057">
      <c r="K3057">
        <f>IF($A3057="","",SUM($E3057:$J3057))</f>
        <v/>
      </c>
      <c r="M3057">
        <f>IF($A3057="","",MAX(0,ROUNDUP(DASHBOARD!$F$3-$D3057,0)))</f>
        <v/>
      </c>
      <c r="N3057">
        <f>IF($A3057="","",$K3057+(5002-ROW())/10000)</f>
        <v/>
      </c>
    </row>
    <row r="3058">
      <c r="K3058">
        <f>IF($A3058="","",SUM($E3058:$J3058))</f>
        <v/>
      </c>
      <c r="M3058">
        <f>IF($A3058="","",MAX(0,ROUNDUP(DASHBOARD!$F$3-$D3058,0)))</f>
        <v/>
      </c>
      <c r="N3058">
        <f>IF($A3058="","",$K3058+(5002-ROW())/10000)</f>
        <v/>
      </c>
    </row>
    <row r="3059">
      <c r="K3059">
        <f>IF($A3059="","",SUM($E3059:$J3059))</f>
        <v/>
      </c>
      <c r="M3059">
        <f>IF($A3059="","",MAX(0,ROUNDUP(DASHBOARD!$F$3-$D3059,0)))</f>
        <v/>
      </c>
      <c r="N3059">
        <f>IF($A3059="","",$K3059+(5002-ROW())/10000)</f>
        <v/>
      </c>
    </row>
    <row r="3060">
      <c r="K3060">
        <f>IF($A3060="","",SUM($E3060:$J3060))</f>
        <v/>
      </c>
      <c r="M3060">
        <f>IF($A3060="","",MAX(0,ROUNDUP(DASHBOARD!$F$3-$D3060,0)))</f>
        <v/>
      </c>
      <c r="N3060">
        <f>IF($A3060="","",$K3060+(5002-ROW())/10000)</f>
        <v/>
      </c>
    </row>
    <row r="3061">
      <c r="K3061">
        <f>IF($A3061="","",SUM($E3061:$J3061))</f>
        <v/>
      </c>
      <c r="M3061">
        <f>IF($A3061="","",MAX(0,ROUNDUP(DASHBOARD!$F$3-$D3061,0)))</f>
        <v/>
      </c>
      <c r="N3061">
        <f>IF($A3061="","",$K3061+(5002-ROW())/10000)</f>
        <v/>
      </c>
    </row>
    <row r="3062">
      <c r="K3062">
        <f>IF($A3062="","",SUM($E3062:$J3062))</f>
        <v/>
      </c>
      <c r="M3062">
        <f>IF($A3062="","",MAX(0,ROUNDUP(DASHBOARD!$F$3-$D3062,0)))</f>
        <v/>
      </c>
      <c r="N3062">
        <f>IF($A3062="","",$K3062+(5002-ROW())/10000)</f>
        <v/>
      </c>
    </row>
    <row r="3063">
      <c r="K3063">
        <f>IF($A3063="","",SUM($E3063:$J3063))</f>
        <v/>
      </c>
      <c r="M3063">
        <f>IF($A3063="","",MAX(0,ROUNDUP(DASHBOARD!$F$3-$D3063,0)))</f>
        <v/>
      </c>
      <c r="N3063">
        <f>IF($A3063="","",$K3063+(5002-ROW())/10000)</f>
        <v/>
      </c>
    </row>
    <row r="3064">
      <c r="K3064">
        <f>IF($A3064="","",SUM($E3064:$J3064))</f>
        <v/>
      </c>
      <c r="M3064">
        <f>IF($A3064="","",MAX(0,ROUNDUP(DASHBOARD!$F$3-$D3064,0)))</f>
        <v/>
      </c>
      <c r="N3064">
        <f>IF($A3064="","",$K3064+(5002-ROW())/10000)</f>
        <v/>
      </c>
    </row>
    <row r="3065">
      <c r="K3065">
        <f>IF($A3065="","",SUM($E3065:$J3065))</f>
        <v/>
      </c>
      <c r="M3065">
        <f>IF($A3065="","",MAX(0,ROUNDUP(DASHBOARD!$F$3-$D3065,0)))</f>
        <v/>
      </c>
      <c r="N3065">
        <f>IF($A3065="","",$K3065+(5002-ROW())/10000)</f>
        <v/>
      </c>
    </row>
    <row r="3066">
      <c r="K3066">
        <f>IF($A3066="","",SUM($E3066:$J3066))</f>
        <v/>
      </c>
      <c r="M3066">
        <f>IF($A3066="","",MAX(0,ROUNDUP(DASHBOARD!$F$3-$D3066,0)))</f>
        <v/>
      </c>
      <c r="N3066">
        <f>IF($A3066="","",$K3066+(5002-ROW())/10000)</f>
        <v/>
      </c>
    </row>
    <row r="3067">
      <c r="K3067">
        <f>IF($A3067="","",SUM($E3067:$J3067))</f>
        <v/>
      </c>
      <c r="M3067">
        <f>IF($A3067="","",MAX(0,ROUNDUP(DASHBOARD!$F$3-$D3067,0)))</f>
        <v/>
      </c>
      <c r="N3067">
        <f>IF($A3067="","",$K3067+(5002-ROW())/10000)</f>
        <v/>
      </c>
    </row>
    <row r="3068">
      <c r="K3068">
        <f>IF($A3068="","",SUM($E3068:$J3068))</f>
        <v/>
      </c>
      <c r="M3068">
        <f>IF($A3068="","",MAX(0,ROUNDUP(DASHBOARD!$F$3-$D3068,0)))</f>
        <v/>
      </c>
      <c r="N3068">
        <f>IF($A3068="","",$K3068+(5002-ROW())/10000)</f>
        <v/>
      </c>
    </row>
    <row r="3069">
      <c r="K3069">
        <f>IF($A3069="","",SUM($E3069:$J3069))</f>
        <v/>
      </c>
      <c r="M3069">
        <f>IF($A3069="","",MAX(0,ROUNDUP(DASHBOARD!$F$3-$D3069,0)))</f>
        <v/>
      </c>
      <c r="N3069">
        <f>IF($A3069="","",$K3069+(5002-ROW())/10000)</f>
        <v/>
      </c>
    </row>
    <row r="3070">
      <c r="K3070">
        <f>IF($A3070="","",SUM($E3070:$J3070))</f>
        <v/>
      </c>
      <c r="M3070">
        <f>IF($A3070="","",MAX(0,ROUNDUP(DASHBOARD!$F$3-$D3070,0)))</f>
        <v/>
      </c>
      <c r="N3070">
        <f>IF($A3070="","",$K3070+(5002-ROW())/10000)</f>
        <v/>
      </c>
    </row>
    <row r="3071">
      <c r="K3071">
        <f>IF($A3071="","",SUM($E3071:$J3071))</f>
        <v/>
      </c>
      <c r="M3071">
        <f>IF($A3071="","",MAX(0,ROUNDUP(DASHBOARD!$F$3-$D3071,0)))</f>
        <v/>
      </c>
      <c r="N3071">
        <f>IF($A3071="","",$K3071+(5002-ROW())/10000)</f>
        <v/>
      </c>
    </row>
    <row r="3072">
      <c r="K3072">
        <f>IF($A3072="","",SUM($E3072:$J3072))</f>
        <v/>
      </c>
      <c r="M3072">
        <f>IF($A3072="","",MAX(0,ROUNDUP(DASHBOARD!$F$3-$D3072,0)))</f>
        <v/>
      </c>
      <c r="N3072">
        <f>IF($A3072="","",$K3072+(5002-ROW())/10000)</f>
        <v/>
      </c>
    </row>
    <row r="3073">
      <c r="K3073">
        <f>IF($A3073="","",SUM($E3073:$J3073))</f>
        <v/>
      </c>
      <c r="M3073">
        <f>IF($A3073="","",MAX(0,ROUNDUP(DASHBOARD!$F$3-$D3073,0)))</f>
        <v/>
      </c>
      <c r="N3073">
        <f>IF($A3073="","",$K3073+(5002-ROW())/10000)</f>
        <v/>
      </c>
    </row>
    <row r="3074">
      <c r="K3074">
        <f>IF($A3074="","",SUM($E3074:$J3074))</f>
        <v/>
      </c>
      <c r="M3074">
        <f>IF($A3074="","",MAX(0,ROUNDUP(DASHBOARD!$F$3-$D3074,0)))</f>
        <v/>
      </c>
      <c r="N3074">
        <f>IF($A3074="","",$K3074+(5002-ROW())/10000)</f>
        <v/>
      </c>
    </row>
    <row r="3075">
      <c r="K3075">
        <f>IF($A3075="","",SUM($E3075:$J3075))</f>
        <v/>
      </c>
      <c r="M3075">
        <f>IF($A3075="","",MAX(0,ROUNDUP(DASHBOARD!$F$3-$D3075,0)))</f>
        <v/>
      </c>
      <c r="N3075">
        <f>IF($A3075="","",$K3075+(5002-ROW())/10000)</f>
        <v/>
      </c>
    </row>
    <row r="3076">
      <c r="K3076">
        <f>IF($A3076="","",SUM($E3076:$J3076))</f>
        <v/>
      </c>
      <c r="M3076">
        <f>IF($A3076="","",MAX(0,ROUNDUP(DASHBOARD!$F$3-$D3076,0)))</f>
        <v/>
      </c>
      <c r="N3076">
        <f>IF($A3076="","",$K3076+(5002-ROW())/10000)</f>
        <v/>
      </c>
    </row>
    <row r="3077">
      <c r="K3077">
        <f>IF($A3077="","",SUM($E3077:$J3077))</f>
        <v/>
      </c>
      <c r="M3077">
        <f>IF($A3077="","",MAX(0,ROUNDUP(DASHBOARD!$F$3-$D3077,0)))</f>
        <v/>
      </c>
      <c r="N3077">
        <f>IF($A3077="","",$K3077+(5002-ROW())/10000)</f>
        <v/>
      </c>
    </row>
    <row r="3078">
      <c r="K3078">
        <f>IF($A3078="","",SUM($E3078:$J3078))</f>
        <v/>
      </c>
      <c r="M3078">
        <f>IF($A3078="","",MAX(0,ROUNDUP(DASHBOARD!$F$3-$D3078,0)))</f>
        <v/>
      </c>
      <c r="N3078">
        <f>IF($A3078="","",$K3078+(5002-ROW())/10000)</f>
        <v/>
      </c>
    </row>
    <row r="3079">
      <c r="K3079">
        <f>IF($A3079="","",SUM($E3079:$J3079))</f>
        <v/>
      </c>
      <c r="M3079">
        <f>IF($A3079="","",MAX(0,ROUNDUP(DASHBOARD!$F$3-$D3079,0)))</f>
        <v/>
      </c>
      <c r="N3079">
        <f>IF($A3079="","",$K3079+(5002-ROW())/10000)</f>
        <v/>
      </c>
    </row>
    <row r="3080">
      <c r="K3080">
        <f>IF($A3080="","",SUM($E3080:$J3080))</f>
        <v/>
      </c>
      <c r="M3080">
        <f>IF($A3080="","",MAX(0,ROUNDUP(DASHBOARD!$F$3-$D3080,0)))</f>
        <v/>
      </c>
      <c r="N3080">
        <f>IF($A3080="","",$K3080+(5002-ROW())/10000)</f>
        <v/>
      </c>
    </row>
    <row r="3081">
      <c r="K3081">
        <f>IF($A3081="","",SUM($E3081:$J3081))</f>
        <v/>
      </c>
      <c r="M3081">
        <f>IF($A3081="","",MAX(0,ROUNDUP(DASHBOARD!$F$3-$D3081,0)))</f>
        <v/>
      </c>
      <c r="N3081">
        <f>IF($A3081="","",$K3081+(5002-ROW())/10000)</f>
        <v/>
      </c>
    </row>
    <row r="3082">
      <c r="K3082">
        <f>IF($A3082="","",SUM($E3082:$J3082))</f>
        <v/>
      </c>
      <c r="M3082">
        <f>IF($A3082="","",MAX(0,ROUNDUP(DASHBOARD!$F$3-$D3082,0)))</f>
        <v/>
      </c>
      <c r="N3082">
        <f>IF($A3082="","",$K3082+(5002-ROW())/10000)</f>
        <v/>
      </c>
    </row>
    <row r="3083">
      <c r="K3083">
        <f>IF($A3083="","",SUM($E3083:$J3083))</f>
        <v/>
      </c>
      <c r="M3083">
        <f>IF($A3083="","",MAX(0,ROUNDUP(DASHBOARD!$F$3-$D3083,0)))</f>
        <v/>
      </c>
      <c r="N3083">
        <f>IF($A3083="","",$K3083+(5002-ROW())/10000)</f>
        <v/>
      </c>
    </row>
    <row r="3084">
      <c r="K3084">
        <f>IF($A3084="","",SUM($E3084:$J3084))</f>
        <v/>
      </c>
      <c r="M3084">
        <f>IF($A3084="","",MAX(0,ROUNDUP(DASHBOARD!$F$3-$D3084,0)))</f>
        <v/>
      </c>
      <c r="N3084">
        <f>IF($A3084="","",$K3084+(5002-ROW())/10000)</f>
        <v/>
      </c>
    </row>
    <row r="3085">
      <c r="K3085">
        <f>IF($A3085="","",SUM($E3085:$J3085))</f>
        <v/>
      </c>
      <c r="M3085">
        <f>IF($A3085="","",MAX(0,ROUNDUP(DASHBOARD!$F$3-$D3085,0)))</f>
        <v/>
      </c>
      <c r="N3085">
        <f>IF($A3085="","",$K3085+(5002-ROW())/10000)</f>
        <v/>
      </c>
    </row>
    <row r="3086">
      <c r="K3086">
        <f>IF($A3086="","",SUM($E3086:$J3086))</f>
        <v/>
      </c>
      <c r="M3086">
        <f>IF($A3086="","",MAX(0,ROUNDUP(DASHBOARD!$F$3-$D3086,0)))</f>
        <v/>
      </c>
      <c r="N3086">
        <f>IF($A3086="","",$K3086+(5002-ROW())/10000)</f>
        <v/>
      </c>
    </row>
    <row r="3087">
      <c r="K3087">
        <f>IF($A3087="","",SUM($E3087:$J3087))</f>
        <v/>
      </c>
      <c r="M3087">
        <f>IF($A3087="","",MAX(0,ROUNDUP(DASHBOARD!$F$3-$D3087,0)))</f>
        <v/>
      </c>
      <c r="N3087">
        <f>IF($A3087="","",$K3087+(5002-ROW())/10000)</f>
        <v/>
      </c>
    </row>
    <row r="3088">
      <c r="K3088">
        <f>IF($A3088="","",SUM($E3088:$J3088))</f>
        <v/>
      </c>
      <c r="M3088">
        <f>IF($A3088="","",MAX(0,ROUNDUP(DASHBOARD!$F$3-$D3088,0)))</f>
        <v/>
      </c>
      <c r="N3088">
        <f>IF($A3088="","",$K3088+(5002-ROW())/10000)</f>
        <v/>
      </c>
    </row>
    <row r="3089">
      <c r="K3089">
        <f>IF($A3089="","",SUM($E3089:$J3089))</f>
        <v/>
      </c>
      <c r="M3089">
        <f>IF($A3089="","",MAX(0,ROUNDUP(DASHBOARD!$F$3-$D3089,0)))</f>
        <v/>
      </c>
      <c r="N3089">
        <f>IF($A3089="","",$K3089+(5002-ROW())/10000)</f>
        <v/>
      </c>
    </row>
    <row r="3090">
      <c r="K3090">
        <f>IF($A3090="","",SUM($E3090:$J3090))</f>
        <v/>
      </c>
      <c r="M3090">
        <f>IF($A3090="","",MAX(0,ROUNDUP(DASHBOARD!$F$3-$D3090,0)))</f>
        <v/>
      </c>
      <c r="N3090">
        <f>IF($A3090="","",$K3090+(5002-ROW())/10000)</f>
        <v/>
      </c>
    </row>
    <row r="3091">
      <c r="K3091">
        <f>IF($A3091="","",SUM($E3091:$J3091))</f>
        <v/>
      </c>
      <c r="M3091">
        <f>IF($A3091="","",MAX(0,ROUNDUP(DASHBOARD!$F$3-$D3091,0)))</f>
        <v/>
      </c>
      <c r="N3091">
        <f>IF($A3091="","",$K3091+(5002-ROW())/10000)</f>
        <v/>
      </c>
    </row>
    <row r="3092">
      <c r="K3092">
        <f>IF($A3092="","",SUM($E3092:$J3092))</f>
        <v/>
      </c>
      <c r="M3092">
        <f>IF($A3092="","",MAX(0,ROUNDUP(DASHBOARD!$F$3-$D3092,0)))</f>
        <v/>
      </c>
      <c r="N3092">
        <f>IF($A3092="","",$K3092+(5002-ROW())/10000)</f>
        <v/>
      </c>
    </row>
    <row r="3093">
      <c r="K3093">
        <f>IF($A3093="","",SUM($E3093:$J3093))</f>
        <v/>
      </c>
      <c r="M3093">
        <f>IF($A3093="","",MAX(0,ROUNDUP(DASHBOARD!$F$3-$D3093,0)))</f>
        <v/>
      </c>
      <c r="N3093">
        <f>IF($A3093="","",$K3093+(5002-ROW())/10000)</f>
        <v/>
      </c>
    </row>
    <row r="3094">
      <c r="K3094">
        <f>IF($A3094="","",SUM($E3094:$J3094))</f>
        <v/>
      </c>
      <c r="M3094">
        <f>IF($A3094="","",MAX(0,ROUNDUP(DASHBOARD!$F$3-$D3094,0)))</f>
        <v/>
      </c>
      <c r="N3094">
        <f>IF($A3094="","",$K3094+(5002-ROW())/10000)</f>
        <v/>
      </c>
    </row>
    <row r="3095">
      <c r="K3095">
        <f>IF($A3095="","",SUM($E3095:$J3095))</f>
        <v/>
      </c>
      <c r="M3095">
        <f>IF($A3095="","",MAX(0,ROUNDUP(DASHBOARD!$F$3-$D3095,0)))</f>
        <v/>
      </c>
      <c r="N3095">
        <f>IF($A3095="","",$K3095+(5002-ROW())/10000)</f>
        <v/>
      </c>
    </row>
    <row r="3096">
      <c r="K3096">
        <f>IF($A3096="","",SUM($E3096:$J3096))</f>
        <v/>
      </c>
      <c r="M3096">
        <f>IF($A3096="","",MAX(0,ROUNDUP(DASHBOARD!$F$3-$D3096,0)))</f>
        <v/>
      </c>
      <c r="N3096">
        <f>IF($A3096="","",$K3096+(5002-ROW())/10000)</f>
        <v/>
      </c>
    </row>
    <row r="3097">
      <c r="K3097">
        <f>IF($A3097="","",SUM($E3097:$J3097))</f>
        <v/>
      </c>
      <c r="M3097">
        <f>IF($A3097="","",MAX(0,ROUNDUP(DASHBOARD!$F$3-$D3097,0)))</f>
        <v/>
      </c>
      <c r="N3097">
        <f>IF($A3097="","",$K3097+(5002-ROW())/10000)</f>
        <v/>
      </c>
    </row>
    <row r="3098">
      <c r="K3098">
        <f>IF($A3098="","",SUM($E3098:$J3098))</f>
        <v/>
      </c>
      <c r="M3098">
        <f>IF($A3098="","",MAX(0,ROUNDUP(DASHBOARD!$F$3-$D3098,0)))</f>
        <v/>
      </c>
      <c r="N3098">
        <f>IF($A3098="","",$K3098+(5002-ROW())/10000)</f>
        <v/>
      </c>
    </row>
    <row r="3099">
      <c r="K3099">
        <f>IF($A3099="","",SUM($E3099:$J3099))</f>
        <v/>
      </c>
      <c r="M3099">
        <f>IF($A3099="","",MAX(0,ROUNDUP(DASHBOARD!$F$3-$D3099,0)))</f>
        <v/>
      </c>
      <c r="N3099">
        <f>IF($A3099="","",$K3099+(5002-ROW())/10000)</f>
        <v/>
      </c>
    </row>
    <row r="3100">
      <c r="K3100">
        <f>IF($A3100="","",SUM($E3100:$J3100))</f>
        <v/>
      </c>
      <c r="M3100">
        <f>IF($A3100="","",MAX(0,ROUNDUP(DASHBOARD!$F$3-$D3100,0)))</f>
        <v/>
      </c>
      <c r="N3100">
        <f>IF($A3100="","",$K3100+(5002-ROW())/10000)</f>
        <v/>
      </c>
    </row>
    <row r="3101">
      <c r="K3101">
        <f>IF($A3101="","",SUM($E3101:$J3101))</f>
        <v/>
      </c>
      <c r="M3101">
        <f>IF($A3101="","",MAX(0,ROUNDUP(DASHBOARD!$F$3-$D3101,0)))</f>
        <v/>
      </c>
      <c r="N3101">
        <f>IF($A3101="","",$K3101+(5002-ROW())/10000)</f>
        <v/>
      </c>
    </row>
    <row r="3102">
      <c r="K3102">
        <f>IF($A3102="","",SUM($E3102:$J3102))</f>
        <v/>
      </c>
      <c r="M3102">
        <f>IF($A3102="","",MAX(0,ROUNDUP(DASHBOARD!$F$3-$D3102,0)))</f>
        <v/>
      </c>
      <c r="N3102">
        <f>IF($A3102="","",$K3102+(5002-ROW())/10000)</f>
        <v/>
      </c>
    </row>
    <row r="3103">
      <c r="K3103">
        <f>IF($A3103="","",SUM($E3103:$J3103))</f>
        <v/>
      </c>
      <c r="M3103">
        <f>IF($A3103="","",MAX(0,ROUNDUP(DASHBOARD!$F$3-$D3103,0)))</f>
        <v/>
      </c>
      <c r="N3103">
        <f>IF($A3103="","",$K3103+(5002-ROW())/10000)</f>
        <v/>
      </c>
    </row>
    <row r="3104">
      <c r="K3104">
        <f>IF($A3104="","",SUM($E3104:$J3104))</f>
        <v/>
      </c>
      <c r="M3104">
        <f>IF($A3104="","",MAX(0,ROUNDUP(DASHBOARD!$F$3-$D3104,0)))</f>
        <v/>
      </c>
      <c r="N3104">
        <f>IF($A3104="","",$K3104+(5002-ROW())/10000)</f>
        <v/>
      </c>
    </row>
    <row r="3105">
      <c r="K3105">
        <f>IF($A3105="","",SUM($E3105:$J3105))</f>
        <v/>
      </c>
      <c r="M3105">
        <f>IF($A3105="","",MAX(0,ROUNDUP(DASHBOARD!$F$3-$D3105,0)))</f>
        <v/>
      </c>
      <c r="N3105">
        <f>IF($A3105="","",$K3105+(5002-ROW())/10000)</f>
        <v/>
      </c>
    </row>
    <row r="3106">
      <c r="K3106">
        <f>IF($A3106="","",SUM($E3106:$J3106))</f>
        <v/>
      </c>
      <c r="M3106">
        <f>IF($A3106="","",MAX(0,ROUNDUP(DASHBOARD!$F$3-$D3106,0)))</f>
        <v/>
      </c>
      <c r="N3106">
        <f>IF($A3106="","",$K3106+(5002-ROW())/10000)</f>
        <v/>
      </c>
    </row>
    <row r="3107">
      <c r="K3107">
        <f>IF($A3107="","",SUM($E3107:$J3107))</f>
        <v/>
      </c>
      <c r="M3107">
        <f>IF($A3107="","",MAX(0,ROUNDUP(DASHBOARD!$F$3-$D3107,0)))</f>
        <v/>
      </c>
      <c r="N3107">
        <f>IF($A3107="","",$K3107+(5002-ROW())/10000)</f>
        <v/>
      </c>
    </row>
    <row r="3108">
      <c r="K3108">
        <f>IF($A3108="","",SUM($E3108:$J3108))</f>
        <v/>
      </c>
      <c r="M3108">
        <f>IF($A3108="","",MAX(0,ROUNDUP(DASHBOARD!$F$3-$D3108,0)))</f>
        <v/>
      </c>
      <c r="N3108">
        <f>IF($A3108="","",$K3108+(5002-ROW())/10000)</f>
        <v/>
      </c>
    </row>
    <row r="3109">
      <c r="K3109">
        <f>IF($A3109="","",SUM($E3109:$J3109))</f>
        <v/>
      </c>
      <c r="M3109">
        <f>IF($A3109="","",MAX(0,ROUNDUP(DASHBOARD!$F$3-$D3109,0)))</f>
        <v/>
      </c>
      <c r="N3109">
        <f>IF($A3109="","",$K3109+(5002-ROW())/10000)</f>
        <v/>
      </c>
    </row>
    <row r="3110">
      <c r="K3110">
        <f>IF($A3110="","",SUM($E3110:$J3110))</f>
        <v/>
      </c>
      <c r="M3110">
        <f>IF($A3110="","",MAX(0,ROUNDUP(DASHBOARD!$F$3-$D3110,0)))</f>
        <v/>
      </c>
      <c r="N3110">
        <f>IF($A3110="","",$K3110+(5002-ROW())/10000)</f>
        <v/>
      </c>
    </row>
    <row r="3111">
      <c r="K3111">
        <f>IF($A3111="","",SUM($E3111:$J3111))</f>
        <v/>
      </c>
      <c r="M3111">
        <f>IF($A3111="","",MAX(0,ROUNDUP(DASHBOARD!$F$3-$D3111,0)))</f>
        <v/>
      </c>
      <c r="N3111">
        <f>IF($A3111="","",$K3111+(5002-ROW())/10000)</f>
        <v/>
      </c>
    </row>
    <row r="3112">
      <c r="K3112">
        <f>IF($A3112="","",SUM($E3112:$J3112))</f>
        <v/>
      </c>
      <c r="M3112">
        <f>IF($A3112="","",MAX(0,ROUNDUP(DASHBOARD!$F$3-$D3112,0)))</f>
        <v/>
      </c>
      <c r="N3112">
        <f>IF($A3112="","",$K3112+(5002-ROW())/10000)</f>
        <v/>
      </c>
    </row>
    <row r="3113">
      <c r="K3113">
        <f>IF($A3113="","",SUM($E3113:$J3113))</f>
        <v/>
      </c>
      <c r="M3113">
        <f>IF($A3113="","",MAX(0,ROUNDUP(DASHBOARD!$F$3-$D3113,0)))</f>
        <v/>
      </c>
      <c r="N3113">
        <f>IF($A3113="","",$K3113+(5002-ROW())/10000)</f>
        <v/>
      </c>
    </row>
    <row r="3114">
      <c r="K3114">
        <f>IF($A3114="","",SUM($E3114:$J3114))</f>
        <v/>
      </c>
      <c r="M3114">
        <f>IF($A3114="","",MAX(0,ROUNDUP(DASHBOARD!$F$3-$D3114,0)))</f>
        <v/>
      </c>
      <c r="N3114">
        <f>IF($A3114="","",$K3114+(5002-ROW())/10000)</f>
        <v/>
      </c>
    </row>
    <row r="3115">
      <c r="K3115">
        <f>IF($A3115="","",SUM($E3115:$J3115))</f>
        <v/>
      </c>
      <c r="M3115">
        <f>IF($A3115="","",MAX(0,ROUNDUP(DASHBOARD!$F$3-$D3115,0)))</f>
        <v/>
      </c>
      <c r="N3115">
        <f>IF($A3115="","",$K3115+(5002-ROW())/10000)</f>
        <v/>
      </c>
    </row>
    <row r="3116">
      <c r="K3116">
        <f>IF($A3116="","",SUM($E3116:$J3116))</f>
        <v/>
      </c>
      <c r="M3116">
        <f>IF($A3116="","",MAX(0,ROUNDUP(DASHBOARD!$F$3-$D3116,0)))</f>
        <v/>
      </c>
      <c r="N3116">
        <f>IF($A3116="","",$K3116+(5002-ROW())/10000)</f>
        <v/>
      </c>
    </row>
    <row r="3117">
      <c r="K3117">
        <f>IF($A3117="","",SUM($E3117:$J3117))</f>
        <v/>
      </c>
      <c r="M3117">
        <f>IF($A3117="","",MAX(0,ROUNDUP(DASHBOARD!$F$3-$D3117,0)))</f>
        <v/>
      </c>
      <c r="N3117">
        <f>IF($A3117="","",$K3117+(5002-ROW())/10000)</f>
        <v/>
      </c>
    </row>
    <row r="3118">
      <c r="K3118">
        <f>IF($A3118="","",SUM($E3118:$J3118))</f>
        <v/>
      </c>
      <c r="M3118">
        <f>IF($A3118="","",MAX(0,ROUNDUP(DASHBOARD!$F$3-$D3118,0)))</f>
        <v/>
      </c>
      <c r="N3118">
        <f>IF($A3118="","",$K3118+(5002-ROW())/10000)</f>
        <v/>
      </c>
    </row>
    <row r="3119">
      <c r="K3119">
        <f>IF($A3119="","",SUM($E3119:$J3119))</f>
        <v/>
      </c>
      <c r="M3119">
        <f>IF($A3119="","",MAX(0,ROUNDUP(DASHBOARD!$F$3-$D3119,0)))</f>
        <v/>
      </c>
      <c r="N3119">
        <f>IF($A3119="","",$K3119+(5002-ROW())/10000)</f>
        <v/>
      </c>
    </row>
    <row r="3120">
      <c r="K3120">
        <f>IF($A3120="","",SUM($E3120:$J3120))</f>
        <v/>
      </c>
      <c r="M3120">
        <f>IF($A3120="","",MAX(0,ROUNDUP(DASHBOARD!$F$3-$D3120,0)))</f>
        <v/>
      </c>
      <c r="N3120">
        <f>IF($A3120="","",$K3120+(5002-ROW())/10000)</f>
        <v/>
      </c>
    </row>
    <row r="3121">
      <c r="K3121">
        <f>IF($A3121="","",SUM($E3121:$J3121))</f>
        <v/>
      </c>
      <c r="M3121">
        <f>IF($A3121="","",MAX(0,ROUNDUP(DASHBOARD!$F$3-$D3121,0)))</f>
        <v/>
      </c>
      <c r="N3121">
        <f>IF($A3121="","",$K3121+(5002-ROW())/10000)</f>
        <v/>
      </c>
    </row>
    <row r="3122">
      <c r="K3122">
        <f>IF($A3122="","",SUM($E3122:$J3122))</f>
        <v/>
      </c>
      <c r="M3122">
        <f>IF($A3122="","",MAX(0,ROUNDUP(DASHBOARD!$F$3-$D3122,0)))</f>
        <v/>
      </c>
      <c r="N3122">
        <f>IF($A3122="","",$K3122+(5002-ROW())/10000)</f>
        <v/>
      </c>
    </row>
    <row r="3123">
      <c r="K3123">
        <f>IF($A3123="","",SUM($E3123:$J3123))</f>
        <v/>
      </c>
      <c r="M3123">
        <f>IF($A3123="","",MAX(0,ROUNDUP(DASHBOARD!$F$3-$D3123,0)))</f>
        <v/>
      </c>
      <c r="N3123">
        <f>IF($A3123="","",$K3123+(5002-ROW())/10000)</f>
        <v/>
      </c>
    </row>
    <row r="3124">
      <c r="K3124">
        <f>IF($A3124="","",SUM($E3124:$J3124))</f>
        <v/>
      </c>
      <c r="M3124">
        <f>IF($A3124="","",MAX(0,ROUNDUP(DASHBOARD!$F$3-$D3124,0)))</f>
        <v/>
      </c>
      <c r="N3124">
        <f>IF($A3124="","",$K3124+(5002-ROW())/10000)</f>
        <v/>
      </c>
    </row>
    <row r="3125">
      <c r="K3125">
        <f>IF($A3125="","",SUM($E3125:$J3125))</f>
        <v/>
      </c>
      <c r="M3125">
        <f>IF($A3125="","",MAX(0,ROUNDUP(DASHBOARD!$F$3-$D3125,0)))</f>
        <v/>
      </c>
      <c r="N3125">
        <f>IF($A3125="","",$K3125+(5002-ROW())/10000)</f>
        <v/>
      </c>
    </row>
    <row r="3126">
      <c r="K3126">
        <f>IF($A3126="","",SUM($E3126:$J3126))</f>
        <v/>
      </c>
      <c r="M3126">
        <f>IF($A3126="","",MAX(0,ROUNDUP(DASHBOARD!$F$3-$D3126,0)))</f>
        <v/>
      </c>
      <c r="N3126">
        <f>IF($A3126="","",$K3126+(5002-ROW())/10000)</f>
        <v/>
      </c>
    </row>
    <row r="3127">
      <c r="K3127">
        <f>IF($A3127="","",SUM($E3127:$J3127))</f>
        <v/>
      </c>
      <c r="M3127">
        <f>IF($A3127="","",MAX(0,ROUNDUP(DASHBOARD!$F$3-$D3127,0)))</f>
        <v/>
      </c>
      <c r="N3127">
        <f>IF($A3127="","",$K3127+(5002-ROW())/10000)</f>
        <v/>
      </c>
    </row>
    <row r="3128">
      <c r="K3128">
        <f>IF($A3128="","",SUM($E3128:$J3128))</f>
        <v/>
      </c>
      <c r="M3128">
        <f>IF($A3128="","",MAX(0,ROUNDUP(DASHBOARD!$F$3-$D3128,0)))</f>
        <v/>
      </c>
      <c r="N3128">
        <f>IF($A3128="","",$K3128+(5002-ROW())/10000)</f>
        <v/>
      </c>
    </row>
    <row r="3129">
      <c r="K3129">
        <f>IF($A3129="","",SUM($E3129:$J3129))</f>
        <v/>
      </c>
      <c r="M3129">
        <f>IF($A3129="","",MAX(0,ROUNDUP(DASHBOARD!$F$3-$D3129,0)))</f>
        <v/>
      </c>
      <c r="N3129">
        <f>IF($A3129="","",$K3129+(5002-ROW())/10000)</f>
        <v/>
      </c>
    </row>
    <row r="3130">
      <c r="K3130">
        <f>IF($A3130="","",SUM($E3130:$J3130))</f>
        <v/>
      </c>
      <c r="M3130">
        <f>IF($A3130="","",MAX(0,ROUNDUP(DASHBOARD!$F$3-$D3130,0)))</f>
        <v/>
      </c>
      <c r="N3130">
        <f>IF($A3130="","",$K3130+(5002-ROW())/10000)</f>
        <v/>
      </c>
    </row>
    <row r="3131">
      <c r="K3131">
        <f>IF($A3131="","",SUM($E3131:$J3131))</f>
        <v/>
      </c>
      <c r="M3131">
        <f>IF($A3131="","",MAX(0,ROUNDUP(DASHBOARD!$F$3-$D3131,0)))</f>
        <v/>
      </c>
      <c r="N3131">
        <f>IF($A3131="","",$K3131+(5002-ROW())/10000)</f>
        <v/>
      </c>
    </row>
    <row r="3132">
      <c r="K3132">
        <f>IF($A3132="","",SUM($E3132:$J3132))</f>
        <v/>
      </c>
      <c r="M3132">
        <f>IF($A3132="","",MAX(0,ROUNDUP(DASHBOARD!$F$3-$D3132,0)))</f>
        <v/>
      </c>
      <c r="N3132">
        <f>IF($A3132="","",$K3132+(5002-ROW())/10000)</f>
        <v/>
      </c>
    </row>
    <row r="3133">
      <c r="K3133">
        <f>IF($A3133="","",SUM($E3133:$J3133))</f>
        <v/>
      </c>
      <c r="M3133">
        <f>IF($A3133="","",MAX(0,ROUNDUP(DASHBOARD!$F$3-$D3133,0)))</f>
        <v/>
      </c>
      <c r="N3133">
        <f>IF($A3133="","",$K3133+(5002-ROW())/10000)</f>
        <v/>
      </c>
    </row>
    <row r="3134">
      <c r="K3134">
        <f>IF($A3134="","",SUM($E3134:$J3134))</f>
        <v/>
      </c>
      <c r="M3134">
        <f>IF($A3134="","",MAX(0,ROUNDUP(DASHBOARD!$F$3-$D3134,0)))</f>
        <v/>
      </c>
      <c r="N3134">
        <f>IF($A3134="","",$K3134+(5002-ROW())/10000)</f>
        <v/>
      </c>
    </row>
    <row r="3135">
      <c r="K3135">
        <f>IF($A3135="","",SUM($E3135:$J3135))</f>
        <v/>
      </c>
      <c r="M3135">
        <f>IF($A3135="","",MAX(0,ROUNDUP(DASHBOARD!$F$3-$D3135,0)))</f>
        <v/>
      </c>
      <c r="N3135">
        <f>IF($A3135="","",$K3135+(5002-ROW())/10000)</f>
        <v/>
      </c>
    </row>
    <row r="3136">
      <c r="K3136">
        <f>IF($A3136="","",SUM($E3136:$J3136))</f>
        <v/>
      </c>
      <c r="M3136">
        <f>IF($A3136="","",MAX(0,ROUNDUP(DASHBOARD!$F$3-$D3136,0)))</f>
        <v/>
      </c>
      <c r="N3136">
        <f>IF($A3136="","",$K3136+(5002-ROW())/10000)</f>
        <v/>
      </c>
    </row>
    <row r="3137">
      <c r="K3137">
        <f>IF($A3137="","",SUM($E3137:$J3137))</f>
        <v/>
      </c>
      <c r="M3137">
        <f>IF($A3137="","",MAX(0,ROUNDUP(DASHBOARD!$F$3-$D3137,0)))</f>
        <v/>
      </c>
      <c r="N3137">
        <f>IF($A3137="","",$K3137+(5002-ROW())/10000)</f>
        <v/>
      </c>
    </row>
    <row r="3138">
      <c r="K3138">
        <f>IF($A3138="","",SUM($E3138:$J3138))</f>
        <v/>
      </c>
      <c r="M3138">
        <f>IF($A3138="","",MAX(0,ROUNDUP(DASHBOARD!$F$3-$D3138,0)))</f>
        <v/>
      </c>
      <c r="N3138">
        <f>IF($A3138="","",$K3138+(5002-ROW())/10000)</f>
        <v/>
      </c>
    </row>
    <row r="3139">
      <c r="K3139">
        <f>IF($A3139="","",SUM($E3139:$J3139))</f>
        <v/>
      </c>
      <c r="M3139">
        <f>IF($A3139="","",MAX(0,ROUNDUP(DASHBOARD!$F$3-$D3139,0)))</f>
        <v/>
      </c>
      <c r="N3139">
        <f>IF($A3139="","",$K3139+(5002-ROW())/10000)</f>
        <v/>
      </c>
    </row>
    <row r="3140">
      <c r="K3140">
        <f>IF($A3140="","",SUM($E3140:$J3140))</f>
        <v/>
      </c>
      <c r="M3140">
        <f>IF($A3140="","",MAX(0,ROUNDUP(DASHBOARD!$F$3-$D3140,0)))</f>
        <v/>
      </c>
      <c r="N3140">
        <f>IF($A3140="","",$K3140+(5002-ROW())/10000)</f>
        <v/>
      </c>
    </row>
    <row r="3141">
      <c r="K3141">
        <f>IF($A3141="","",SUM($E3141:$J3141))</f>
        <v/>
      </c>
      <c r="M3141">
        <f>IF($A3141="","",MAX(0,ROUNDUP(DASHBOARD!$F$3-$D3141,0)))</f>
        <v/>
      </c>
      <c r="N3141">
        <f>IF($A3141="","",$K3141+(5002-ROW())/10000)</f>
        <v/>
      </c>
    </row>
    <row r="3142">
      <c r="K3142">
        <f>IF($A3142="","",SUM($E3142:$J3142))</f>
        <v/>
      </c>
      <c r="M3142">
        <f>IF($A3142="","",MAX(0,ROUNDUP(DASHBOARD!$F$3-$D3142,0)))</f>
        <v/>
      </c>
      <c r="N3142">
        <f>IF($A3142="","",$K3142+(5002-ROW())/10000)</f>
        <v/>
      </c>
    </row>
    <row r="3143">
      <c r="K3143">
        <f>IF($A3143="","",SUM($E3143:$J3143))</f>
        <v/>
      </c>
      <c r="M3143">
        <f>IF($A3143="","",MAX(0,ROUNDUP(DASHBOARD!$F$3-$D3143,0)))</f>
        <v/>
      </c>
      <c r="N3143">
        <f>IF($A3143="","",$K3143+(5002-ROW())/10000)</f>
        <v/>
      </c>
    </row>
    <row r="3144">
      <c r="K3144">
        <f>IF($A3144="","",SUM($E3144:$J3144))</f>
        <v/>
      </c>
      <c r="M3144">
        <f>IF($A3144="","",MAX(0,ROUNDUP(DASHBOARD!$F$3-$D3144,0)))</f>
        <v/>
      </c>
      <c r="N3144">
        <f>IF($A3144="","",$K3144+(5002-ROW())/10000)</f>
        <v/>
      </c>
    </row>
    <row r="3145">
      <c r="K3145">
        <f>IF($A3145="","",SUM($E3145:$J3145))</f>
        <v/>
      </c>
      <c r="M3145">
        <f>IF($A3145="","",MAX(0,ROUNDUP(DASHBOARD!$F$3-$D3145,0)))</f>
        <v/>
      </c>
      <c r="N3145">
        <f>IF($A3145="","",$K3145+(5002-ROW())/10000)</f>
        <v/>
      </c>
    </row>
    <row r="3146">
      <c r="K3146">
        <f>IF($A3146="","",SUM($E3146:$J3146))</f>
        <v/>
      </c>
      <c r="M3146">
        <f>IF($A3146="","",MAX(0,ROUNDUP(DASHBOARD!$F$3-$D3146,0)))</f>
        <v/>
      </c>
      <c r="N3146">
        <f>IF($A3146="","",$K3146+(5002-ROW())/10000)</f>
        <v/>
      </c>
    </row>
    <row r="3147">
      <c r="K3147">
        <f>IF($A3147="","",SUM($E3147:$J3147))</f>
        <v/>
      </c>
      <c r="M3147">
        <f>IF($A3147="","",MAX(0,ROUNDUP(DASHBOARD!$F$3-$D3147,0)))</f>
        <v/>
      </c>
      <c r="N3147">
        <f>IF($A3147="","",$K3147+(5002-ROW())/10000)</f>
        <v/>
      </c>
    </row>
    <row r="3148">
      <c r="K3148">
        <f>IF($A3148="","",SUM($E3148:$J3148))</f>
        <v/>
      </c>
      <c r="M3148">
        <f>IF($A3148="","",MAX(0,ROUNDUP(DASHBOARD!$F$3-$D3148,0)))</f>
        <v/>
      </c>
      <c r="N3148">
        <f>IF($A3148="","",$K3148+(5002-ROW())/10000)</f>
        <v/>
      </c>
    </row>
    <row r="3149">
      <c r="K3149">
        <f>IF($A3149="","",SUM($E3149:$J3149))</f>
        <v/>
      </c>
      <c r="M3149">
        <f>IF($A3149="","",MAX(0,ROUNDUP(DASHBOARD!$F$3-$D3149,0)))</f>
        <v/>
      </c>
      <c r="N3149">
        <f>IF($A3149="","",$K3149+(5002-ROW())/10000)</f>
        <v/>
      </c>
    </row>
    <row r="3150">
      <c r="K3150">
        <f>IF($A3150="","",SUM($E3150:$J3150))</f>
        <v/>
      </c>
      <c r="M3150">
        <f>IF($A3150="","",MAX(0,ROUNDUP(DASHBOARD!$F$3-$D3150,0)))</f>
        <v/>
      </c>
      <c r="N3150">
        <f>IF($A3150="","",$K3150+(5002-ROW())/10000)</f>
        <v/>
      </c>
    </row>
    <row r="3151">
      <c r="K3151">
        <f>IF($A3151="","",SUM($E3151:$J3151))</f>
        <v/>
      </c>
      <c r="M3151">
        <f>IF($A3151="","",MAX(0,ROUNDUP(DASHBOARD!$F$3-$D3151,0)))</f>
        <v/>
      </c>
      <c r="N3151">
        <f>IF($A3151="","",$K3151+(5002-ROW())/10000)</f>
        <v/>
      </c>
    </row>
    <row r="3152">
      <c r="K3152">
        <f>IF($A3152="","",SUM($E3152:$J3152))</f>
        <v/>
      </c>
      <c r="M3152">
        <f>IF($A3152="","",MAX(0,ROUNDUP(DASHBOARD!$F$3-$D3152,0)))</f>
        <v/>
      </c>
      <c r="N3152">
        <f>IF($A3152="","",$K3152+(5002-ROW())/10000)</f>
        <v/>
      </c>
    </row>
    <row r="3153">
      <c r="K3153">
        <f>IF($A3153="","",SUM($E3153:$J3153))</f>
        <v/>
      </c>
      <c r="M3153">
        <f>IF($A3153="","",MAX(0,ROUNDUP(DASHBOARD!$F$3-$D3153,0)))</f>
        <v/>
      </c>
      <c r="N3153">
        <f>IF($A3153="","",$K3153+(5002-ROW())/10000)</f>
        <v/>
      </c>
    </row>
    <row r="3154">
      <c r="K3154">
        <f>IF($A3154="","",SUM($E3154:$J3154))</f>
        <v/>
      </c>
      <c r="M3154">
        <f>IF($A3154="","",MAX(0,ROUNDUP(DASHBOARD!$F$3-$D3154,0)))</f>
        <v/>
      </c>
      <c r="N3154">
        <f>IF($A3154="","",$K3154+(5002-ROW())/10000)</f>
        <v/>
      </c>
    </row>
    <row r="3155">
      <c r="K3155">
        <f>IF($A3155="","",SUM($E3155:$J3155))</f>
        <v/>
      </c>
      <c r="M3155">
        <f>IF($A3155="","",MAX(0,ROUNDUP(DASHBOARD!$F$3-$D3155,0)))</f>
        <v/>
      </c>
      <c r="N3155">
        <f>IF($A3155="","",$K3155+(5002-ROW())/10000)</f>
        <v/>
      </c>
    </row>
    <row r="3156">
      <c r="K3156">
        <f>IF($A3156="","",SUM($E3156:$J3156))</f>
        <v/>
      </c>
      <c r="M3156">
        <f>IF($A3156="","",MAX(0,ROUNDUP(DASHBOARD!$F$3-$D3156,0)))</f>
        <v/>
      </c>
      <c r="N3156">
        <f>IF($A3156="","",$K3156+(5002-ROW())/10000)</f>
        <v/>
      </c>
    </row>
    <row r="3157">
      <c r="K3157">
        <f>IF($A3157="","",SUM($E3157:$J3157))</f>
        <v/>
      </c>
      <c r="M3157">
        <f>IF($A3157="","",MAX(0,ROUNDUP(DASHBOARD!$F$3-$D3157,0)))</f>
        <v/>
      </c>
      <c r="N3157">
        <f>IF($A3157="","",$K3157+(5002-ROW())/10000)</f>
        <v/>
      </c>
    </row>
    <row r="3158">
      <c r="K3158">
        <f>IF($A3158="","",SUM($E3158:$J3158))</f>
        <v/>
      </c>
      <c r="M3158">
        <f>IF($A3158="","",MAX(0,ROUNDUP(DASHBOARD!$F$3-$D3158,0)))</f>
        <v/>
      </c>
      <c r="N3158">
        <f>IF($A3158="","",$K3158+(5002-ROW())/10000)</f>
        <v/>
      </c>
    </row>
    <row r="3159">
      <c r="K3159">
        <f>IF($A3159="","",SUM($E3159:$J3159))</f>
        <v/>
      </c>
      <c r="M3159">
        <f>IF($A3159="","",MAX(0,ROUNDUP(DASHBOARD!$F$3-$D3159,0)))</f>
        <v/>
      </c>
      <c r="N3159">
        <f>IF($A3159="","",$K3159+(5002-ROW())/10000)</f>
        <v/>
      </c>
    </row>
    <row r="3160">
      <c r="K3160">
        <f>IF($A3160="","",SUM($E3160:$J3160))</f>
        <v/>
      </c>
      <c r="M3160">
        <f>IF($A3160="","",MAX(0,ROUNDUP(DASHBOARD!$F$3-$D3160,0)))</f>
        <v/>
      </c>
      <c r="N3160">
        <f>IF($A3160="","",$K3160+(5002-ROW())/10000)</f>
        <v/>
      </c>
    </row>
    <row r="3161">
      <c r="K3161">
        <f>IF($A3161="","",SUM($E3161:$J3161))</f>
        <v/>
      </c>
      <c r="M3161">
        <f>IF($A3161="","",MAX(0,ROUNDUP(DASHBOARD!$F$3-$D3161,0)))</f>
        <v/>
      </c>
      <c r="N3161">
        <f>IF($A3161="","",$K3161+(5002-ROW())/10000)</f>
        <v/>
      </c>
    </row>
    <row r="3162">
      <c r="K3162">
        <f>IF($A3162="","",SUM($E3162:$J3162))</f>
        <v/>
      </c>
      <c r="M3162">
        <f>IF($A3162="","",MAX(0,ROUNDUP(DASHBOARD!$F$3-$D3162,0)))</f>
        <v/>
      </c>
      <c r="N3162">
        <f>IF($A3162="","",$K3162+(5002-ROW())/10000)</f>
        <v/>
      </c>
    </row>
    <row r="3163">
      <c r="K3163">
        <f>IF($A3163="","",SUM($E3163:$J3163))</f>
        <v/>
      </c>
      <c r="M3163">
        <f>IF($A3163="","",MAX(0,ROUNDUP(DASHBOARD!$F$3-$D3163,0)))</f>
        <v/>
      </c>
      <c r="N3163">
        <f>IF($A3163="","",$K3163+(5002-ROW())/10000)</f>
        <v/>
      </c>
    </row>
    <row r="3164">
      <c r="K3164">
        <f>IF($A3164="","",SUM($E3164:$J3164))</f>
        <v/>
      </c>
      <c r="M3164">
        <f>IF($A3164="","",MAX(0,ROUNDUP(DASHBOARD!$F$3-$D3164,0)))</f>
        <v/>
      </c>
      <c r="N3164">
        <f>IF($A3164="","",$K3164+(5002-ROW())/10000)</f>
        <v/>
      </c>
    </row>
    <row r="3165">
      <c r="K3165">
        <f>IF($A3165="","",SUM($E3165:$J3165))</f>
        <v/>
      </c>
      <c r="M3165">
        <f>IF($A3165="","",MAX(0,ROUNDUP(DASHBOARD!$F$3-$D3165,0)))</f>
        <v/>
      </c>
      <c r="N3165">
        <f>IF($A3165="","",$K3165+(5002-ROW())/10000)</f>
        <v/>
      </c>
    </row>
    <row r="3166">
      <c r="K3166">
        <f>IF($A3166="","",SUM($E3166:$J3166))</f>
        <v/>
      </c>
      <c r="M3166">
        <f>IF($A3166="","",MAX(0,ROUNDUP(DASHBOARD!$F$3-$D3166,0)))</f>
        <v/>
      </c>
      <c r="N3166">
        <f>IF($A3166="","",$K3166+(5002-ROW())/10000)</f>
        <v/>
      </c>
    </row>
    <row r="3167">
      <c r="K3167">
        <f>IF($A3167="","",SUM($E3167:$J3167))</f>
        <v/>
      </c>
      <c r="M3167">
        <f>IF($A3167="","",MAX(0,ROUNDUP(DASHBOARD!$F$3-$D3167,0)))</f>
        <v/>
      </c>
      <c r="N3167">
        <f>IF($A3167="","",$K3167+(5002-ROW())/10000)</f>
        <v/>
      </c>
    </row>
    <row r="3168">
      <c r="K3168">
        <f>IF($A3168="","",SUM($E3168:$J3168))</f>
        <v/>
      </c>
      <c r="M3168">
        <f>IF($A3168="","",MAX(0,ROUNDUP(DASHBOARD!$F$3-$D3168,0)))</f>
        <v/>
      </c>
      <c r="N3168">
        <f>IF($A3168="","",$K3168+(5002-ROW())/10000)</f>
        <v/>
      </c>
    </row>
    <row r="3169">
      <c r="K3169">
        <f>IF($A3169="","",SUM($E3169:$J3169))</f>
        <v/>
      </c>
      <c r="M3169">
        <f>IF($A3169="","",MAX(0,ROUNDUP(DASHBOARD!$F$3-$D3169,0)))</f>
        <v/>
      </c>
      <c r="N3169">
        <f>IF($A3169="","",$K3169+(5002-ROW())/10000)</f>
        <v/>
      </c>
    </row>
    <row r="3170">
      <c r="K3170">
        <f>IF($A3170="","",SUM($E3170:$J3170))</f>
        <v/>
      </c>
      <c r="M3170">
        <f>IF($A3170="","",MAX(0,ROUNDUP(DASHBOARD!$F$3-$D3170,0)))</f>
        <v/>
      </c>
      <c r="N3170">
        <f>IF($A3170="","",$K3170+(5002-ROW())/10000)</f>
        <v/>
      </c>
    </row>
    <row r="3171">
      <c r="K3171">
        <f>IF($A3171="","",SUM($E3171:$J3171))</f>
        <v/>
      </c>
      <c r="M3171">
        <f>IF($A3171="","",MAX(0,ROUNDUP(DASHBOARD!$F$3-$D3171,0)))</f>
        <v/>
      </c>
      <c r="N3171">
        <f>IF($A3171="","",$K3171+(5002-ROW())/10000)</f>
        <v/>
      </c>
    </row>
    <row r="3172">
      <c r="K3172">
        <f>IF($A3172="","",SUM($E3172:$J3172))</f>
        <v/>
      </c>
      <c r="M3172">
        <f>IF($A3172="","",MAX(0,ROUNDUP(DASHBOARD!$F$3-$D3172,0)))</f>
        <v/>
      </c>
      <c r="N3172">
        <f>IF($A3172="","",$K3172+(5002-ROW())/10000)</f>
        <v/>
      </c>
    </row>
    <row r="3173">
      <c r="K3173">
        <f>IF($A3173="","",SUM($E3173:$J3173))</f>
        <v/>
      </c>
      <c r="M3173">
        <f>IF($A3173="","",MAX(0,ROUNDUP(DASHBOARD!$F$3-$D3173,0)))</f>
        <v/>
      </c>
      <c r="N3173">
        <f>IF($A3173="","",$K3173+(5002-ROW())/10000)</f>
        <v/>
      </c>
    </row>
    <row r="3174">
      <c r="K3174">
        <f>IF($A3174="","",SUM($E3174:$J3174))</f>
        <v/>
      </c>
      <c r="M3174">
        <f>IF($A3174="","",MAX(0,ROUNDUP(DASHBOARD!$F$3-$D3174,0)))</f>
        <v/>
      </c>
      <c r="N3174">
        <f>IF($A3174="","",$K3174+(5002-ROW())/10000)</f>
        <v/>
      </c>
    </row>
    <row r="3175">
      <c r="K3175">
        <f>IF($A3175="","",SUM($E3175:$J3175))</f>
        <v/>
      </c>
      <c r="M3175">
        <f>IF($A3175="","",MAX(0,ROUNDUP(DASHBOARD!$F$3-$D3175,0)))</f>
        <v/>
      </c>
      <c r="N3175">
        <f>IF($A3175="","",$K3175+(5002-ROW())/10000)</f>
        <v/>
      </c>
    </row>
    <row r="3176">
      <c r="K3176">
        <f>IF($A3176="","",SUM($E3176:$J3176))</f>
        <v/>
      </c>
      <c r="M3176">
        <f>IF($A3176="","",MAX(0,ROUNDUP(DASHBOARD!$F$3-$D3176,0)))</f>
        <v/>
      </c>
      <c r="N3176">
        <f>IF($A3176="","",$K3176+(5002-ROW())/10000)</f>
        <v/>
      </c>
    </row>
    <row r="3177">
      <c r="K3177">
        <f>IF($A3177="","",SUM($E3177:$J3177))</f>
        <v/>
      </c>
      <c r="M3177">
        <f>IF($A3177="","",MAX(0,ROUNDUP(DASHBOARD!$F$3-$D3177,0)))</f>
        <v/>
      </c>
      <c r="N3177">
        <f>IF($A3177="","",$K3177+(5002-ROW())/10000)</f>
        <v/>
      </c>
    </row>
    <row r="3178">
      <c r="K3178">
        <f>IF($A3178="","",SUM($E3178:$J3178))</f>
        <v/>
      </c>
      <c r="M3178">
        <f>IF($A3178="","",MAX(0,ROUNDUP(DASHBOARD!$F$3-$D3178,0)))</f>
        <v/>
      </c>
      <c r="N3178">
        <f>IF($A3178="","",$K3178+(5002-ROW())/10000)</f>
        <v/>
      </c>
    </row>
    <row r="3179">
      <c r="K3179">
        <f>IF($A3179="","",SUM($E3179:$J3179))</f>
        <v/>
      </c>
      <c r="M3179">
        <f>IF($A3179="","",MAX(0,ROUNDUP(DASHBOARD!$F$3-$D3179,0)))</f>
        <v/>
      </c>
      <c r="N3179">
        <f>IF($A3179="","",$K3179+(5002-ROW())/10000)</f>
        <v/>
      </c>
    </row>
    <row r="3180">
      <c r="K3180">
        <f>IF($A3180="","",SUM($E3180:$J3180))</f>
        <v/>
      </c>
      <c r="M3180">
        <f>IF($A3180="","",MAX(0,ROUNDUP(DASHBOARD!$F$3-$D3180,0)))</f>
        <v/>
      </c>
      <c r="N3180">
        <f>IF($A3180="","",$K3180+(5002-ROW())/10000)</f>
        <v/>
      </c>
    </row>
    <row r="3181">
      <c r="K3181">
        <f>IF($A3181="","",SUM($E3181:$J3181))</f>
        <v/>
      </c>
      <c r="M3181">
        <f>IF($A3181="","",MAX(0,ROUNDUP(DASHBOARD!$F$3-$D3181,0)))</f>
        <v/>
      </c>
      <c r="N3181">
        <f>IF($A3181="","",$K3181+(5002-ROW())/10000)</f>
        <v/>
      </c>
    </row>
    <row r="3182">
      <c r="K3182">
        <f>IF($A3182="","",SUM($E3182:$J3182))</f>
        <v/>
      </c>
      <c r="M3182">
        <f>IF($A3182="","",MAX(0,ROUNDUP(DASHBOARD!$F$3-$D3182,0)))</f>
        <v/>
      </c>
      <c r="N3182">
        <f>IF($A3182="","",$K3182+(5002-ROW())/10000)</f>
        <v/>
      </c>
    </row>
    <row r="3183">
      <c r="K3183">
        <f>IF($A3183="","",SUM($E3183:$J3183))</f>
        <v/>
      </c>
      <c r="M3183">
        <f>IF($A3183="","",MAX(0,ROUNDUP(DASHBOARD!$F$3-$D3183,0)))</f>
        <v/>
      </c>
      <c r="N3183">
        <f>IF($A3183="","",$K3183+(5002-ROW())/10000)</f>
        <v/>
      </c>
    </row>
    <row r="3184">
      <c r="K3184">
        <f>IF($A3184="","",SUM($E3184:$J3184))</f>
        <v/>
      </c>
      <c r="M3184">
        <f>IF($A3184="","",MAX(0,ROUNDUP(DASHBOARD!$F$3-$D3184,0)))</f>
        <v/>
      </c>
      <c r="N3184">
        <f>IF($A3184="","",$K3184+(5002-ROW())/10000)</f>
        <v/>
      </c>
    </row>
    <row r="3185">
      <c r="K3185">
        <f>IF($A3185="","",SUM($E3185:$J3185))</f>
        <v/>
      </c>
      <c r="M3185">
        <f>IF($A3185="","",MAX(0,ROUNDUP(DASHBOARD!$F$3-$D3185,0)))</f>
        <v/>
      </c>
      <c r="N3185">
        <f>IF($A3185="","",$K3185+(5002-ROW())/10000)</f>
        <v/>
      </c>
    </row>
    <row r="3186">
      <c r="K3186">
        <f>IF($A3186="","",SUM($E3186:$J3186))</f>
        <v/>
      </c>
      <c r="M3186">
        <f>IF($A3186="","",MAX(0,ROUNDUP(DASHBOARD!$F$3-$D3186,0)))</f>
        <v/>
      </c>
      <c r="N3186">
        <f>IF($A3186="","",$K3186+(5002-ROW())/10000)</f>
        <v/>
      </c>
    </row>
    <row r="3187">
      <c r="K3187">
        <f>IF($A3187="","",SUM($E3187:$J3187))</f>
        <v/>
      </c>
      <c r="M3187">
        <f>IF($A3187="","",MAX(0,ROUNDUP(DASHBOARD!$F$3-$D3187,0)))</f>
        <v/>
      </c>
      <c r="N3187">
        <f>IF($A3187="","",$K3187+(5002-ROW())/10000)</f>
        <v/>
      </c>
    </row>
    <row r="3188">
      <c r="K3188">
        <f>IF($A3188="","",SUM($E3188:$J3188))</f>
        <v/>
      </c>
      <c r="M3188">
        <f>IF($A3188="","",MAX(0,ROUNDUP(DASHBOARD!$F$3-$D3188,0)))</f>
        <v/>
      </c>
      <c r="N3188">
        <f>IF($A3188="","",$K3188+(5002-ROW())/10000)</f>
        <v/>
      </c>
    </row>
    <row r="3189">
      <c r="K3189">
        <f>IF($A3189="","",SUM($E3189:$J3189))</f>
        <v/>
      </c>
      <c r="M3189">
        <f>IF($A3189="","",MAX(0,ROUNDUP(DASHBOARD!$F$3-$D3189,0)))</f>
        <v/>
      </c>
      <c r="N3189">
        <f>IF($A3189="","",$K3189+(5002-ROW())/10000)</f>
        <v/>
      </c>
    </row>
    <row r="3190">
      <c r="K3190">
        <f>IF($A3190="","",SUM($E3190:$J3190))</f>
        <v/>
      </c>
      <c r="M3190">
        <f>IF($A3190="","",MAX(0,ROUNDUP(DASHBOARD!$F$3-$D3190,0)))</f>
        <v/>
      </c>
      <c r="N3190">
        <f>IF($A3190="","",$K3190+(5002-ROW())/10000)</f>
        <v/>
      </c>
    </row>
    <row r="3191">
      <c r="K3191">
        <f>IF($A3191="","",SUM($E3191:$J3191))</f>
        <v/>
      </c>
      <c r="M3191">
        <f>IF($A3191="","",MAX(0,ROUNDUP(DASHBOARD!$F$3-$D3191,0)))</f>
        <v/>
      </c>
      <c r="N3191">
        <f>IF($A3191="","",$K3191+(5002-ROW())/10000)</f>
        <v/>
      </c>
    </row>
    <row r="3192">
      <c r="K3192">
        <f>IF($A3192="","",SUM($E3192:$J3192))</f>
        <v/>
      </c>
      <c r="M3192">
        <f>IF($A3192="","",MAX(0,ROUNDUP(DASHBOARD!$F$3-$D3192,0)))</f>
        <v/>
      </c>
      <c r="N3192">
        <f>IF($A3192="","",$K3192+(5002-ROW())/10000)</f>
        <v/>
      </c>
    </row>
    <row r="3193">
      <c r="K3193">
        <f>IF($A3193="","",SUM($E3193:$J3193))</f>
        <v/>
      </c>
      <c r="M3193">
        <f>IF($A3193="","",MAX(0,ROUNDUP(DASHBOARD!$F$3-$D3193,0)))</f>
        <v/>
      </c>
      <c r="N3193">
        <f>IF($A3193="","",$K3193+(5002-ROW())/10000)</f>
        <v/>
      </c>
    </row>
    <row r="3194">
      <c r="K3194">
        <f>IF($A3194="","",SUM($E3194:$J3194))</f>
        <v/>
      </c>
      <c r="M3194">
        <f>IF($A3194="","",MAX(0,ROUNDUP(DASHBOARD!$F$3-$D3194,0)))</f>
        <v/>
      </c>
      <c r="N3194">
        <f>IF($A3194="","",$K3194+(5002-ROW())/10000)</f>
        <v/>
      </c>
    </row>
    <row r="3195">
      <c r="K3195">
        <f>IF($A3195="","",SUM($E3195:$J3195))</f>
        <v/>
      </c>
      <c r="M3195">
        <f>IF($A3195="","",MAX(0,ROUNDUP(DASHBOARD!$F$3-$D3195,0)))</f>
        <v/>
      </c>
      <c r="N3195">
        <f>IF($A3195="","",$K3195+(5002-ROW())/10000)</f>
        <v/>
      </c>
    </row>
    <row r="3196">
      <c r="K3196">
        <f>IF($A3196="","",SUM($E3196:$J3196))</f>
        <v/>
      </c>
      <c r="M3196">
        <f>IF($A3196="","",MAX(0,ROUNDUP(DASHBOARD!$F$3-$D3196,0)))</f>
        <v/>
      </c>
      <c r="N3196">
        <f>IF($A3196="","",$K3196+(5002-ROW())/10000)</f>
        <v/>
      </c>
    </row>
    <row r="3197">
      <c r="K3197">
        <f>IF($A3197="","",SUM($E3197:$J3197))</f>
        <v/>
      </c>
      <c r="M3197">
        <f>IF($A3197="","",MAX(0,ROUNDUP(DASHBOARD!$F$3-$D3197,0)))</f>
        <v/>
      </c>
      <c r="N3197">
        <f>IF($A3197="","",$K3197+(5002-ROW())/10000)</f>
        <v/>
      </c>
    </row>
    <row r="3198">
      <c r="K3198">
        <f>IF($A3198="","",SUM($E3198:$J3198))</f>
        <v/>
      </c>
      <c r="M3198">
        <f>IF($A3198="","",MAX(0,ROUNDUP(DASHBOARD!$F$3-$D3198,0)))</f>
        <v/>
      </c>
      <c r="N3198">
        <f>IF($A3198="","",$K3198+(5002-ROW())/10000)</f>
        <v/>
      </c>
    </row>
    <row r="3199">
      <c r="K3199">
        <f>IF($A3199="","",SUM($E3199:$J3199))</f>
        <v/>
      </c>
      <c r="M3199">
        <f>IF($A3199="","",MAX(0,ROUNDUP(DASHBOARD!$F$3-$D3199,0)))</f>
        <v/>
      </c>
      <c r="N3199">
        <f>IF($A3199="","",$K3199+(5002-ROW())/10000)</f>
        <v/>
      </c>
    </row>
    <row r="3200">
      <c r="K3200">
        <f>IF($A3200="","",SUM($E3200:$J3200))</f>
        <v/>
      </c>
      <c r="M3200">
        <f>IF($A3200="","",MAX(0,ROUNDUP(DASHBOARD!$F$3-$D3200,0)))</f>
        <v/>
      </c>
      <c r="N3200">
        <f>IF($A3200="","",$K3200+(5002-ROW())/10000)</f>
        <v/>
      </c>
    </row>
    <row r="3201">
      <c r="K3201">
        <f>IF($A3201="","",SUM($E3201:$J3201))</f>
        <v/>
      </c>
      <c r="M3201">
        <f>IF($A3201="","",MAX(0,ROUNDUP(DASHBOARD!$F$3-$D3201,0)))</f>
        <v/>
      </c>
      <c r="N3201">
        <f>IF($A3201="","",$K3201+(5002-ROW())/10000)</f>
        <v/>
      </c>
    </row>
    <row r="3202">
      <c r="K3202">
        <f>IF($A3202="","",SUM($E3202:$J3202))</f>
        <v/>
      </c>
      <c r="M3202">
        <f>IF($A3202="","",MAX(0,ROUNDUP(DASHBOARD!$F$3-$D3202,0)))</f>
        <v/>
      </c>
      <c r="N3202">
        <f>IF($A3202="","",$K3202+(5002-ROW())/10000)</f>
        <v/>
      </c>
    </row>
    <row r="3203">
      <c r="K3203">
        <f>IF($A3203="","",SUM($E3203:$J3203))</f>
        <v/>
      </c>
      <c r="M3203">
        <f>IF($A3203="","",MAX(0,ROUNDUP(DASHBOARD!$F$3-$D3203,0)))</f>
        <v/>
      </c>
      <c r="N3203">
        <f>IF($A3203="","",$K3203+(5002-ROW())/10000)</f>
        <v/>
      </c>
    </row>
    <row r="3204">
      <c r="K3204">
        <f>IF($A3204="","",SUM($E3204:$J3204))</f>
        <v/>
      </c>
      <c r="M3204">
        <f>IF($A3204="","",MAX(0,ROUNDUP(DASHBOARD!$F$3-$D3204,0)))</f>
        <v/>
      </c>
      <c r="N3204">
        <f>IF($A3204="","",$K3204+(5002-ROW())/10000)</f>
        <v/>
      </c>
    </row>
    <row r="3205">
      <c r="K3205">
        <f>IF($A3205="","",SUM($E3205:$J3205))</f>
        <v/>
      </c>
      <c r="M3205">
        <f>IF($A3205="","",MAX(0,ROUNDUP(DASHBOARD!$F$3-$D3205,0)))</f>
        <v/>
      </c>
      <c r="N3205">
        <f>IF($A3205="","",$K3205+(5002-ROW())/10000)</f>
        <v/>
      </c>
    </row>
    <row r="3206">
      <c r="K3206">
        <f>IF($A3206="","",SUM($E3206:$J3206))</f>
        <v/>
      </c>
      <c r="M3206">
        <f>IF($A3206="","",MAX(0,ROUNDUP(DASHBOARD!$F$3-$D3206,0)))</f>
        <v/>
      </c>
      <c r="N3206">
        <f>IF($A3206="","",$K3206+(5002-ROW())/10000)</f>
        <v/>
      </c>
    </row>
    <row r="3207">
      <c r="K3207">
        <f>IF($A3207="","",SUM($E3207:$J3207))</f>
        <v/>
      </c>
      <c r="M3207">
        <f>IF($A3207="","",MAX(0,ROUNDUP(DASHBOARD!$F$3-$D3207,0)))</f>
        <v/>
      </c>
      <c r="N3207">
        <f>IF($A3207="","",$K3207+(5002-ROW())/10000)</f>
        <v/>
      </c>
    </row>
    <row r="3208">
      <c r="K3208">
        <f>IF($A3208="","",SUM($E3208:$J3208))</f>
        <v/>
      </c>
      <c r="M3208">
        <f>IF($A3208="","",MAX(0,ROUNDUP(DASHBOARD!$F$3-$D3208,0)))</f>
        <v/>
      </c>
      <c r="N3208">
        <f>IF($A3208="","",$K3208+(5002-ROW())/10000)</f>
        <v/>
      </c>
    </row>
    <row r="3209">
      <c r="K3209">
        <f>IF($A3209="","",SUM($E3209:$J3209))</f>
        <v/>
      </c>
      <c r="M3209">
        <f>IF($A3209="","",MAX(0,ROUNDUP(DASHBOARD!$F$3-$D3209,0)))</f>
        <v/>
      </c>
      <c r="N3209">
        <f>IF($A3209="","",$K3209+(5002-ROW())/10000)</f>
        <v/>
      </c>
    </row>
    <row r="3210">
      <c r="K3210">
        <f>IF($A3210="","",SUM($E3210:$J3210))</f>
        <v/>
      </c>
      <c r="M3210">
        <f>IF($A3210="","",MAX(0,ROUNDUP(DASHBOARD!$F$3-$D3210,0)))</f>
        <v/>
      </c>
      <c r="N3210">
        <f>IF($A3210="","",$K3210+(5002-ROW())/10000)</f>
        <v/>
      </c>
    </row>
    <row r="3211">
      <c r="K3211">
        <f>IF($A3211="","",SUM($E3211:$J3211))</f>
        <v/>
      </c>
      <c r="M3211">
        <f>IF($A3211="","",MAX(0,ROUNDUP(DASHBOARD!$F$3-$D3211,0)))</f>
        <v/>
      </c>
      <c r="N3211">
        <f>IF($A3211="","",$K3211+(5002-ROW())/10000)</f>
        <v/>
      </c>
    </row>
    <row r="3212">
      <c r="K3212">
        <f>IF($A3212="","",SUM($E3212:$J3212))</f>
        <v/>
      </c>
      <c r="M3212">
        <f>IF($A3212="","",MAX(0,ROUNDUP(DASHBOARD!$F$3-$D3212,0)))</f>
        <v/>
      </c>
      <c r="N3212">
        <f>IF($A3212="","",$K3212+(5002-ROW())/10000)</f>
        <v/>
      </c>
    </row>
    <row r="3213">
      <c r="K3213">
        <f>IF($A3213="","",SUM($E3213:$J3213))</f>
        <v/>
      </c>
      <c r="M3213">
        <f>IF($A3213="","",MAX(0,ROUNDUP(DASHBOARD!$F$3-$D3213,0)))</f>
        <v/>
      </c>
      <c r="N3213">
        <f>IF($A3213="","",$K3213+(5002-ROW())/10000)</f>
        <v/>
      </c>
    </row>
    <row r="3214">
      <c r="K3214">
        <f>IF($A3214="","",SUM($E3214:$J3214))</f>
        <v/>
      </c>
      <c r="M3214">
        <f>IF($A3214="","",MAX(0,ROUNDUP(DASHBOARD!$F$3-$D3214,0)))</f>
        <v/>
      </c>
      <c r="N3214">
        <f>IF($A3214="","",$K3214+(5002-ROW())/10000)</f>
        <v/>
      </c>
    </row>
    <row r="3215">
      <c r="K3215">
        <f>IF($A3215="","",SUM($E3215:$J3215))</f>
        <v/>
      </c>
      <c r="M3215">
        <f>IF($A3215="","",MAX(0,ROUNDUP(DASHBOARD!$F$3-$D3215,0)))</f>
        <v/>
      </c>
      <c r="N3215">
        <f>IF($A3215="","",$K3215+(5002-ROW())/10000)</f>
        <v/>
      </c>
    </row>
    <row r="3216">
      <c r="K3216">
        <f>IF($A3216="","",SUM($E3216:$J3216))</f>
        <v/>
      </c>
      <c r="M3216">
        <f>IF($A3216="","",MAX(0,ROUNDUP(DASHBOARD!$F$3-$D3216,0)))</f>
        <v/>
      </c>
      <c r="N3216">
        <f>IF($A3216="","",$K3216+(5002-ROW())/10000)</f>
        <v/>
      </c>
    </row>
    <row r="3217">
      <c r="K3217">
        <f>IF($A3217="","",SUM($E3217:$J3217))</f>
        <v/>
      </c>
      <c r="M3217">
        <f>IF($A3217="","",MAX(0,ROUNDUP(DASHBOARD!$F$3-$D3217,0)))</f>
        <v/>
      </c>
      <c r="N3217">
        <f>IF($A3217="","",$K3217+(5002-ROW())/10000)</f>
        <v/>
      </c>
    </row>
    <row r="3218">
      <c r="K3218">
        <f>IF($A3218="","",SUM($E3218:$J3218))</f>
        <v/>
      </c>
      <c r="M3218">
        <f>IF($A3218="","",MAX(0,ROUNDUP(DASHBOARD!$F$3-$D3218,0)))</f>
        <v/>
      </c>
      <c r="N3218">
        <f>IF($A3218="","",$K3218+(5002-ROW())/10000)</f>
        <v/>
      </c>
    </row>
    <row r="3219">
      <c r="K3219">
        <f>IF($A3219="","",SUM($E3219:$J3219))</f>
        <v/>
      </c>
      <c r="M3219">
        <f>IF($A3219="","",MAX(0,ROUNDUP(DASHBOARD!$F$3-$D3219,0)))</f>
        <v/>
      </c>
      <c r="N3219">
        <f>IF($A3219="","",$K3219+(5002-ROW())/10000)</f>
        <v/>
      </c>
    </row>
    <row r="3220">
      <c r="K3220">
        <f>IF($A3220="","",SUM($E3220:$J3220))</f>
        <v/>
      </c>
      <c r="M3220">
        <f>IF($A3220="","",MAX(0,ROUNDUP(DASHBOARD!$F$3-$D3220,0)))</f>
        <v/>
      </c>
      <c r="N3220">
        <f>IF($A3220="","",$K3220+(5002-ROW())/10000)</f>
        <v/>
      </c>
    </row>
    <row r="3221">
      <c r="K3221">
        <f>IF($A3221="","",SUM($E3221:$J3221))</f>
        <v/>
      </c>
      <c r="M3221">
        <f>IF($A3221="","",MAX(0,ROUNDUP(DASHBOARD!$F$3-$D3221,0)))</f>
        <v/>
      </c>
      <c r="N3221">
        <f>IF($A3221="","",$K3221+(5002-ROW())/10000)</f>
        <v/>
      </c>
    </row>
    <row r="3222">
      <c r="K3222">
        <f>IF($A3222="","",SUM($E3222:$J3222))</f>
        <v/>
      </c>
      <c r="M3222">
        <f>IF($A3222="","",MAX(0,ROUNDUP(DASHBOARD!$F$3-$D3222,0)))</f>
        <v/>
      </c>
      <c r="N3222">
        <f>IF($A3222="","",$K3222+(5002-ROW())/10000)</f>
        <v/>
      </c>
    </row>
    <row r="3223">
      <c r="K3223">
        <f>IF($A3223="","",SUM($E3223:$J3223))</f>
        <v/>
      </c>
      <c r="M3223">
        <f>IF($A3223="","",MAX(0,ROUNDUP(DASHBOARD!$F$3-$D3223,0)))</f>
        <v/>
      </c>
      <c r="N3223">
        <f>IF($A3223="","",$K3223+(5002-ROW())/10000)</f>
        <v/>
      </c>
    </row>
    <row r="3224">
      <c r="K3224">
        <f>IF($A3224="","",SUM($E3224:$J3224))</f>
        <v/>
      </c>
      <c r="M3224">
        <f>IF($A3224="","",MAX(0,ROUNDUP(DASHBOARD!$F$3-$D3224,0)))</f>
        <v/>
      </c>
      <c r="N3224">
        <f>IF($A3224="","",$K3224+(5002-ROW())/10000)</f>
        <v/>
      </c>
    </row>
    <row r="3225">
      <c r="K3225">
        <f>IF($A3225="","",SUM($E3225:$J3225))</f>
        <v/>
      </c>
      <c r="M3225">
        <f>IF($A3225="","",MAX(0,ROUNDUP(DASHBOARD!$F$3-$D3225,0)))</f>
        <v/>
      </c>
      <c r="N3225">
        <f>IF($A3225="","",$K3225+(5002-ROW())/10000)</f>
        <v/>
      </c>
    </row>
    <row r="3226">
      <c r="K3226">
        <f>IF($A3226="","",SUM($E3226:$J3226))</f>
        <v/>
      </c>
      <c r="M3226">
        <f>IF($A3226="","",MAX(0,ROUNDUP(DASHBOARD!$F$3-$D3226,0)))</f>
        <v/>
      </c>
      <c r="N3226">
        <f>IF($A3226="","",$K3226+(5002-ROW())/10000)</f>
        <v/>
      </c>
    </row>
    <row r="3227">
      <c r="K3227">
        <f>IF($A3227="","",SUM($E3227:$J3227))</f>
        <v/>
      </c>
      <c r="M3227">
        <f>IF($A3227="","",MAX(0,ROUNDUP(DASHBOARD!$F$3-$D3227,0)))</f>
        <v/>
      </c>
      <c r="N3227">
        <f>IF($A3227="","",$K3227+(5002-ROW())/10000)</f>
        <v/>
      </c>
    </row>
    <row r="3228">
      <c r="K3228">
        <f>IF($A3228="","",SUM($E3228:$J3228))</f>
        <v/>
      </c>
      <c r="M3228">
        <f>IF($A3228="","",MAX(0,ROUNDUP(DASHBOARD!$F$3-$D3228,0)))</f>
        <v/>
      </c>
      <c r="N3228">
        <f>IF($A3228="","",$K3228+(5002-ROW())/10000)</f>
        <v/>
      </c>
    </row>
    <row r="3229">
      <c r="K3229">
        <f>IF($A3229="","",SUM($E3229:$J3229))</f>
        <v/>
      </c>
      <c r="M3229">
        <f>IF($A3229="","",MAX(0,ROUNDUP(DASHBOARD!$F$3-$D3229,0)))</f>
        <v/>
      </c>
      <c r="N3229">
        <f>IF($A3229="","",$K3229+(5002-ROW())/10000)</f>
        <v/>
      </c>
    </row>
    <row r="3230">
      <c r="K3230">
        <f>IF($A3230="","",SUM($E3230:$J3230))</f>
        <v/>
      </c>
      <c r="M3230">
        <f>IF($A3230="","",MAX(0,ROUNDUP(DASHBOARD!$F$3-$D3230,0)))</f>
        <v/>
      </c>
      <c r="N3230">
        <f>IF($A3230="","",$K3230+(5002-ROW())/10000)</f>
        <v/>
      </c>
    </row>
    <row r="3231">
      <c r="K3231">
        <f>IF($A3231="","",SUM($E3231:$J3231))</f>
        <v/>
      </c>
      <c r="M3231">
        <f>IF($A3231="","",MAX(0,ROUNDUP(DASHBOARD!$F$3-$D3231,0)))</f>
        <v/>
      </c>
      <c r="N3231">
        <f>IF($A3231="","",$K3231+(5002-ROW())/10000)</f>
        <v/>
      </c>
    </row>
    <row r="3232">
      <c r="K3232">
        <f>IF($A3232="","",SUM($E3232:$J3232))</f>
        <v/>
      </c>
      <c r="M3232">
        <f>IF($A3232="","",MAX(0,ROUNDUP(DASHBOARD!$F$3-$D3232,0)))</f>
        <v/>
      </c>
      <c r="N3232">
        <f>IF($A3232="","",$K3232+(5002-ROW())/10000)</f>
        <v/>
      </c>
    </row>
    <row r="3233">
      <c r="K3233">
        <f>IF($A3233="","",SUM($E3233:$J3233))</f>
        <v/>
      </c>
      <c r="M3233">
        <f>IF($A3233="","",MAX(0,ROUNDUP(DASHBOARD!$F$3-$D3233,0)))</f>
        <v/>
      </c>
      <c r="N3233">
        <f>IF($A3233="","",$K3233+(5002-ROW())/10000)</f>
        <v/>
      </c>
    </row>
    <row r="3234">
      <c r="K3234">
        <f>IF($A3234="","",SUM($E3234:$J3234))</f>
        <v/>
      </c>
      <c r="M3234">
        <f>IF($A3234="","",MAX(0,ROUNDUP(DASHBOARD!$F$3-$D3234,0)))</f>
        <v/>
      </c>
      <c r="N3234">
        <f>IF($A3234="","",$K3234+(5002-ROW())/10000)</f>
        <v/>
      </c>
    </row>
    <row r="3235">
      <c r="K3235">
        <f>IF($A3235="","",SUM($E3235:$J3235))</f>
        <v/>
      </c>
      <c r="M3235">
        <f>IF($A3235="","",MAX(0,ROUNDUP(DASHBOARD!$F$3-$D3235,0)))</f>
        <v/>
      </c>
      <c r="N3235">
        <f>IF($A3235="","",$K3235+(5002-ROW())/10000)</f>
        <v/>
      </c>
    </row>
    <row r="3236">
      <c r="K3236">
        <f>IF($A3236="","",SUM($E3236:$J3236))</f>
        <v/>
      </c>
      <c r="M3236">
        <f>IF($A3236="","",MAX(0,ROUNDUP(DASHBOARD!$F$3-$D3236,0)))</f>
        <v/>
      </c>
      <c r="N3236">
        <f>IF($A3236="","",$K3236+(5002-ROW())/10000)</f>
        <v/>
      </c>
    </row>
    <row r="3237">
      <c r="K3237">
        <f>IF($A3237="","",SUM($E3237:$J3237))</f>
        <v/>
      </c>
      <c r="M3237">
        <f>IF($A3237="","",MAX(0,ROUNDUP(DASHBOARD!$F$3-$D3237,0)))</f>
        <v/>
      </c>
      <c r="N3237">
        <f>IF($A3237="","",$K3237+(5002-ROW())/10000)</f>
        <v/>
      </c>
    </row>
    <row r="3238">
      <c r="K3238">
        <f>IF($A3238="","",SUM($E3238:$J3238))</f>
        <v/>
      </c>
      <c r="M3238">
        <f>IF($A3238="","",MAX(0,ROUNDUP(DASHBOARD!$F$3-$D3238,0)))</f>
        <v/>
      </c>
      <c r="N3238">
        <f>IF($A3238="","",$K3238+(5002-ROW())/10000)</f>
        <v/>
      </c>
    </row>
    <row r="3239">
      <c r="K3239">
        <f>IF($A3239="","",SUM($E3239:$J3239))</f>
        <v/>
      </c>
      <c r="M3239">
        <f>IF($A3239="","",MAX(0,ROUNDUP(DASHBOARD!$F$3-$D3239,0)))</f>
        <v/>
      </c>
      <c r="N3239">
        <f>IF($A3239="","",$K3239+(5002-ROW())/10000)</f>
        <v/>
      </c>
    </row>
    <row r="3240">
      <c r="K3240">
        <f>IF($A3240="","",SUM($E3240:$J3240))</f>
        <v/>
      </c>
      <c r="M3240">
        <f>IF($A3240="","",MAX(0,ROUNDUP(DASHBOARD!$F$3-$D3240,0)))</f>
        <v/>
      </c>
      <c r="N3240">
        <f>IF($A3240="","",$K3240+(5002-ROW())/10000)</f>
        <v/>
      </c>
    </row>
    <row r="3241">
      <c r="K3241">
        <f>IF($A3241="","",SUM($E3241:$J3241))</f>
        <v/>
      </c>
      <c r="M3241">
        <f>IF($A3241="","",MAX(0,ROUNDUP(DASHBOARD!$F$3-$D3241,0)))</f>
        <v/>
      </c>
      <c r="N3241">
        <f>IF($A3241="","",$K3241+(5002-ROW())/10000)</f>
        <v/>
      </c>
    </row>
    <row r="3242">
      <c r="K3242">
        <f>IF($A3242="","",SUM($E3242:$J3242))</f>
        <v/>
      </c>
      <c r="M3242">
        <f>IF($A3242="","",MAX(0,ROUNDUP(DASHBOARD!$F$3-$D3242,0)))</f>
        <v/>
      </c>
      <c r="N3242">
        <f>IF($A3242="","",$K3242+(5002-ROW())/10000)</f>
        <v/>
      </c>
    </row>
    <row r="3243">
      <c r="K3243">
        <f>IF($A3243="","",SUM($E3243:$J3243))</f>
        <v/>
      </c>
      <c r="M3243">
        <f>IF($A3243="","",MAX(0,ROUNDUP(DASHBOARD!$F$3-$D3243,0)))</f>
        <v/>
      </c>
      <c r="N3243">
        <f>IF($A3243="","",$K3243+(5002-ROW())/10000)</f>
        <v/>
      </c>
    </row>
    <row r="3244">
      <c r="K3244">
        <f>IF($A3244="","",SUM($E3244:$J3244))</f>
        <v/>
      </c>
      <c r="M3244">
        <f>IF($A3244="","",MAX(0,ROUNDUP(DASHBOARD!$F$3-$D3244,0)))</f>
        <v/>
      </c>
      <c r="N3244">
        <f>IF($A3244="","",$K3244+(5002-ROW())/10000)</f>
        <v/>
      </c>
    </row>
    <row r="3245">
      <c r="K3245">
        <f>IF($A3245="","",SUM($E3245:$J3245))</f>
        <v/>
      </c>
      <c r="M3245">
        <f>IF($A3245="","",MAX(0,ROUNDUP(DASHBOARD!$F$3-$D3245,0)))</f>
        <v/>
      </c>
      <c r="N3245">
        <f>IF($A3245="","",$K3245+(5002-ROW())/10000)</f>
        <v/>
      </c>
    </row>
    <row r="3246">
      <c r="K3246">
        <f>IF($A3246="","",SUM($E3246:$J3246))</f>
        <v/>
      </c>
      <c r="M3246">
        <f>IF($A3246="","",MAX(0,ROUNDUP(DASHBOARD!$F$3-$D3246,0)))</f>
        <v/>
      </c>
      <c r="N3246">
        <f>IF($A3246="","",$K3246+(5002-ROW())/10000)</f>
        <v/>
      </c>
    </row>
    <row r="3247">
      <c r="K3247">
        <f>IF($A3247="","",SUM($E3247:$J3247))</f>
        <v/>
      </c>
      <c r="M3247">
        <f>IF($A3247="","",MAX(0,ROUNDUP(DASHBOARD!$F$3-$D3247,0)))</f>
        <v/>
      </c>
      <c r="N3247">
        <f>IF($A3247="","",$K3247+(5002-ROW())/10000)</f>
        <v/>
      </c>
    </row>
    <row r="3248">
      <c r="K3248">
        <f>IF($A3248="","",SUM($E3248:$J3248))</f>
        <v/>
      </c>
      <c r="M3248">
        <f>IF($A3248="","",MAX(0,ROUNDUP(DASHBOARD!$F$3-$D3248,0)))</f>
        <v/>
      </c>
      <c r="N3248">
        <f>IF($A3248="","",$K3248+(5002-ROW())/10000)</f>
        <v/>
      </c>
    </row>
    <row r="3249">
      <c r="K3249">
        <f>IF($A3249="","",SUM($E3249:$J3249))</f>
        <v/>
      </c>
      <c r="M3249">
        <f>IF($A3249="","",MAX(0,ROUNDUP(DASHBOARD!$F$3-$D3249,0)))</f>
        <v/>
      </c>
      <c r="N3249">
        <f>IF($A3249="","",$K3249+(5002-ROW())/10000)</f>
        <v/>
      </c>
    </row>
    <row r="3250">
      <c r="K3250">
        <f>IF($A3250="","",SUM($E3250:$J3250))</f>
        <v/>
      </c>
      <c r="M3250">
        <f>IF($A3250="","",MAX(0,ROUNDUP(DASHBOARD!$F$3-$D3250,0)))</f>
        <v/>
      </c>
      <c r="N3250">
        <f>IF($A3250="","",$K3250+(5002-ROW())/10000)</f>
        <v/>
      </c>
    </row>
    <row r="3251">
      <c r="K3251">
        <f>IF($A3251="","",SUM($E3251:$J3251))</f>
        <v/>
      </c>
      <c r="M3251">
        <f>IF($A3251="","",MAX(0,ROUNDUP(DASHBOARD!$F$3-$D3251,0)))</f>
        <v/>
      </c>
      <c r="N3251">
        <f>IF($A3251="","",$K3251+(5002-ROW())/10000)</f>
        <v/>
      </c>
    </row>
    <row r="3252">
      <c r="K3252">
        <f>IF($A3252="","",SUM($E3252:$J3252))</f>
        <v/>
      </c>
      <c r="M3252">
        <f>IF($A3252="","",MAX(0,ROUNDUP(DASHBOARD!$F$3-$D3252,0)))</f>
        <v/>
      </c>
      <c r="N3252">
        <f>IF($A3252="","",$K3252+(5002-ROW())/10000)</f>
        <v/>
      </c>
    </row>
    <row r="3253">
      <c r="K3253">
        <f>IF($A3253="","",SUM($E3253:$J3253))</f>
        <v/>
      </c>
      <c r="M3253">
        <f>IF($A3253="","",MAX(0,ROUNDUP(DASHBOARD!$F$3-$D3253,0)))</f>
        <v/>
      </c>
      <c r="N3253">
        <f>IF($A3253="","",$K3253+(5002-ROW())/10000)</f>
        <v/>
      </c>
    </row>
    <row r="3254">
      <c r="K3254">
        <f>IF($A3254="","",SUM($E3254:$J3254))</f>
        <v/>
      </c>
      <c r="M3254">
        <f>IF($A3254="","",MAX(0,ROUNDUP(DASHBOARD!$F$3-$D3254,0)))</f>
        <v/>
      </c>
      <c r="N3254">
        <f>IF($A3254="","",$K3254+(5002-ROW())/10000)</f>
        <v/>
      </c>
    </row>
    <row r="3255">
      <c r="K3255">
        <f>IF($A3255="","",SUM($E3255:$J3255))</f>
        <v/>
      </c>
      <c r="M3255">
        <f>IF($A3255="","",MAX(0,ROUNDUP(DASHBOARD!$F$3-$D3255,0)))</f>
        <v/>
      </c>
      <c r="N3255">
        <f>IF($A3255="","",$K3255+(5002-ROW())/10000)</f>
        <v/>
      </c>
    </row>
    <row r="3256">
      <c r="K3256">
        <f>IF($A3256="","",SUM($E3256:$J3256))</f>
        <v/>
      </c>
      <c r="M3256">
        <f>IF($A3256="","",MAX(0,ROUNDUP(DASHBOARD!$F$3-$D3256,0)))</f>
        <v/>
      </c>
      <c r="N3256">
        <f>IF($A3256="","",$K3256+(5002-ROW())/10000)</f>
        <v/>
      </c>
    </row>
    <row r="3257">
      <c r="K3257">
        <f>IF($A3257="","",SUM($E3257:$J3257))</f>
        <v/>
      </c>
      <c r="M3257">
        <f>IF($A3257="","",MAX(0,ROUNDUP(DASHBOARD!$F$3-$D3257,0)))</f>
        <v/>
      </c>
      <c r="N3257">
        <f>IF($A3257="","",$K3257+(5002-ROW())/10000)</f>
        <v/>
      </c>
    </row>
    <row r="3258">
      <c r="K3258">
        <f>IF($A3258="","",SUM($E3258:$J3258))</f>
        <v/>
      </c>
      <c r="M3258">
        <f>IF($A3258="","",MAX(0,ROUNDUP(DASHBOARD!$F$3-$D3258,0)))</f>
        <v/>
      </c>
      <c r="N3258">
        <f>IF($A3258="","",$K3258+(5002-ROW())/10000)</f>
        <v/>
      </c>
    </row>
    <row r="3259">
      <c r="K3259">
        <f>IF($A3259="","",SUM($E3259:$J3259))</f>
        <v/>
      </c>
      <c r="M3259">
        <f>IF($A3259="","",MAX(0,ROUNDUP(DASHBOARD!$F$3-$D3259,0)))</f>
        <v/>
      </c>
      <c r="N3259">
        <f>IF($A3259="","",$K3259+(5002-ROW())/10000)</f>
        <v/>
      </c>
    </row>
    <row r="3260">
      <c r="K3260">
        <f>IF($A3260="","",SUM($E3260:$J3260))</f>
        <v/>
      </c>
      <c r="M3260">
        <f>IF($A3260="","",MAX(0,ROUNDUP(DASHBOARD!$F$3-$D3260,0)))</f>
        <v/>
      </c>
      <c r="N3260">
        <f>IF($A3260="","",$K3260+(5002-ROW())/10000)</f>
        <v/>
      </c>
    </row>
    <row r="3261">
      <c r="K3261">
        <f>IF($A3261="","",SUM($E3261:$J3261))</f>
        <v/>
      </c>
      <c r="M3261">
        <f>IF($A3261="","",MAX(0,ROUNDUP(DASHBOARD!$F$3-$D3261,0)))</f>
        <v/>
      </c>
      <c r="N3261">
        <f>IF($A3261="","",$K3261+(5002-ROW())/10000)</f>
        <v/>
      </c>
    </row>
    <row r="3262">
      <c r="K3262">
        <f>IF($A3262="","",SUM($E3262:$J3262))</f>
        <v/>
      </c>
      <c r="M3262">
        <f>IF($A3262="","",MAX(0,ROUNDUP(DASHBOARD!$F$3-$D3262,0)))</f>
        <v/>
      </c>
      <c r="N3262">
        <f>IF($A3262="","",$K3262+(5002-ROW())/10000)</f>
        <v/>
      </c>
    </row>
    <row r="3263">
      <c r="K3263">
        <f>IF($A3263="","",SUM($E3263:$J3263))</f>
        <v/>
      </c>
      <c r="M3263">
        <f>IF($A3263="","",MAX(0,ROUNDUP(DASHBOARD!$F$3-$D3263,0)))</f>
        <v/>
      </c>
      <c r="N3263">
        <f>IF($A3263="","",$K3263+(5002-ROW())/10000)</f>
        <v/>
      </c>
    </row>
    <row r="3264">
      <c r="K3264">
        <f>IF($A3264="","",SUM($E3264:$J3264))</f>
        <v/>
      </c>
      <c r="M3264">
        <f>IF($A3264="","",MAX(0,ROUNDUP(DASHBOARD!$F$3-$D3264,0)))</f>
        <v/>
      </c>
      <c r="N3264">
        <f>IF($A3264="","",$K3264+(5002-ROW())/10000)</f>
        <v/>
      </c>
    </row>
    <row r="3265">
      <c r="K3265">
        <f>IF($A3265="","",SUM($E3265:$J3265))</f>
        <v/>
      </c>
      <c r="M3265">
        <f>IF($A3265="","",MAX(0,ROUNDUP(DASHBOARD!$F$3-$D3265,0)))</f>
        <v/>
      </c>
      <c r="N3265">
        <f>IF($A3265="","",$K3265+(5002-ROW())/10000)</f>
        <v/>
      </c>
    </row>
    <row r="3266">
      <c r="K3266">
        <f>IF($A3266="","",SUM($E3266:$J3266))</f>
        <v/>
      </c>
      <c r="M3266">
        <f>IF($A3266="","",MAX(0,ROUNDUP(DASHBOARD!$F$3-$D3266,0)))</f>
        <v/>
      </c>
      <c r="N3266">
        <f>IF($A3266="","",$K3266+(5002-ROW())/10000)</f>
        <v/>
      </c>
    </row>
    <row r="3267">
      <c r="K3267">
        <f>IF($A3267="","",SUM($E3267:$J3267))</f>
        <v/>
      </c>
      <c r="M3267">
        <f>IF($A3267="","",MAX(0,ROUNDUP(DASHBOARD!$F$3-$D3267,0)))</f>
        <v/>
      </c>
      <c r="N3267">
        <f>IF($A3267="","",$K3267+(5002-ROW())/10000)</f>
        <v/>
      </c>
    </row>
    <row r="3268">
      <c r="K3268">
        <f>IF($A3268="","",SUM($E3268:$J3268))</f>
        <v/>
      </c>
      <c r="M3268">
        <f>IF($A3268="","",MAX(0,ROUNDUP(DASHBOARD!$F$3-$D3268,0)))</f>
        <v/>
      </c>
      <c r="N3268">
        <f>IF($A3268="","",$K3268+(5002-ROW())/10000)</f>
        <v/>
      </c>
    </row>
    <row r="3269">
      <c r="K3269">
        <f>IF($A3269="","",SUM($E3269:$J3269))</f>
        <v/>
      </c>
      <c r="M3269">
        <f>IF($A3269="","",MAX(0,ROUNDUP(DASHBOARD!$F$3-$D3269,0)))</f>
        <v/>
      </c>
      <c r="N3269">
        <f>IF($A3269="","",$K3269+(5002-ROW())/10000)</f>
        <v/>
      </c>
    </row>
    <row r="3270">
      <c r="K3270">
        <f>IF($A3270="","",SUM($E3270:$J3270))</f>
        <v/>
      </c>
      <c r="M3270">
        <f>IF($A3270="","",MAX(0,ROUNDUP(DASHBOARD!$F$3-$D3270,0)))</f>
        <v/>
      </c>
      <c r="N3270">
        <f>IF($A3270="","",$K3270+(5002-ROW())/10000)</f>
        <v/>
      </c>
    </row>
    <row r="3271">
      <c r="K3271">
        <f>IF($A3271="","",SUM($E3271:$J3271))</f>
        <v/>
      </c>
      <c r="M3271">
        <f>IF($A3271="","",MAX(0,ROUNDUP(DASHBOARD!$F$3-$D3271,0)))</f>
        <v/>
      </c>
      <c r="N3271">
        <f>IF($A3271="","",$K3271+(5002-ROW())/10000)</f>
        <v/>
      </c>
    </row>
    <row r="3272">
      <c r="K3272">
        <f>IF($A3272="","",SUM($E3272:$J3272))</f>
        <v/>
      </c>
      <c r="M3272">
        <f>IF($A3272="","",MAX(0,ROUNDUP(DASHBOARD!$F$3-$D3272,0)))</f>
        <v/>
      </c>
      <c r="N3272">
        <f>IF($A3272="","",$K3272+(5002-ROW())/10000)</f>
        <v/>
      </c>
    </row>
    <row r="3273">
      <c r="K3273">
        <f>IF($A3273="","",SUM($E3273:$J3273))</f>
        <v/>
      </c>
      <c r="M3273">
        <f>IF($A3273="","",MAX(0,ROUNDUP(DASHBOARD!$F$3-$D3273,0)))</f>
        <v/>
      </c>
      <c r="N3273">
        <f>IF($A3273="","",$K3273+(5002-ROW())/10000)</f>
        <v/>
      </c>
    </row>
    <row r="3274">
      <c r="K3274">
        <f>IF($A3274="","",SUM($E3274:$J3274))</f>
        <v/>
      </c>
      <c r="M3274">
        <f>IF($A3274="","",MAX(0,ROUNDUP(DASHBOARD!$F$3-$D3274,0)))</f>
        <v/>
      </c>
      <c r="N3274">
        <f>IF($A3274="","",$K3274+(5002-ROW())/10000)</f>
        <v/>
      </c>
    </row>
    <row r="3275">
      <c r="K3275">
        <f>IF($A3275="","",SUM($E3275:$J3275))</f>
        <v/>
      </c>
      <c r="M3275">
        <f>IF($A3275="","",MAX(0,ROUNDUP(DASHBOARD!$F$3-$D3275,0)))</f>
        <v/>
      </c>
      <c r="N3275">
        <f>IF($A3275="","",$K3275+(5002-ROW())/10000)</f>
        <v/>
      </c>
    </row>
    <row r="3276">
      <c r="K3276">
        <f>IF($A3276="","",SUM($E3276:$J3276))</f>
        <v/>
      </c>
      <c r="M3276">
        <f>IF($A3276="","",MAX(0,ROUNDUP(DASHBOARD!$F$3-$D3276,0)))</f>
        <v/>
      </c>
      <c r="N3276">
        <f>IF($A3276="","",$K3276+(5002-ROW())/10000)</f>
        <v/>
      </c>
    </row>
    <row r="3277">
      <c r="K3277">
        <f>IF($A3277="","",SUM($E3277:$J3277))</f>
        <v/>
      </c>
      <c r="M3277">
        <f>IF($A3277="","",MAX(0,ROUNDUP(DASHBOARD!$F$3-$D3277,0)))</f>
        <v/>
      </c>
      <c r="N3277">
        <f>IF($A3277="","",$K3277+(5002-ROW())/10000)</f>
        <v/>
      </c>
    </row>
    <row r="3278">
      <c r="K3278">
        <f>IF($A3278="","",SUM($E3278:$J3278))</f>
        <v/>
      </c>
      <c r="M3278">
        <f>IF($A3278="","",MAX(0,ROUNDUP(DASHBOARD!$F$3-$D3278,0)))</f>
        <v/>
      </c>
      <c r="N3278">
        <f>IF($A3278="","",$K3278+(5002-ROW())/10000)</f>
        <v/>
      </c>
    </row>
    <row r="3279">
      <c r="K3279">
        <f>IF($A3279="","",SUM($E3279:$J3279))</f>
        <v/>
      </c>
      <c r="M3279">
        <f>IF($A3279="","",MAX(0,ROUNDUP(DASHBOARD!$F$3-$D3279,0)))</f>
        <v/>
      </c>
      <c r="N3279">
        <f>IF($A3279="","",$K3279+(5002-ROW())/10000)</f>
        <v/>
      </c>
    </row>
    <row r="3280">
      <c r="K3280">
        <f>IF($A3280="","",SUM($E3280:$J3280))</f>
        <v/>
      </c>
      <c r="M3280">
        <f>IF($A3280="","",MAX(0,ROUNDUP(DASHBOARD!$F$3-$D3280,0)))</f>
        <v/>
      </c>
      <c r="N3280">
        <f>IF($A3280="","",$K3280+(5002-ROW())/10000)</f>
        <v/>
      </c>
    </row>
    <row r="3281">
      <c r="K3281">
        <f>IF($A3281="","",SUM($E3281:$J3281))</f>
        <v/>
      </c>
      <c r="M3281">
        <f>IF($A3281="","",MAX(0,ROUNDUP(DASHBOARD!$F$3-$D3281,0)))</f>
        <v/>
      </c>
      <c r="N3281">
        <f>IF($A3281="","",$K3281+(5002-ROW())/10000)</f>
        <v/>
      </c>
    </row>
    <row r="3282">
      <c r="K3282">
        <f>IF($A3282="","",SUM($E3282:$J3282))</f>
        <v/>
      </c>
      <c r="M3282">
        <f>IF($A3282="","",MAX(0,ROUNDUP(DASHBOARD!$F$3-$D3282,0)))</f>
        <v/>
      </c>
      <c r="N3282">
        <f>IF($A3282="","",$K3282+(5002-ROW())/10000)</f>
        <v/>
      </c>
    </row>
    <row r="3283">
      <c r="K3283">
        <f>IF($A3283="","",SUM($E3283:$J3283))</f>
        <v/>
      </c>
      <c r="M3283">
        <f>IF($A3283="","",MAX(0,ROUNDUP(DASHBOARD!$F$3-$D3283,0)))</f>
        <v/>
      </c>
      <c r="N3283">
        <f>IF($A3283="","",$K3283+(5002-ROW())/10000)</f>
        <v/>
      </c>
    </row>
    <row r="3284">
      <c r="K3284">
        <f>IF($A3284="","",SUM($E3284:$J3284))</f>
        <v/>
      </c>
      <c r="M3284">
        <f>IF($A3284="","",MAX(0,ROUNDUP(DASHBOARD!$F$3-$D3284,0)))</f>
        <v/>
      </c>
      <c r="N3284">
        <f>IF($A3284="","",$K3284+(5002-ROW())/10000)</f>
        <v/>
      </c>
    </row>
    <row r="3285">
      <c r="K3285">
        <f>IF($A3285="","",SUM($E3285:$J3285))</f>
        <v/>
      </c>
      <c r="M3285">
        <f>IF($A3285="","",MAX(0,ROUNDUP(DASHBOARD!$F$3-$D3285,0)))</f>
        <v/>
      </c>
      <c r="N3285">
        <f>IF($A3285="","",$K3285+(5002-ROW())/10000)</f>
        <v/>
      </c>
    </row>
    <row r="3286">
      <c r="K3286">
        <f>IF($A3286="","",SUM($E3286:$J3286))</f>
        <v/>
      </c>
      <c r="M3286">
        <f>IF($A3286="","",MAX(0,ROUNDUP(DASHBOARD!$F$3-$D3286,0)))</f>
        <v/>
      </c>
      <c r="N3286">
        <f>IF($A3286="","",$K3286+(5002-ROW())/10000)</f>
        <v/>
      </c>
    </row>
    <row r="3287">
      <c r="K3287">
        <f>IF($A3287="","",SUM($E3287:$J3287))</f>
        <v/>
      </c>
      <c r="M3287">
        <f>IF($A3287="","",MAX(0,ROUNDUP(DASHBOARD!$F$3-$D3287,0)))</f>
        <v/>
      </c>
      <c r="N3287">
        <f>IF($A3287="","",$K3287+(5002-ROW())/10000)</f>
        <v/>
      </c>
    </row>
    <row r="3288">
      <c r="K3288">
        <f>IF($A3288="","",SUM($E3288:$J3288))</f>
        <v/>
      </c>
      <c r="M3288">
        <f>IF($A3288="","",MAX(0,ROUNDUP(DASHBOARD!$F$3-$D3288,0)))</f>
        <v/>
      </c>
      <c r="N3288">
        <f>IF($A3288="","",$K3288+(5002-ROW())/10000)</f>
        <v/>
      </c>
    </row>
    <row r="3289">
      <c r="K3289">
        <f>IF($A3289="","",SUM($E3289:$J3289))</f>
        <v/>
      </c>
      <c r="M3289">
        <f>IF($A3289="","",MAX(0,ROUNDUP(DASHBOARD!$F$3-$D3289,0)))</f>
        <v/>
      </c>
      <c r="N3289">
        <f>IF($A3289="","",$K3289+(5002-ROW())/10000)</f>
        <v/>
      </c>
    </row>
    <row r="3290">
      <c r="K3290">
        <f>IF($A3290="","",SUM($E3290:$J3290))</f>
        <v/>
      </c>
      <c r="M3290">
        <f>IF($A3290="","",MAX(0,ROUNDUP(DASHBOARD!$F$3-$D3290,0)))</f>
        <v/>
      </c>
      <c r="N3290">
        <f>IF($A3290="","",$K3290+(5002-ROW())/10000)</f>
        <v/>
      </c>
    </row>
    <row r="3291">
      <c r="K3291">
        <f>IF($A3291="","",SUM($E3291:$J3291))</f>
        <v/>
      </c>
      <c r="M3291">
        <f>IF($A3291="","",MAX(0,ROUNDUP(DASHBOARD!$F$3-$D3291,0)))</f>
        <v/>
      </c>
      <c r="N3291">
        <f>IF($A3291="","",$K3291+(5002-ROW())/10000)</f>
        <v/>
      </c>
    </row>
    <row r="3292">
      <c r="K3292">
        <f>IF($A3292="","",SUM($E3292:$J3292))</f>
        <v/>
      </c>
      <c r="M3292">
        <f>IF($A3292="","",MAX(0,ROUNDUP(DASHBOARD!$F$3-$D3292,0)))</f>
        <v/>
      </c>
      <c r="N3292">
        <f>IF($A3292="","",$K3292+(5002-ROW())/10000)</f>
        <v/>
      </c>
    </row>
    <row r="3293">
      <c r="K3293">
        <f>IF($A3293="","",SUM($E3293:$J3293))</f>
        <v/>
      </c>
      <c r="M3293">
        <f>IF($A3293="","",MAX(0,ROUNDUP(DASHBOARD!$F$3-$D3293,0)))</f>
        <v/>
      </c>
      <c r="N3293">
        <f>IF($A3293="","",$K3293+(5002-ROW())/10000)</f>
        <v/>
      </c>
    </row>
    <row r="3294">
      <c r="K3294">
        <f>IF($A3294="","",SUM($E3294:$J3294))</f>
        <v/>
      </c>
      <c r="M3294">
        <f>IF($A3294="","",MAX(0,ROUNDUP(DASHBOARD!$F$3-$D3294,0)))</f>
        <v/>
      </c>
      <c r="N3294">
        <f>IF($A3294="","",$K3294+(5002-ROW())/10000)</f>
        <v/>
      </c>
    </row>
    <row r="3295">
      <c r="K3295">
        <f>IF($A3295="","",SUM($E3295:$J3295))</f>
        <v/>
      </c>
      <c r="M3295">
        <f>IF($A3295="","",MAX(0,ROUNDUP(DASHBOARD!$F$3-$D3295,0)))</f>
        <v/>
      </c>
      <c r="N3295">
        <f>IF($A3295="","",$K3295+(5002-ROW())/10000)</f>
        <v/>
      </c>
    </row>
    <row r="3296">
      <c r="K3296">
        <f>IF($A3296="","",SUM($E3296:$J3296))</f>
        <v/>
      </c>
      <c r="M3296">
        <f>IF($A3296="","",MAX(0,ROUNDUP(DASHBOARD!$F$3-$D3296,0)))</f>
        <v/>
      </c>
      <c r="N3296">
        <f>IF($A3296="","",$K3296+(5002-ROW())/10000)</f>
        <v/>
      </c>
    </row>
    <row r="3297">
      <c r="K3297">
        <f>IF($A3297="","",SUM($E3297:$J3297))</f>
        <v/>
      </c>
      <c r="M3297">
        <f>IF($A3297="","",MAX(0,ROUNDUP(DASHBOARD!$F$3-$D3297,0)))</f>
        <v/>
      </c>
      <c r="N3297">
        <f>IF($A3297="","",$K3297+(5002-ROW())/10000)</f>
        <v/>
      </c>
    </row>
    <row r="3298">
      <c r="K3298">
        <f>IF($A3298="","",SUM($E3298:$J3298))</f>
        <v/>
      </c>
      <c r="M3298">
        <f>IF($A3298="","",MAX(0,ROUNDUP(DASHBOARD!$F$3-$D3298,0)))</f>
        <v/>
      </c>
      <c r="N3298">
        <f>IF($A3298="","",$K3298+(5002-ROW())/10000)</f>
        <v/>
      </c>
    </row>
    <row r="3299">
      <c r="K3299">
        <f>IF($A3299="","",SUM($E3299:$J3299))</f>
        <v/>
      </c>
      <c r="M3299">
        <f>IF($A3299="","",MAX(0,ROUNDUP(DASHBOARD!$F$3-$D3299,0)))</f>
        <v/>
      </c>
      <c r="N3299">
        <f>IF($A3299="","",$K3299+(5002-ROW())/10000)</f>
        <v/>
      </c>
    </row>
    <row r="3300">
      <c r="K3300">
        <f>IF($A3300="","",SUM($E3300:$J3300))</f>
        <v/>
      </c>
      <c r="M3300">
        <f>IF($A3300="","",MAX(0,ROUNDUP(DASHBOARD!$F$3-$D3300,0)))</f>
        <v/>
      </c>
      <c r="N3300">
        <f>IF($A3300="","",$K3300+(5002-ROW())/10000)</f>
        <v/>
      </c>
    </row>
    <row r="3301">
      <c r="K3301">
        <f>IF($A3301="","",SUM($E3301:$J3301))</f>
        <v/>
      </c>
      <c r="M3301">
        <f>IF($A3301="","",MAX(0,ROUNDUP(DASHBOARD!$F$3-$D3301,0)))</f>
        <v/>
      </c>
      <c r="N3301">
        <f>IF($A3301="","",$K3301+(5002-ROW())/10000)</f>
        <v/>
      </c>
    </row>
    <row r="3302">
      <c r="K3302">
        <f>IF($A3302="","",SUM($E3302:$J3302))</f>
        <v/>
      </c>
      <c r="M3302">
        <f>IF($A3302="","",MAX(0,ROUNDUP(DASHBOARD!$F$3-$D3302,0)))</f>
        <v/>
      </c>
      <c r="N3302">
        <f>IF($A3302="","",$K3302+(5002-ROW())/10000)</f>
        <v/>
      </c>
    </row>
    <row r="3303">
      <c r="K3303">
        <f>IF($A3303="","",SUM($E3303:$J3303))</f>
        <v/>
      </c>
      <c r="M3303">
        <f>IF($A3303="","",MAX(0,ROUNDUP(DASHBOARD!$F$3-$D3303,0)))</f>
        <v/>
      </c>
      <c r="N3303">
        <f>IF($A3303="","",$K3303+(5002-ROW())/10000)</f>
        <v/>
      </c>
    </row>
    <row r="3304">
      <c r="K3304">
        <f>IF($A3304="","",SUM($E3304:$J3304))</f>
        <v/>
      </c>
      <c r="M3304">
        <f>IF($A3304="","",MAX(0,ROUNDUP(DASHBOARD!$F$3-$D3304,0)))</f>
        <v/>
      </c>
      <c r="N3304">
        <f>IF($A3304="","",$K3304+(5002-ROW())/10000)</f>
        <v/>
      </c>
    </row>
    <row r="3305">
      <c r="K3305">
        <f>IF($A3305="","",SUM($E3305:$J3305))</f>
        <v/>
      </c>
      <c r="M3305">
        <f>IF($A3305="","",MAX(0,ROUNDUP(DASHBOARD!$F$3-$D3305,0)))</f>
        <v/>
      </c>
      <c r="N3305">
        <f>IF($A3305="","",$K3305+(5002-ROW())/10000)</f>
        <v/>
      </c>
    </row>
    <row r="3306">
      <c r="K3306">
        <f>IF($A3306="","",SUM($E3306:$J3306))</f>
        <v/>
      </c>
      <c r="M3306">
        <f>IF($A3306="","",MAX(0,ROUNDUP(DASHBOARD!$F$3-$D3306,0)))</f>
        <v/>
      </c>
      <c r="N3306">
        <f>IF($A3306="","",$K3306+(5002-ROW())/10000)</f>
        <v/>
      </c>
    </row>
    <row r="3307">
      <c r="K3307">
        <f>IF($A3307="","",SUM($E3307:$J3307))</f>
        <v/>
      </c>
      <c r="M3307">
        <f>IF($A3307="","",MAX(0,ROUNDUP(DASHBOARD!$F$3-$D3307,0)))</f>
        <v/>
      </c>
      <c r="N3307">
        <f>IF($A3307="","",$K3307+(5002-ROW())/10000)</f>
        <v/>
      </c>
    </row>
    <row r="3308">
      <c r="K3308">
        <f>IF($A3308="","",SUM($E3308:$J3308))</f>
        <v/>
      </c>
      <c r="M3308">
        <f>IF($A3308="","",MAX(0,ROUNDUP(DASHBOARD!$F$3-$D3308,0)))</f>
        <v/>
      </c>
      <c r="N3308">
        <f>IF($A3308="","",$K3308+(5002-ROW())/10000)</f>
        <v/>
      </c>
    </row>
    <row r="3309">
      <c r="K3309">
        <f>IF($A3309="","",SUM($E3309:$J3309))</f>
        <v/>
      </c>
      <c r="M3309">
        <f>IF($A3309="","",MAX(0,ROUNDUP(DASHBOARD!$F$3-$D3309,0)))</f>
        <v/>
      </c>
      <c r="N3309">
        <f>IF($A3309="","",$K3309+(5002-ROW())/10000)</f>
        <v/>
      </c>
    </row>
    <row r="3310">
      <c r="K3310">
        <f>IF($A3310="","",SUM($E3310:$J3310))</f>
        <v/>
      </c>
      <c r="M3310">
        <f>IF($A3310="","",MAX(0,ROUNDUP(DASHBOARD!$F$3-$D3310,0)))</f>
        <v/>
      </c>
      <c r="N3310">
        <f>IF($A3310="","",$K3310+(5002-ROW())/10000)</f>
        <v/>
      </c>
    </row>
    <row r="3311">
      <c r="K3311">
        <f>IF($A3311="","",SUM($E3311:$J3311))</f>
        <v/>
      </c>
      <c r="M3311">
        <f>IF($A3311="","",MAX(0,ROUNDUP(DASHBOARD!$F$3-$D3311,0)))</f>
        <v/>
      </c>
      <c r="N3311">
        <f>IF($A3311="","",$K3311+(5002-ROW())/10000)</f>
        <v/>
      </c>
    </row>
    <row r="3312">
      <c r="K3312">
        <f>IF($A3312="","",SUM($E3312:$J3312))</f>
        <v/>
      </c>
      <c r="M3312">
        <f>IF($A3312="","",MAX(0,ROUNDUP(DASHBOARD!$F$3-$D3312,0)))</f>
        <v/>
      </c>
      <c r="N3312">
        <f>IF($A3312="","",$K3312+(5002-ROW())/10000)</f>
        <v/>
      </c>
    </row>
    <row r="3313">
      <c r="K3313">
        <f>IF($A3313="","",SUM($E3313:$J3313))</f>
        <v/>
      </c>
      <c r="M3313">
        <f>IF($A3313="","",MAX(0,ROUNDUP(DASHBOARD!$F$3-$D3313,0)))</f>
        <v/>
      </c>
      <c r="N3313">
        <f>IF($A3313="","",$K3313+(5002-ROW())/10000)</f>
        <v/>
      </c>
    </row>
    <row r="3314">
      <c r="K3314">
        <f>IF($A3314="","",SUM($E3314:$J3314))</f>
        <v/>
      </c>
      <c r="M3314">
        <f>IF($A3314="","",MAX(0,ROUNDUP(DASHBOARD!$F$3-$D3314,0)))</f>
        <v/>
      </c>
      <c r="N3314">
        <f>IF($A3314="","",$K3314+(5002-ROW())/10000)</f>
        <v/>
      </c>
    </row>
    <row r="3315">
      <c r="K3315">
        <f>IF($A3315="","",SUM($E3315:$J3315))</f>
        <v/>
      </c>
      <c r="M3315">
        <f>IF($A3315="","",MAX(0,ROUNDUP(DASHBOARD!$F$3-$D3315,0)))</f>
        <v/>
      </c>
      <c r="N3315">
        <f>IF($A3315="","",$K3315+(5002-ROW())/10000)</f>
        <v/>
      </c>
    </row>
    <row r="3316">
      <c r="K3316">
        <f>IF($A3316="","",SUM($E3316:$J3316))</f>
        <v/>
      </c>
      <c r="M3316">
        <f>IF($A3316="","",MAX(0,ROUNDUP(DASHBOARD!$F$3-$D3316,0)))</f>
        <v/>
      </c>
      <c r="N3316">
        <f>IF($A3316="","",$K3316+(5002-ROW())/10000)</f>
        <v/>
      </c>
    </row>
    <row r="3317">
      <c r="K3317">
        <f>IF($A3317="","",SUM($E3317:$J3317))</f>
        <v/>
      </c>
      <c r="M3317">
        <f>IF($A3317="","",MAX(0,ROUNDUP(DASHBOARD!$F$3-$D3317,0)))</f>
        <v/>
      </c>
      <c r="N3317">
        <f>IF($A3317="","",$K3317+(5002-ROW())/10000)</f>
        <v/>
      </c>
    </row>
    <row r="3318">
      <c r="K3318">
        <f>IF($A3318="","",SUM($E3318:$J3318))</f>
        <v/>
      </c>
      <c r="M3318">
        <f>IF($A3318="","",MAX(0,ROUNDUP(DASHBOARD!$F$3-$D3318,0)))</f>
        <v/>
      </c>
      <c r="N3318">
        <f>IF($A3318="","",$K3318+(5002-ROW())/10000)</f>
        <v/>
      </c>
    </row>
    <row r="3319">
      <c r="K3319">
        <f>IF($A3319="","",SUM($E3319:$J3319))</f>
        <v/>
      </c>
      <c r="M3319">
        <f>IF($A3319="","",MAX(0,ROUNDUP(DASHBOARD!$F$3-$D3319,0)))</f>
        <v/>
      </c>
      <c r="N3319">
        <f>IF($A3319="","",$K3319+(5002-ROW())/10000)</f>
        <v/>
      </c>
    </row>
    <row r="3320">
      <c r="K3320">
        <f>IF($A3320="","",SUM($E3320:$J3320))</f>
        <v/>
      </c>
      <c r="M3320">
        <f>IF($A3320="","",MAX(0,ROUNDUP(DASHBOARD!$F$3-$D3320,0)))</f>
        <v/>
      </c>
      <c r="N3320">
        <f>IF($A3320="","",$K3320+(5002-ROW())/10000)</f>
        <v/>
      </c>
    </row>
    <row r="3321">
      <c r="K3321">
        <f>IF($A3321="","",SUM($E3321:$J3321))</f>
        <v/>
      </c>
      <c r="M3321">
        <f>IF($A3321="","",MAX(0,ROUNDUP(DASHBOARD!$F$3-$D3321,0)))</f>
        <v/>
      </c>
      <c r="N3321">
        <f>IF($A3321="","",$K3321+(5002-ROW())/10000)</f>
        <v/>
      </c>
    </row>
    <row r="3322">
      <c r="K3322">
        <f>IF($A3322="","",SUM($E3322:$J3322))</f>
        <v/>
      </c>
      <c r="M3322">
        <f>IF($A3322="","",MAX(0,ROUNDUP(DASHBOARD!$F$3-$D3322,0)))</f>
        <v/>
      </c>
      <c r="N3322">
        <f>IF($A3322="","",$K3322+(5002-ROW())/10000)</f>
        <v/>
      </c>
    </row>
    <row r="3323">
      <c r="K3323">
        <f>IF($A3323="","",SUM($E3323:$J3323))</f>
        <v/>
      </c>
      <c r="M3323">
        <f>IF($A3323="","",MAX(0,ROUNDUP(DASHBOARD!$F$3-$D3323,0)))</f>
        <v/>
      </c>
      <c r="N3323">
        <f>IF($A3323="","",$K3323+(5002-ROW())/10000)</f>
        <v/>
      </c>
    </row>
    <row r="3324">
      <c r="K3324">
        <f>IF($A3324="","",SUM($E3324:$J3324))</f>
        <v/>
      </c>
      <c r="M3324">
        <f>IF($A3324="","",MAX(0,ROUNDUP(DASHBOARD!$F$3-$D3324,0)))</f>
        <v/>
      </c>
      <c r="N3324">
        <f>IF($A3324="","",$K3324+(5002-ROW())/10000)</f>
        <v/>
      </c>
    </row>
    <row r="3325">
      <c r="K3325">
        <f>IF($A3325="","",SUM($E3325:$J3325))</f>
        <v/>
      </c>
      <c r="M3325">
        <f>IF($A3325="","",MAX(0,ROUNDUP(DASHBOARD!$F$3-$D3325,0)))</f>
        <v/>
      </c>
      <c r="N3325">
        <f>IF($A3325="","",$K3325+(5002-ROW())/10000)</f>
        <v/>
      </c>
    </row>
    <row r="3326">
      <c r="K3326">
        <f>IF($A3326="","",SUM($E3326:$J3326))</f>
        <v/>
      </c>
      <c r="M3326">
        <f>IF($A3326="","",MAX(0,ROUNDUP(DASHBOARD!$F$3-$D3326,0)))</f>
        <v/>
      </c>
      <c r="N3326">
        <f>IF($A3326="","",$K3326+(5002-ROW())/10000)</f>
        <v/>
      </c>
    </row>
    <row r="3327">
      <c r="K3327">
        <f>IF($A3327="","",SUM($E3327:$J3327))</f>
        <v/>
      </c>
      <c r="M3327">
        <f>IF($A3327="","",MAX(0,ROUNDUP(DASHBOARD!$F$3-$D3327,0)))</f>
        <v/>
      </c>
      <c r="N3327">
        <f>IF($A3327="","",$K3327+(5002-ROW())/10000)</f>
        <v/>
      </c>
    </row>
    <row r="3328">
      <c r="K3328">
        <f>IF($A3328="","",SUM($E3328:$J3328))</f>
        <v/>
      </c>
      <c r="M3328">
        <f>IF($A3328="","",MAX(0,ROUNDUP(DASHBOARD!$F$3-$D3328,0)))</f>
        <v/>
      </c>
      <c r="N3328">
        <f>IF($A3328="","",$K3328+(5002-ROW())/10000)</f>
        <v/>
      </c>
    </row>
    <row r="3329">
      <c r="K3329">
        <f>IF($A3329="","",SUM($E3329:$J3329))</f>
        <v/>
      </c>
      <c r="M3329">
        <f>IF($A3329="","",MAX(0,ROUNDUP(DASHBOARD!$F$3-$D3329,0)))</f>
        <v/>
      </c>
      <c r="N3329">
        <f>IF($A3329="","",$K3329+(5002-ROW())/10000)</f>
        <v/>
      </c>
    </row>
    <row r="3330">
      <c r="K3330">
        <f>IF($A3330="","",SUM($E3330:$J3330))</f>
        <v/>
      </c>
      <c r="M3330">
        <f>IF($A3330="","",MAX(0,ROUNDUP(DASHBOARD!$F$3-$D3330,0)))</f>
        <v/>
      </c>
      <c r="N3330">
        <f>IF($A3330="","",$K3330+(5002-ROW())/10000)</f>
        <v/>
      </c>
    </row>
    <row r="3331">
      <c r="K3331">
        <f>IF($A3331="","",SUM($E3331:$J3331))</f>
        <v/>
      </c>
      <c r="M3331">
        <f>IF($A3331="","",MAX(0,ROUNDUP(DASHBOARD!$F$3-$D3331,0)))</f>
        <v/>
      </c>
      <c r="N3331">
        <f>IF($A3331="","",$K3331+(5002-ROW())/10000)</f>
        <v/>
      </c>
    </row>
    <row r="3332">
      <c r="K3332">
        <f>IF($A3332="","",SUM($E3332:$J3332))</f>
        <v/>
      </c>
      <c r="M3332">
        <f>IF($A3332="","",MAX(0,ROUNDUP(DASHBOARD!$F$3-$D3332,0)))</f>
        <v/>
      </c>
      <c r="N3332">
        <f>IF($A3332="","",$K3332+(5002-ROW())/10000)</f>
        <v/>
      </c>
    </row>
    <row r="3333">
      <c r="K3333">
        <f>IF($A3333="","",SUM($E3333:$J3333))</f>
        <v/>
      </c>
      <c r="M3333">
        <f>IF($A3333="","",MAX(0,ROUNDUP(DASHBOARD!$F$3-$D3333,0)))</f>
        <v/>
      </c>
      <c r="N3333">
        <f>IF($A3333="","",$K3333+(5002-ROW())/10000)</f>
        <v/>
      </c>
    </row>
    <row r="3334">
      <c r="K3334">
        <f>IF($A3334="","",SUM($E3334:$J3334))</f>
        <v/>
      </c>
      <c r="M3334">
        <f>IF($A3334="","",MAX(0,ROUNDUP(DASHBOARD!$F$3-$D3334,0)))</f>
        <v/>
      </c>
      <c r="N3334">
        <f>IF($A3334="","",$K3334+(5002-ROW())/10000)</f>
        <v/>
      </c>
    </row>
    <row r="3335">
      <c r="K3335">
        <f>IF($A3335="","",SUM($E3335:$J3335))</f>
        <v/>
      </c>
      <c r="M3335">
        <f>IF($A3335="","",MAX(0,ROUNDUP(DASHBOARD!$F$3-$D3335,0)))</f>
        <v/>
      </c>
      <c r="N3335">
        <f>IF($A3335="","",$K3335+(5002-ROW())/10000)</f>
        <v/>
      </c>
    </row>
    <row r="3336">
      <c r="K3336">
        <f>IF($A3336="","",SUM($E3336:$J3336))</f>
        <v/>
      </c>
      <c r="M3336">
        <f>IF($A3336="","",MAX(0,ROUNDUP(DASHBOARD!$F$3-$D3336,0)))</f>
        <v/>
      </c>
      <c r="N3336">
        <f>IF($A3336="","",$K3336+(5002-ROW())/10000)</f>
        <v/>
      </c>
    </row>
    <row r="3337">
      <c r="K3337">
        <f>IF($A3337="","",SUM($E3337:$J3337))</f>
        <v/>
      </c>
      <c r="M3337">
        <f>IF($A3337="","",MAX(0,ROUNDUP(DASHBOARD!$F$3-$D3337,0)))</f>
        <v/>
      </c>
      <c r="N3337">
        <f>IF($A3337="","",$K3337+(5002-ROW())/10000)</f>
        <v/>
      </c>
    </row>
    <row r="3338">
      <c r="K3338">
        <f>IF($A3338="","",SUM($E3338:$J3338))</f>
        <v/>
      </c>
      <c r="M3338">
        <f>IF($A3338="","",MAX(0,ROUNDUP(DASHBOARD!$F$3-$D3338,0)))</f>
        <v/>
      </c>
      <c r="N3338">
        <f>IF($A3338="","",$K3338+(5002-ROW())/10000)</f>
        <v/>
      </c>
    </row>
    <row r="3339">
      <c r="K3339">
        <f>IF($A3339="","",SUM($E3339:$J3339))</f>
        <v/>
      </c>
      <c r="M3339">
        <f>IF($A3339="","",MAX(0,ROUNDUP(DASHBOARD!$F$3-$D3339,0)))</f>
        <v/>
      </c>
      <c r="N3339">
        <f>IF($A3339="","",$K3339+(5002-ROW())/10000)</f>
        <v/>
      </c>
    </row>
    <row r="3340">
      <c r="K3340">
        <f>IF($A3340="","",SUM($E3340:$J3340))</f>
        <v/>
      </c>
      <c r="M3340">
        <f>IF($A3340="","",MAX(0,ROUNDUP(DASHBOARD!$F$3-$D3340,0)))</f>
        <v/>
      </c>
      <c r="N3340">
        <f>IF($A3340="","",$K3340+(5002-ROW())/10000)</f>
        <v/>
      </c>
    </row>
    <row r="3341">
      <c r="K3341">
        <f>IF($A3341="","",SUM($E3341:$J3341))</f>
        <v/>
      </c>
      <c r="M3341">
        <f>IF($A3341="","",MAX(0,ROUNDUP(DASHBOARD!$F$3-$D3341,0)))</f>
        <v/>
      </c>
      <c r="N3341">
        <f>IF($A3341="","",$K3341+(5002-ROW())/10000)</f>
        <v/>
      </c>
    </row>
    <row r="3342">
      <c r="K3342">
        <f>IF($A3342="","",SUM($E3342:$J3342))</f>
        <v/>
      </c>
      <c r="M3342">
        <f>IF($A3342="","",MAX(0,ROUNDUP(DASHBOARD!$F$3-$D3342,0)))</f>
        <v/>
      </c>
      <c r="N3342">
        <f>IF($A3342="","",$K3342+(5002-ROW())/10000)</f>
        <v/>
      </c>
    </row>
    <row r="3343">
      <c r="K3343">
        <f>IF($A3343="","",SUM($E3343:$J3343))</f>
        <v/>
      </c>
      <c r="M3343">
        <f>IF($A3343="","",MAX(0,ROUNDUP(DASHBOARD!$F$3-$D3343,0)))</f>
        <v/>
      </c>
      <c r="N3343">
        <f>IF($A3343="","",$K3343+(5002-ROW())/10000)</f>
        <v/>
      </c>
    </row>
    <row r="3344">
      <c r="K3344">
        <f>IF($A3344="","",SUM($E3344:$J3344))</f>
        <v/>
      </c>
      <c r="M3344">
        <f>IF($A3344="","",MAX(0,ROUNDUP(DASHBOARD!$F$3-$D3344,0)))</f>
        <v/>
      </c>
      <c r="N3344">
        <f>IF($A3344="","",$K3344+(5002-ROW())/10000)</f>
        <v/>
      </c>
    </row>
    <row r="3345">
      <c r="K3345">
        <f>IF($A3345="","",SUM($E3345:$J3345))</f>
        <v/>
      </c>
      <c r="M3345">
        <f>IF($A3345="","",MAX(0,ROUNDUP(DASHBOARD!$F$3-$D3345,0)))</f>
        <v/>
      </c>
      <c r="N3345">
        <f>IF($A3345="","",$K3345+(5002-ROW())/10000)</f>
        <v/>
      </c>
    </row>
    <row r="3346">
      <c r="K3346">
        <f>IF($A3346="","",SUM($E3346:$J3346))</f>
        <v/>
      </c>
      <c r="M3346">
        <f>IF($A3346="","",MAX(0,ROUNDUP(DASHBOARD!$F$3-$D3346,0)))</f>
        <v/>
      </c>
      <c r="N3346">
        <f>IF($A3346="","",$K3346+(5002-ROW())/10000)</f>
        <v/>
      </c>
    </row>
    <row r="3347">
      <c r="K3347">
        <f>IF($A3347="","",SUM($E3347:$J3347))</f>
        <v/>
      </c>
      <c r="M3347">
        <f>IF($A3347="","",MAX(0,ROUNDUP(DASHBOARD!$F$3-$D3347,0)))</f>
        <v/>
      </c>
      <c r="N3347">
        <f>IF($A3347="","",$K3347+(5002-ROW())/10000)</f>
        <v/>
      </c>
    </row>
    <row r="3348">
      <c r="K3348">
        <f>IF($A3348="","",SUM($E3348:$J3348))</f>
        <v/>
      </c>
      <c r="M3348">
        <f>IF($A3348="","",MAX(0,ROUNDUP(DASHBOARD!$F$3-$D3348,0)))</f>
        <v/>
      </c>
      <c r="N3348">
        <f>IF($A3348="","",$K3348+(5002-ROW())/10000)</f>
        <v/>
      </c>
    </row>
    <row r="3349">
      <c r="K3349">
        <f>IF($A3349="","",SUM($E3349:$J3349))</f>
        <v/>
      </c>
      <c r="M3349">
        <f>IF($A3349="","",MAX(0,ROUNDUP(DASHBOARD!$F$3-$D3349,0)))</f>
        <v/>
      </c>
      <c r="N3349">
        <f>IF($A3349="","",$K3349+(5002-ROW())/10000)</f>
        <v/>
      </c>
    </row>
    <row r="3350">
      <c r="K3350">
        <f>IF($A3350="","",SUM($E3350:$J3350))</f>
        <v/>
      </c>
      <c r="M3350">
        <f>IF($A3350="","",MAX(0,ROUNDUP(DASHBOARD!$F$3-$D3350,0)))</f>
        <v/>
      </c>
      <c r="N3350">
        <f>IF($A3350="","",$K3350+(5002-ROW())/10000)</f>
        <v/>
      </c>
    </row>
    <row r="3351">
      <c r="K3351">
        <f>IF($A3351="","",SUM($E3351:$J3351))</f>
        <v/>
      </c>
      <c r="M3351">
        <f>IF($A3351="","",MAX(0,ROUNDUP(DASHBOARD!$F$3-$D3351,0)))</f>
        <v/>
      </c>
      <c r="N3351">
        <f>IF($A3351="","",$K3351+(5002-ROW())/10000)</f>
        <v/>
      </c>
    </row>
    <row r="3352">
      <c r="K3352">
        <f>IF($A3352="","",SUM($E3352:$J3352))</f>
        <v/>
      </c>
      <c r="M3352">
        <f>IF($A3352="","",MAX(0,ROUNDUP(DASHBOARD!$F$3-$D3352,0)))</f>
        <v/>
      </c>
      <c r="N3352">
        <f>IF($A3352="","",$K3352+(5002-ROW())/10000)</f>
        <v/>
      </c>
    </row>
    <row r="3353">
      <c r="K3353">
        <f>IF($A3353="","",SUM($E3353:$J3353))</f>
        <v/>
      </c>
      <c r="M3353">
        <f>IF($A3353="","",MAX(0,ROUNDUP(DASHBOARD!$F$3-$D3353,0)))</f>
        <v/>
      </c>
      <c r="N3353">
        <f>IF($A3353="","",$K3353+(5002-ROW())/10000)</f>
        <v/>
      </c>
    </row>
    <row r="3354">
      <c r="K3354">
        <f>IF($A3354="","",SUM($E3354:$J3354))</f>
        <v/>
      </c>
      <c r="M3354">
        <f>IF($A3354="","",MAX(0,ROUNDUP(DASHBOARD!$F$3-$D3354,0)))</f>
        <v/>
      </c>
      <c r="N3354">
        <f>IF($A3354="","",$K3354+(5002-ROW())/10000)</f>
        <v/>
      </c>
    </row>
    <row r="3355">
      <c r="K3355">
        <f>IF($A3355="","",SUM($E3355:$J3355))</f>
        <v/>
      </c>
      <c r="M3355">
        <f>IF($A3355="","",MAX(0,ROUNDUP(DASHBOARD!$F$3-$D3355,0)))</f>
        <v/>
      </c>
      <c r="N3355">
        <f>IF($A3355="","",$K3355+(5002-ROW())/10000)</f>
        <v/>
      </c>
    </row>
    <row r="3356">
      <c r="K3356">
        <f>IF($A3356="","",SUM($E3356:$J3356))</f>
        <v/>
      </c>
      <c r="M3356">
        <f>IF($A3356="","",MAX(0,ROUNDUP(DASHBOARD!$F$3-$D3356,0)))</f>
        <v/>
      </c>
      <c r="N3356">
        <f>IF($A3356="","",$K3356+(5002-ROW())/10000)</f>
        <v/>
      </c>
    </row>
    <row r="3357">
      <c r="K3357">
        <f>IF($A3357="","",SUM($E3357:$J3357))</f>
        <v/>
      </c>
      <c r="M3357">
        <f>IF($A3357="","",MAX(0,ROUNDUP(DASHBOARD!$F$3-$D3357,0)))</f>
        <v/>
      </c>
      <c r="N3357">
        <f>IF($A3357="","",$K3357+(5002-ROW())/10000)</f>
        <v/>
      </c>
    </row>
    <row r="3358">
      <c r="K3358">
        <f>IF($A3358="","",SUM($E3358:$J3358))</f>
        <v/>
      </c>
      <c r="M3358">
        <f>IF($A3358="","",MAX(0,ROUNDUP(DASHBOARD!$F$3-$D3358,0)))</f>
        <v/>
      </c>
      <c r="N3358">
        <f>IF($A3358="","",$K3358+(5002-ROW())/10000)</f>
        <v/>
      </c>
    </row>
    <row r="3359">
      <c r="K3359">
        <f>IF($A3359="","",SUM($E3359:$J3359))</f>
        <v/>
      </c>
      <c r="M3359">
        <f>IF($A3359="","",MAX(0,ROUNDUP(DASHBOARD!$F$3-$D3359,0)))</f>
        <v/>
      </c>
      <c r="N3359">
        <f>IF($A3359="","",$K3359+(5002-ROW())/10000)</f>
        <v/>
      </c>
    </row>
    <row r="3360">
      <c r="K3360">
        <f>IF($A3360="","",SUM($E3360:$J3360))</f>
        <v/>
      </c>
      <c r="M3360">
        <f>IF($A3360="","",MAX(0,ROUNDUP(DASHBOARD!$F$3-$D3360,0)))</f>
        <v/>
      </c>
      <c r="N3360">
        <f>IF($A3360="","",$K3360+(5002-ROW())/10000)</f>
        <v/>
      </c>
    </row>
    <row r="3361">
      <c r="K3361">
        <f>IF($A3361="","",SUM($E3361:$J3361))</f>
        <v/>
      </c>
      <c r="M3361">
        <f>IF($A3361="","",MAX(0,ROUNDUP(DASHBOARD!$F$3-$D3361,0)))</f>
        <v/>
      </c>
      <c r="N3361">
        <f>IF($A3361="","",$K3361+(5002-ROW())/10000)</f>
        <v/>
      </c>
    </row>
    <row r="3362">
      <c r="K3362">
        <f>IF($A3362="","",SUM($E3362:$J3362))</f>
        <v/>
      </c>
      <c r="M3362">
        <f>IF($A3362="","",MAX(0,ROUNDUP(DASHBOARD!$F$3-$D3362,0)))</f>
        <v/>
      </c>
      <c r="N3362">
        <f>IF($A3362="","",$K3362+(5002-ROW())/10000)</f>
        <v/>
      </c>
    </row>
    <row r="3363">
      <c r="K3363">
        <f>IF($A3363="","",SUM($E3363:$J3363))</f>
        <v/>
      </c>
      <c r="M3363">
        <f>IF($A3363="","",MAX(0,ROUNDUP(DASHBOARD!$F$3-$D3363,0)))</f>
        <v/>
      </c>
      <c r="N3363">
        <f>IF($A3363="","",$K3363+(5002-ROW())/10000)</f>
        <v/>
      </c>
    </row>
    <row r="3364">
      <c r="K3364">
        <f>IF($A3364="","",SUM($E3364:$J3364))</f>
        <v/>
      </c>
      <c r="M3364">
        <f>IF($A3364="","",MAX(0,ROUNDUP(DASHBOARD!$F$3-$D3364,0)))</f>
        <v/>
      </c>
      <c r="N3364">
        <f>IF($A3364="","",$K3364+(5002-ROW())/10000)</f>
        <v/>
      </c>
    </row>
    <row r="3365">
      <c r="K3365">
        <f>IF($A3365="","",SUM($E3365:$J3365))</f>
        <v/>
      </c>
      <c r="M3365">
        <f>IF($A3365="","",MAX(0,ROUNDUP(DASHBOARD!$F$3-$D3365,0)))</f>
        <v/>
      </c>
      <c r="N3365">
        <f>IF($A3365="","",$K3365+(5002-ROW())/10000)</f>
        <v/>
      </c>
    </row>
    <row r="3366">
      <c r="K3366">
        <f>IF($A3366="","",SUM($E3366:$J3366))</f>
        <v/>
      </c>
      <c r="M3366">
        <f>IF($A3366="","",MAX(0,ROUNDUP(DASHBOARD!$F$3-$D3366,0)))</f>
        <v/>
      </c>
      <c r="N3366">
        <f>IF($A3366="","",$K3366+(5002-ROW())/10000)</f>
        <v/>
      </c>
    </row>
    <row r="3367">
      <c r="K3367">
        <f>IF($A3367="","",SUM($E3367:$J3367))</f>
        <v/>
      </c>
      <c r="M3367">
        <f>IF($A3367="","",MAX(0,ROUNDUP(DASHBOARD!$F$3-$D3367,0)))</f>
        <v/>
      </c>
      <c r="N3367">
        <f>IF($A3367="","",$K3367+(5002-ROW())/10000)</f>
        <v/>
      </c>
    </row>
    <row r="3368">
      <c r="K3368">
        <f>IF($A3368="","",SUM($E3368:$J3368))</f>
        <v/>
      </c>
      <c r="M3368">
        <f>IF($A3368="","",MAX(0,ROUNDUP(DASHBOARD!$F$3-$D3368,0)))</f>
        <v/>
      </c>
      <c r="N3368">
        <f>IF($A3368="","",$K3368+(5002-ROW())/10000)</f>
        <v/>
      </c>
    </row>
    <row r="3369">
      <c r="K3369">
        <f>IF($A3369="","",SUM($E3369:$J3369))</f>
        <v/>
      </c>
      <c r="M3369">
        <f>IF($A3369="","",MAX(0,ROUNDUP(DASHBOARD!$F$3-$D3369,0)))</f>
        <v/>
      </c>
      <c r="N3369">
        <f>IF($A3369="","",$K3369+(5002-ROW())/10000)</f>
        <v/>
      </c>
    </row>
    <row r="3370">
      <c r="K3370">
        <f>IF($A3370="","",SUM($E3370:$J3370))</f>
        <v/>
      </c>
      <c r="M3370">
        <f>IF($A3370="","",MAX(0,ROUNDUP(DASHBOARD!$F$3-$D3370,0)))</f>
        <v/>
      </c>
      <c r="N3370">
        <f>IF($A3370="","",$K3370+(5002-ROW())/10000)</f>
        <v/>
      </c>
    </row>
    <row r="3371">
      <c r="K3371">
        <f>IF($A3371="","",SUM($E3371:$J3371))</f>
        <v/>
      </c>
      <c r="M3371">
        <f>IF($A3371="","",MAX(0,ROUNDUP(DASHBOARD!$F$3-$D3371,0)))</f>
        <v/>
      </c>
      <c r="N3371">
        <f>IF($A3371="","",$K3371+(5002-ROW())/10000)</f>
        <v/>
      </c>
    </row>
    <row r="3372">
      <c r="K3372">
        <f>IF($A3372="","",SUM($E3372:$J3372))</f>
        <v/>
      </c>
      <c r="M3372">
        <f>IF($A3372="","",MAX(0,ROUNDUP(DASHBOARD!$F$3-$D3372,0)))</f>
        <v/>
      </c>
      <c r="N3372">
        <f>IF($A3372="","",$K3372+(5002-ROW())/10000)</f>
        <v/>
      </c>
    </row>
    <row r="3373">
      <c r="K3373">
        <f>IF($A3373="","",SUM($E3373:$J3373))</f>
        <v/>
      </c>
      <c r="M3373">
        <f>IF($A3373="","",MAX(0,ROUNDUP(DASHBOARD!$F$3-$D3373,0)))</f>
        <v/>
      </c>
      <c r="N3373">
        <f>IF($A3373="","",$K3373+(5002-ROW())/10000)</f>
        <v/>
      </c>
    </row>
    <row r="3374">
      <c r="K3374">
        <f>IF($A3374="","",SUM($E3374:$J3374))</f>
        <v/>
      </c>
      <c r="M3374">
        <f>IF($A3374="","",MAX(0,ROUNDUP(DASHBOARD!$F$3-$D3374,0)))</f>
        <v/>
      </c>
      <c r="N3374">
        <f>IF($A3374="","",$K3374+(5002-ROW())/10000)</f>
        <v/>
      </c>
    </row>
    <row r="3375">
      <c r="K3375">
        <f>IF($A3375="","",SUM($E3375:$J3375))</f>
        <v/>
      </c>
      <c r="M3375">
        <f>IF($A3375="","",MAX(0,ROUNDUP(DASHBOARD!$F$3-$D3375,0)))</f>
        <v/>
      </c>
      <c r="N3375">
        <f>IF($A3375="","",$K3375+(5002-ROW())/10000)</f>
        <v/>
      </c>
    </row>
    <row r="3376">
      <c r="K3376">
        <f>IF($A3376="","",SUM($E3376:$J3376))</f>
        <v/>
      </c>
      <c r="M3376">
        <f>IF($A3376="","",MAX(0,ROUNDUP(DASHBOARD!$F$3-$D3376,0)))</f>
        <v/>
      </c>
      <c r="N3376">
        <f>IF($A3376="","",$K3376+(5002-ROW())/10000)</f>
        <v/>
      </c>
    </row>
    <row r="3377">
      <c r="K3377">
        <f>IF($A3377="","",SUM($E3377:$J3377))</f>
        <v/>
      </c>
      <c r="M3377">
        <f>IF($A3377="","",MAX(0,ROUNDUP(DASHBOARD!$F$3-$D3377,0)))</f>
        <v/>
      </c>
      <c r="N3377">
        <f>IF($A3377="","",$K3377+(5002-ROW())/10000)</f>
        <v/>
      </c>
    </row>
    <row r="3378">
      <c r="K3378">
        <f>IF($A3378="","",SUM($E3378:$J3378))</f>
        <v/>
      </c>
      <c r="M3378">
        <f>IF($A3378="","",MAX(0,ROUNDUP(DASHBOARD!$F$3-$D3378,0)))</f>
        <v/>
      </c>
      <c r="N3378">
        <f>IF($A3378="","",$K3378+(5002-ROW())/10000)</f>
        <v/>
      </c>
    </row>
    <row r="3379">
      <c r="K3379">
        <f>IF($A3379="","",SUM($E3379:$J3379))</f>
        <v/>
      </c>
      <c r="M3379">
        <f>IF($A3379="","",MAX(0,ROUNDUP(DASHBOARD!$F$3-$D3379,0)))</f>
        <v/>
      </c>
      <c r="N3379">
        <f>IF($A3379="","",$K3379+(5002-ROW())/10000)</f>
        <v/>
      </c>
    </row>
    <row r="3380">
      <c r="K3380">
        <f>IF($A3380="","",SUM($E3380:$J3380))</f>
        <v/>
      </c>
      <c r="M3380">
        <f>IF($A3380="","",MAX(0,ROUNDUP(DASHBOARD!$F$3-$D3380,0)))</f>
        <v/>
      </c>
      <c r="N3380">
        <f>IF($A3380="","",$K3380+(5002-ROW())/10000)</f>
        <v/>
      </c>
    </row>
    <row r="3381">
      <c r="K3381">
        <f>IF($A3381="","",SUM($E3381:$J3381))</f>
        <v/>
      </c>
      <c r="M3381">
        <f>IF($A3381="","",MAX(0,ROUNDUP(DASHBOARD!$F$3-$D3381,0)))</f>
        <v/>
      </c>
      <c r="N3381">
        <f>IF($A3381="","",$K3381+(5002-ROW())/10000)</f>
        <v/>
      </c>
    </row>
    <row r="3382">
      <c r="K3382">
        <f>IF($A3382="","",SUM($E3382:$J3382))</f>
        <v/>
      </c>
      <c r="M3382">
        <f>IF($A3382="","",MAX(0,ROUNDUP(DASHBOARD!$F$3-$D3382,0)))</f>
        <v/>
      </c>
      <c r="N3382">
        <f>IF($A3382="","",$K3382+(5002-ROW())/10000)</f>
        <v/>
      </c>
    </row>
    <row r="3383">
      <c r="K3383">
        <f>IF($A3383="","",SUM($E3383:$J3383))</f>
        <v/>
      </c>
      <c r="M3383">
        <f>IF($A3383="","",MAX(0,ROUNDUP(DASHBOARD!$F$3-$D3383,0)))</f>
        <v/>
      </c>
      <c r="N3383">
        <f>IF($A3383="","",$K3383+(5002-ROW())/10000)</f>
        <v/>
      </c>
    </row>
    <row r="3384">
      <c r="K3384">
        <f>IF($A3384="","",SUM($E3384:$J3384))</f>
        <v/>
      </c>
      <c r="M3384">
        <f>IF($A3384="","",MAX(0,ROUNDUP(DASHBOARD!$F$3-$D3384,0)))</f>
        <v/>
      </c>
      <c r="N3384">
        <f>IF($A3384="","",$K3384+(5002-ROW())/10000)</f>
        <v/>
      </c>
    </row>
    <row r="3385">
      <c r="K3385">
        <f>IF($A3385="","",SUM($E3385:$J3385))</f>
        <v/>
      </c>
      <c r="M3385">
        <f>IF($A3385="","",MAX(0,ROUNDUP(DASHBOARD!$F$3-$D3385,0)))</f>
        <v/>
      </c>
      <c r="N3385">
        <f>IF($A3385="","",$K3385+(5002-ROW())/10000)</f>
        <v/>
      </c>
    </row>
    <row r="3386">
      <c r="K3386">
        <f>IF($A3386="","",SUM($E3386:$J3386))</f>
        <v/>
      </c>
      <c r="M3386">
        <f>IF($A3386="","",MAX(0,ROUNDUP(DASHBOARD!$F$3-$D3386,0)))</f>
        <v/>
      </c>
      <c r="N3386">
        <f>IF($A3386="","",$K3386+(5002-ROW())/10000)</f>
        <v/>
      </c>
    </row>
    <row r="3387">
      <c r="K3387">
        <f>IF($A3387="","",SUM($E3387:$J3387))</f>
        <v/>
      </c>
      <c r="M3387">
        <f>IF($A3387="","",MAX(0,ROUNDUP(DASHBOARD!$F$3-$D3387,0)))</f>
        <v/>
      </c>
      <c r="N3387">
        <f>IF($A3387="","",$K3387+(5002-ROW())/10000)</f>
        <v/>
      </c>
    </row>
    <row r="3388">
      <c r="K3388">
        <f>IF($A3388="","",SUM($E3388:$J3388))</f>
        <v/>
      </c>
      <c r="M3388">
        <f>IF($A3388="","",MAX(0,ROUNDUP(DASHBOARD!$F$3-$D3388,0)))</f>
        <v/>
      </c>
      <c r="N3388">
        <f>IF($A3388="","",$K3388+(5002-ROW())/10000)</f>
        <v/>
      </c>
    </row>
    <row r="3389">
      <c r="K3389">
        <f>IF($A3389="","",SUM($E3389:$J3389))</f>
        <v/>
      </c>
      <c r="M3389">
        <f>IF($A3389="","",MAX(0,ROUNDUP(DASHBOARD!$F$3-$D3389,0)))</f>
        <v/>
      </c>
      <c r="N3389">
        <f>IF($A3389="","",$K3389+(5002-ROW())/10000)</f>
        <v/>
      </c>
    </row>
    <row r="3390">
      <c r="K3390">
        <f>IF($A3390="","",SUM($E3390:$J3390))</f>
        <v/>
      </c>
      <c r="M3390">
        <f>IF($A3390="","",MAX(0,ROUNDUP(DASHBOARD!$F$3-$D3390,0)))</f>
        <v/>
      </c>
      <c r="N3390">
        <f>IF($A3390="","",$K3390+(5002-ROW())/10000)</f>
        <v/>
      </c>
    </row>
    <row r="3391">
      <c r="K3391">
        <f>IF($A3391="","",SUM($E3391:$J3391))</f>
        <v/>
      </c>
      <c r="M3391">
        <f>IF($A3391="","",MAX(0,ROUNDUP(DASHBOARD!$F$3-$D3391,0)))</f>
        <v/>
      </c>
      <c r="N3391">
        <f>IF($A3391="","",$K3391+(5002-ROW())/10000)</f>
        <v/>
      </c>
    </row>
    <row r="3392">
      <c r="K3392">
        <f>IF($A3392="","",SUM($E3392:$J3392))</f>
        <v/>
      </c>
      <c r="M3392">
        <f>IF($A3392="","",MAX(0,ROUNDUP(DASHBOARD!$F$3-$D3392,0)))</f>
        <v/>
      </c>
      <c r="N3392">
        <f>IF($A3392="","",$K3392+(5002-ROW())/10000)</f>
        <v/>
      </c>
    </row>
    <row r="3393">
      <c r="K3393">
        <f>IF($A3393="","",SUM($E3393:$J3393))</f>
        <v/>
      </c>
      <c r="M3393">
        <f>IF($A3393="","",MAX(0,ROUNDUP(DASHBOARD!$F$3-$D3393,0)))</f>
        <v/>
      </c>
      <c r="N3393">
        <f>IF($A3393="","",$K3393+(5002-ROW())/10000)</f>
        <v/>
      </c>
    </row>
    <row r="3394">
      <c r="K3394">
        <f>IF($A3394="","",SUM($E3394:$J3394))</f>
        <v/>
      </c>
      <c r="M3394">
        <f>IF($A3394="","",MAX(0,ROUNDUP(DASHBOARD!$F$3-$D3394,0)))</f>
        <v/>
      </c>
      <c r="N3394">
        <f>IF($A3394="","",$K3394+(5002-ROW())/10000)</f>
        <v/>
      </c>
    </row>
    <row r="3395">
      <c r="K3395">
        <f>IF($A3395="","",SUM($E3395:$J3395))</f>
        <v/>
      </c>
      <c r="M3395">
        <f>IF($A3395="","",MAX(0,ROUNDUP(DASHBOARD!$F$3-$D3395,0)))</f>
        <v/>
      </c>
      <c r="N3395">
        <f>IF($A3395="","",$K3395+(5002-ROW())/10000)</f>
        <v/>
      </c>
    </row>
    <row r="3396">
      <c r="K3396">
        <f>IF($A3396="","",SUM($E3396:$J3396))</f>
        <v/>
      </c>
      <c r="M3396">
        <f>IF($A3396="","",MAX(0,ROUNDUP(DASHBOARD!$F$3-$D3396,0)))</f>
        <v/>
      </c>
      <c r="N3396">
        <f>IF($A3396="","",$K3396+(5002-ROW())/10000)</f>
        <v/>
      </c>
    </row>
    <row r="3397">
      <c r="K3397">
        <f>IF($A3397="","",SUM($E3397:$J3397))</f>
        <v/>
      </c>
      <c r="M3397">
        <f>IF($A3397="","",MAX(0,ROUNDUP(DASHBOARD!$F$3-$D3397,0)))</f>
        <v/>
      </c>
      <c r="N3397">
        <f>IF($A3397="","",$K3397+(5002-ROW())/10000)</f>
        <v/>
      </c>
    </row>
    <row r="3398">
      <c r="K3398">
        <f>IF($A3398="","",SUM($E3398:$J3398))</f>
        <v/>
      </c>
      <c r="M3398">
        <f>IF($A3398="","",MAX(0,ROUNDUP(DASHBOARD!$F$3-$D3398,0)))</f>
        <v/>
      </c>
      <c r="N3398">
        <f>IF($A3398="","",$K3398+(5002-ROW())/10000)</f>
        <v/>
      </c>
    </row>
    <row r="3399">
      <c r="K3399">
        <f>IF($A3399="","",SUM($E3399:$J3399))</f>
        <v/>
      </c>
      <c r="M3399">
        <f>IF($A3399="","",MAX(0,ROUNDUP(DASHBOARD!$F$3-$D3399,0)))</f>
        <v/>
      </c>
      <c r="N3399">
        <f>IF($A3399="","",$K3399+(5002-ROW())/10000)</f>
        <v/>
      </c>
    </row>
    <row r="3400">
      <c r="K3400">
        <f>IF($A3400="","",SUM($E3400:$J3400))</f>
        <v/>
      </c>
      <c r="M3400">
        <f>IF($A3400="","",MAX(0,ROUNDUP(DASHBOARD!$F$3-$D3400,0)))</f>
        <v/>
      </c>
      <c r="N3400">
        <f>IF($A3400="","",$K3400+(5002-ROW())/10000)</f>
        <v/>
      </c>
    </row>
    <row r="3401">
      <c r="K3401">
        <f>IF($A3401="","",SUM($E3401:$J3401))</f>
        <v/>
      </c>
      <c r="M3401">
        <f>IF($A3401="","",MAX(0,ROUNDUP(DASHBOARD!$F$3-$D3401,0)))</f>
        <v/>
      </c>
      <c r="N3401">
        <f>IF($A3401="","",$K3401+(5002-ROW())/10000)</f>
        <v/>
      </c>
    </row>
    <row r="3402">
      <c r="K3402">
        <f>IF($A3402="","",SUM($E3402:$J3402))</f>
        <v/>
      </c>
      <c r="M3402">
        <f>IF($A3402="","",MAX(0,ROUNDUP(DASHBOARD!$F$3-$D3402,0)))</f>
        <v/>
      </c>
      <c r="N3402">
        <f>IF($A3402="","",$K3402+(5002-ROW())/10000)</f>
        <v/>
      </c>
    </row>
    <row r="3403">
      <c r="K3403">
        <f>IF($A3403="","",SUM($E3403:$J3403))</f>
        <v/>
      </c>
      <c r="M3403">
        <f>IF($A3403="","",MAX(0,ROUNDUP(DASHBOARD!$F$3-$D3403,0)))</f>
        <v/>
      </c>
      <c r="N3403">
        <f>IF($A3403="","",$K3403+(5002-ROW())/10000)</f>
        <v/>
      </c>
    </row>
    <row r="3404">
      <c r="K3404">
        <f>IF($A3404="","",SUM($E3404:$J3404))</f>
        <v/>
      </c>
      <c r="M3404">
        <f>IF($A3404="","",MAX(0,ROUNDUP(DASHBOARD!$F$3-$D3404,0)))</f>
        <v/>
      </c>
      <c r="N3404">
        <f>IF($A3404="","",$K3404+(5002-ROW())/10000)</f>
        <v/>
      </c>
    </row>
    <row r="3405">
      <c r="K3405">
        <f>IF($A3405="","",SUM($E3405:$J3405))</f>
        <v/>
      </c>
      <c r="M3405">
        <f>IF($A3405="","",MAX(0,ROUNDUP(DASHBOARD!$F$3-$D3405,0)))</f>
        <v/>
      </c>
      <c r="N3405">
        <f>IF($A3405="","",$K3405+(5002-ROW())/10000)</f>
        <v/>
      </c>
    </row>
    <row r="3406">
      <c r="K3406">
        <f>IF($A3406="","",SUM($E3406:$J3406))</f>
        <v/>
      </c>
      <c r="M3406">
        <f>IF($A3406="","",MAX(0,ROUNDUP(DASHBOARD!$F$3-$D3406,0)))</f>
        <v/>
      </c>
      <c r="N3406">
        <f>IF($A3406="","",$K3406+(5002-ROW())/10000)</f>
        <v/>
      </c>
    </row>
    <row r="3407">
      <c r="K3407">
        <f>IF($A3407="","",SUM($E3407:$J3407))</f>
        <v/>
      </c>
      <c r="M3407">
        <f>IF($A3407="","",MAX(0,ROUNDUP(DASHBOARD!$F$3-$D3407,0)))</f>
        <v/>
      </c>
      <c r="N3407">
        <f>IF($A3407="","",$K3407+(5002-ROW())/10000)</f>
        <v/>
      </c>
    </row>
    <row r="3408">
      <c r="K3408">
        <f>IF($A3408="","",SUM($E3408:$J3408))</f>
        <v/>
      </c>
      <c r="M3408">
        <f>IF($A3408="","",MAX(0,ROUNDUP(DASHBOARD!$F$3-$D3408,0)))</f>
        <v/>
      </c>
      <c r="N3408">
        <f>IF($A3408="","",$K3408+(5002-ROW())/10000)</f>
        <v/>
      </c>
    </row>
    <row r="3409">
      <c r="K3409">
        <f>IF($A3409="","",SUM($E3409:$J3409))</f>
        <v/>
      </c>
      <c r="M3409">
        <f>IF($A3409="","",MAX(0,ROUNDUP(DASHBOARD!$F$3-$D3409,0)))</f>
        <v/>
      </c>
      <c r="N3409">
        <f>IF($A3409="","",$K3409+(5002-ROW())/10000)</f>
        <v/>
      </c>
    </row>
    <row r="3410">
      <c r="K3410">
        <f>IF($A3410="","",SUM($E3410:$J3410))</f>
        <v/>
      </c>
      <c r="M3410">
        <f>IF($A3410="","",MAX(0,ROUNDUP(DASHBOARD!$F$3-$D3410,0)))</f>
        <v/>
      </c>
      <c r="N3410">
        <f>IF($A3410="","",$K3410+(5002-ROW())/10000)</f>
        <v/>
      </c>
    </row>
    <row r="3411">
      <c r="K3411">
        <f>IF($A3411="","",SUM($E3411:$J3411))</f>
        <v/>
      </c>
      <c r="M3411">
        <f>IF($A3411="","",MAX(0,ROUNDUP(DASHBOARD!$F$3-$D3411,0)))</f>
        <v/>
      </c>
      <c r="N3411">
        <f>IF($A3411="","",$K3411+(5002-ROW())/10000)</f>
        <v/>
      </c>
    </row>
    <row r="3412">
      <c r="K3412">
        <f>IF($A3412="","",SUM($E3412:$J3412))</f>
        <v/>
      </c>
      <c r="M3412">
        <f>IF($A3412="","",MAX(0,ROUNDUP(DASHBOARD!$F$3-$D3412,0)))</f>
        <v/>
      </c>
      <c r="N3412">
        <f>IF($A3412="","",$K3412+(5002-ROW())/10000)</f>
        <v/>
      </c>
    </row>
    <row r="3413">
      <c r="K3413">
        <f>IF($A3413="","",SUM($E3413:$J3413))</f>
        <v/>
      </c>
      <c r="M3413">
        <f>IF($A3413="","",MAX(0,ROUNDUP(DASHBOARD!$F$3-$D3413,0)))</f>
        <v/>
      </c>
      <c r="N3413">
        <f>IF($A3413="","",$K3413+(5002-ROW())/10000)</f>
        <v/>
      </c>
    </row>
    <row r="3414">
      <c r="K3414">
        <f>IF($A3414="","",SUM($E3414:$J3414))</f>
        <v/>
      </c>
      <c r="M3414">
        <f>IF($A3414="","",MAX(0,ROUNDUP(DASHBOARD!$F$3-$D3414,0)))</f>
        <v/>
      </c>
      <c r="N3414">
        <f>IF($A3414="","",$K3414+(5002-ROW())/10000)</f>
        <v/>
      </c>
    </row>
    <row r="3415">
      <c r="K3415">
        <f>IF($A3415="","",SUM($E3415:$J3415))</f>
        <v/>
      </c>
      <c r="M3415">
        <f>IF($A3415="","",MAX(0,ROUNDUP(DASHBOARD!$F$3-$D3415,0)))</f>
        <v/>
      </c>
      <c r="N3415">
        <f>IF($A3415="","",$K3415+(5002-ROW())/10000)</f>
        <v/>
      </c>
    </row>
    <row r="3416">
      <c r="K3416">
        <f>IF($A3416="","",SUM($E3416:$J3416))</f>
        <v/>
      </c>
      <c r="M3416">
        <f>IF($A3416="","",MAX(0,ROUNDUP(DASHBOARD!$F$3-$D3416,0)))</f>
        <v/>
      </c>
      <c r="N3416">
        <f>IF($A3416="","",$K3416+(5002-ROW())/10000)</f>
        <v/>
      </c>
    </row>
    <row r="3417">
      <c r="K3417">
        <f>IF($A3417="","",SUM($E3417:$J3417))</f>
        <v/>
      </c>
      <c r="M3417">
        <f>IF($A3417="","",MAX(0,ROUNDUP(DASHBOARD!$F$3-$D3417,0)))</f>
        <v/>
      </c>
      <c r="N3417">
        <f>IF($A3417="","",$K3417+(5002-ROW())/10000)</f>
        <v/>
      </c>
    </row>
    <row r="3418">
      <c r="K3418">
        <f>IF($A3418="","",SUM($E3418:$J3418))</f>
        <v/>
      </c>
      <c r="M3418">
        <f>IF($A3418="","",MAX(0,ROUNDUP(DASHBOARD!$F$3-$D3418,0)))</f>
        <v/>
      </c>
      <c r="N3418">
        <f>IF($A3418="","",$K3418+(5002-ROW())/10000)</f>
        <v/>
      </c>
    </row>
    <row r="3419">
      <c r="K3419">
        <f>IF($A3419="","",SUM($E3419:$J3419))</f>
        <v/>
      </c>
      <c r="M3419">
        <f>IF($A3419="","",MAX(0,ROUNDUP(DASHBOARD!$F$3-$D3419,0)))</f>
        <v/>
      </c>
      <c r="N3419">
        <f>IF($A3419="","",$K3419+(5002-ROW())/10000)</f>
        <v/>
      </c>
    </row>
    <row r="3420">
      <c r="K3420">
        <f>IF($A3420="","",SUM($E3420:$J3420))</f>
        <v/>
      </c>
      <c r="M3420">
        <f>IF($A3420="","",MAX(0,ROUNDUP(DASHBOARD!$F$3-$D3420,0)))</f>
        <v/>
      </c>
      <c r="N3420">
        <f>IF($A3420="","",$K3420+(5002-ROW())/10000)</f>
        <v/>
      </c>
    </row>
    <row r="3421">
      <c r="K3421">
        <f>IF($A3421="","",SUM($E3421:$J3421))</f>
        <v/>
      </c>
      <c r="M3421">
        <f>IF($A3421="","",MAX(0,ROUNDUP(DASHBOARD!$F$3-$D3421,0)))</f>
        <v/>
      </c>
      <c r="N3421">
        <f>IF($A3421="","",$K3421+(5002-ROW())/10000)</f>
        <v/>
      </c>
    </row>
    <row r="3422">
      <c r="K3422">
        <f>IF($A3422="","",SUM($E3422:$J3422))</f>
        <v/>
      </c>
      <c r="M3422">
        <f>IF($A3422="","",MAX(0,ROUNDUP(DASHBOARD!$F$3-$D3422,0)))</f>
        <v/>
      </c>
      <c r="N3422">
        <f>IF($A3422="","",$K3422+(5002-ROW())/10000)</f>
        <v/>
      </c>
    </row>
    <row r="3423">
      <c r="K3423">
        <f>IF($A3423="","",SUM($E3423:$J3423))</f>
        <v/>
      </c>
      <c r="M3423">
        <f>IF($A3423="","",MAX(0,ROUNDUP(DASHBOARD!$F$3-$D3423,0)))</f>
        <v/>
      </c>
      <c r="N3423">
        <f>IF($A3423="","",$K3423+(5002-ROW())/10000)</f>
        <v/>
      </c>
    </row>
    <row r="3424">
      <c r="K3424">
        <f>IF($A3424="","",SUM($E3424:$J3424))</f>
        <v/>
      </c>
      <c r="M3424">
        <f>IF($A3424="","",MAX(0,ROUNDUP(DASHBOARD!$F$3-$D3424,0)))</f>
        <v/>
      </c>
      <c r="N3424">
        <f>IF($A3424="","",$K3424+(5002-ROW())/10000)</f>
        <v/>
      </c>
    </row>
    <row r="3425">
      <c r="K3425">
        <f>IF($A3425="","",SUM($E3425:$J3425))</f>
        <v/>
      </c>
      <c r="M3425">
        <f>IF($A3425="","",MAX(0,ROUNDUP(DASHBOARD!$F$3-$D3425,0)))</f>
        <v/>
      </c>
      <c r="N3425">
        <f>IF($A3425="","",$K3425+(5002-ROW())/10000)</f>
        <v/>
      </c>
    </row>
    <row r="3426">
      <c r="K3426">
        <f>IF($A3426="","",SUM($E3426:$J3426))</f>
        <v/>
      </c>
      <c r="M3426">
        <f>IF($A3426="","",MAX(0,ROUNDUP(DASHBOARD!$F$3-$D3426,0)))</f>
        <v/>
      </c>
      <c r="N3426">
        <f>IF($A3426="","",$K3426+(5002-ROW())/10000)</f>
        <v/>
      </c>
    </row>
    <row r="3427">
      <c r="K3427">
        <f>IF($A3427="","",SUM($E3427:$J3427))</f>
        <v/>
      </c>
      <c r="M3427">
        <f>IF($A3427="","",MAX(0,ROUNDUP(DASHBOARD!$F$3-$D3427,0)))</f>
        <v/>
      </c>
      <c r="N3427">
        <f>IF($A3427="","",$K3427+(5002-ROW())/10000)</f>
        <v/>
      </c>
    </row>
    <row r="3428">
      <c r="K3428">
        <f>IF($A3428="","",SUM($E3428:$J3428))</f>
        <v/>
      </c>
      <c r="M3428">
        <f>IF($A3428="","",MAX(0,ROUNDUP(DASHBOARD!$F$3-$D3428,0)))</f>
        <v/>
      </c>
      <c r="N3428">
        <f>IF($A3428="","",$K3428+(5002-ROW())/10000)</f>
        <v/>
      </c>
    </row>
    <row r="3429">
      <c r="K3429">
        <f>IF($A3429="","",SUM($E3429:$J3429))</f>
        <v/>
      </c>
      <c r="M3429">
        <f>IF($A3429="","",MAX(0,ROUNDUP(DASHBOARD!$F$3-$D3429,0)))</f>
        <v/>
      </c>
      <c r="N3429">
        <f>IF($A3429="","",$K3429+(5002-ROW())/10000)</f>
        <v/>
      </c>
    </row>
    <row r="3430">
      <c r="K3430">
        <f>IF($A3430="","",SUM($E3430:$J3430))</f>
        <v/>
      </c>
      <c r="M3430">
        <f>IF($A3430="","",MAX(0,ROUNDUP(DASHBOARD!$F$3-$D3430,0)))</f>
        <v/>
      </c>
      <c r="N3430">
        <f>IF($A3430="","",$K3430+(5002-ROW())/10000)</f>
        <v/>
      </c>
    </row>
    <row r="3431">
      <c r="K3431">
        <f>IF($A3431="","",SUM($E3431:$J3431))</f>
        <v/>
      </c>
      <c r="M3431">
        <f>IF($A3431="","",MAX(0,ROUNDUP(DASHBOARD!$F$3-$D3431,0)))</f>
        <v/>
      </c>
      <c r="N3431">
        <f>IF($A3431="","",$K3431+(5002-ROW())/10000)</f>
        <v/>
      </c>
    </row>
    <row r="3432">
      <c r="K3432">
        <f>IF($A3432="","",SUM($E3432:$J3432))</f>
        <v/>
      </c>
      <c r="M3432">
        <f>IF($A3432="","",MAX(0,ROUNDUP(DASHBOARD!$F$3-$D3432,0)))</f>
        <v/>
      </c>
      <c r="N3432">
        <f>IF($A3432="","",$K3432+(5002-ROW())/10000)</f>
        <v/>
      </c>
    </row>
    <row r="3433">
      <c r="K3433">
        <f>IF($A3433="","",SUM($E3433:$J3433))</f>
        <v/>
      </c>
      <c r="M3433">
        <f>IF($A3433="","",MAX(0,ROUNDUP(DASHBOARD!$F$3-$D3433,0)))</f>
        <v/>
      </c>
      <c r="N3433">
        <f>IF($A3433="","",$K3433+(5002-ROW())/10000)</f>
        <v/>
      </c>
    </row>
    <row r="3434">
      <c r="K3434">
        <f>IF($A3434="","",SUM($E3434:$J3434))</f>
        <v/>
      </c>
      <c r="M3434">
        <f>IF($A3434="","",MAX(0,ROUNDUP(DASHBOARD!$F$3-$D3434,0)))</f>
        <v/>
      </c>
      <c r="N3434">
        <f>IF($A3434="","",$K3434+(5002-ROW())/10000)</f>
        <v/>
      </c>
    </row>
    <row r="3435">
      <c r="K3435">
        <f>IF($A3435="","",SUM($E3435:$J3435))</f>
        <v/>
      </c>
      <c r="M3435">
        <f>IF($A3435="","",MAX(0,ROUNDUP(DASHBOARD!$F$3-$D3435,0)))</f>
        <v/>
      </c>
      <c r="N3435">
        <f>IF($A3435="","",$K3435+(5002-ROW())/10000)</f>
        <v/>
      </c>
    </row>
    <row r="3436">
      <c r="K3436">
        <f>IF($A3436="","",SUM($E3436:$J3436))</f>
        <v/>
      </c>
      <c r="M3436">
        <f>IF($A3436="","",MAX(0,ROUNDUP(DASHBOARD!$F$3-$D3436,0)))</f>
        <v/>
      </c>
      <c r="N3436">
        <f>IF($A3436="","",$K3436+(5002-ROW())/10000)</f>
        <v/>
      </c>
    </row>
    <row r="3437">
      <c r="K3437">
        <f>IF($A3437="","",SUM($E3437:$J3437))</f>
        <v/>
      </c>
      <c r="M3437">
        <f>IF($A3437="","",MAX(0,ROUNDUP(DASHBOARD!$F$3-$D3437,0)))</f>
        <v/>
      </c>
      <c r="N3437">
        <f>IF($A3437="","",$K3437+(5002-ROW())/10000)</f>
        <v/>
      </c>
    </row>
    <row r="3438">
      <c r="K3438">
        <f>IF($A3438="","",SUM($E3438:$J3438))</f>
        <v/>
      </c>
      <c r="M3438">
        <f>IF($A3438="","",MAX(0,ROUNDUP(DASHBOARD!$F$3-$D3438,0)))</f>
        <v/>
      </c>
      <c r="N3438">
        <f>IF($A3438="","",$K3438+(5002-ROW())/10000)</f>
        <v/>
      </c>
    </row>
    <row r="3439">
      <c r="K3439">
        <f>IF($A3439="","",SUM($E3439:$J3439))</f>
        <v/>
      </c>
      <c r="M3439">
        <f>IF($A3439="","",MAX(0,ROUNDUP(DASHBOARD!$F$3-$D3439,0)))</f>
        <v/>
      </c>
      <c r="N3439">
        <f>IF($A3439="","",$K3439+(5002-ROW())/10000)</f>
        <v/>
      </c>
    </row>
    <row r="3440">
      <c r="K3440">
        <f>IF($A3440="","",SUM($E3440:$J3440))</f>
        <v/>
      </c>
      <c r="M3440">
        <f>IF($A3440="","",MAX(0,ROUNDUP(DASHBOARD!$F$3-$D3440,0)))</f>
        <v/>
      </c>
      <c r="N3440">
        <f>IF($A3440="","",$K3440+(5002-ROW())/10000)</f>
        <v/>
      </c>
    </row>
    <row r="3441">
      <c r="K3441">
        <f>IF($A3441="","",SUM($E3441:$J3441))</f>
        <v/>
      </c>
      <c r="M3441">
        <f>IF($A3441="","",MAX(0,ROUNDUP(DASHBOARD!$F$3-$D3441,0)))</f>
        <v/>
      </c>
      <c r="N3441">
        <f>IF($A3441="","",$K3441+(5002-ROW())/10000)</f>
        <v/>
      </c>
    </row>
    <row r="3442">
      <c r="K3442">
        <f>IF($A3442="","",SUM($E3442:$J3442))</f>
        <v/>
      </c>
      <c r="M3442">
        <f>IF($A3442="","",MAX(0,ROUNDUP(DASHBOARD!$F$3-$D3442,0)))</f>
        <v/>
      </c>
      <c r="N3442">
        <f>IF($A3442="","",$K3442+(5002-ROW())/10000)</f>
        <v/>
      </c>
    </row>
    <row r="3443">
      <c r="K3443">
        <f>IF($A3443="","",SUM($E3443:$J3443))</f>
        <v/>
      </c>
      <c r="M3443">
        <f>IF($A3443="","",MAX(0,ROUNDUP(DASHBOARD!$F$3-$D3443,0)))</f>
        <v/>
      </c>
      <c r="N3443">
        <f>IF($A3443="","",$K3443+(5002-ROW())/10000)</f>
        <v/>
      </c>
    </row>
    <row r="3444">
      <c r="K3444">
        <f>IF($A3444="","",SUM($E3444:$J3444))</f>
        <v/>
      </c>
      <c r="M3444">
        <f>IF($A3444="","",MAX(0,ROUNDUP(DASHBOARD!$F$3-$D3444,0)))</f>
        <v/>
      </c>
      <c r="N3444">
        <f>IF($A3444="","",$K3444+(5002-ROW())/10000)</f>
        <v/>
      </c>
    </row>
    <row r="3445">
      <c r="K3445">
        <f>IF($A3445="","",SUM($E3445:$J3445))</f>
        <v/>
      </c>
      <c r="M3445">
        <f>IF($A3445="","",MAX(0,ROUNDUP(DASHBOARD!$F$3-$D3445,0)))</f>
        <v/>
      </c>
      <c r="N3445">
        <f>IF($A3445="","",$K3445+(5002-ROW())/10000)</f>
        <v/>
      </c>
    </row>
    <row r="3446">
      <c r="K3446">
        <f>IF($A3446="","",SUM($E3446:$J3446))</f>
        <v/>
      </c>
      <c r="M3446">
        <f>IF($A3446="","",MAX(0,ROUNDUP(DASHBOARD!$F$3-$D3446,0)))</f>
        <v/>
      </c>
      <c r="N3446">
        <f>IF($A3446="","",$K3446+(5002-ROW())/10000)</f>
        <v/>
      </c>
    </row>
    <row r="3447">
      <c r="K3447">
        <f>IF($A3447="","",SUM($E3447:$J3447))</f>
        <v/>
      </c>
      <c r="M3447">
        <f>IF($A3447="","",MAX(0,ROUNDUP(DASHBOARD!$F$3-$D3447,0)))</f>
        <v/>
      </c>
      <c r="N3447">
        <f>IF($A3447="","",$K3447+(5002-ROW())/10000)</f>
        <v/>
      </c>
    </row>
    <row r="3448">
      <c r="K3448">
        <f>IF($A3448="","",SUM($E3448:$J3448))</f>
        <v/>
      </c>
      <c r="M3448">
        <f>IF($A3448="","",MAX(0,ROUNDUP(DASHBOARD!$F$3-$D3448,0)))</f>
        <v/>
      </c>
      <c r="N3448">
        <f>IF($A3448="","",$K3448+(5002-ROW())/10000)</f>
        <v/>
      </c>
    </row>
    <row r="3449">
      <c r="K3449">
        <f>IF($A3449="","",SUM($E3449:$J3449))</f>
        <v/>
      </c>
      <c r="M3449">
        <f>IF($A3449="","",MAX(0,ROUNDUP(DASHBOARD!$F$3-$D3449,0)))</f>
        <v/>
      </c>
      <c r="N3449">
        <f>IF($A3449="","",$K3449+(5002-ROW())/10000)</f>
        <v/>
      </c>
    </row>
    <row r="3450">
      <c r="K3450">
        <f>IF($A3450="","",SUM($E3450:$J3450))</f>
        <v/>
      </c>
      <c r="M3450">
        <f>IF($A3450="","",MAX(0,ROUNDUP(DASHBOARD!$F$3-$D3450,0)))</f>
        <v/>
      </c>
      <c r="N3450">
        <f>IF($A3450="","",$K3450+(5002-ROW())/10000)</f>
        <v/>
      </c>
    </row>
    <row r="3451">
      <c r="K3451">
        <f>IF($A3451="","",SUM($E3451:$J3451))</f>
        <v/>
      </c>
      <c r="M3451">
        <f>IF($A3451="","",MAX(0,ROUNDUP(DASHBOARD!$F$3-$D3451,0)))</f>
        <v/>
      </c>
      <c r="N3451">
        <f>IF($A3451="","",$K3451+(5002-ROW())/10000)</f>
        <v/>
      </c>
    </row>
    <row r="3452">
      <c r="K3452">
        <f>IF($A3452="","",SUM($E3452:$J3452))</f>
        <v/>
      </c>
      <c r="M3452">
        <f>IF($A3452="","",MAX(0,ROUNDUP(DASHBOARD!$F$3-$D3452,0)))</f>
        <v/>
      </c>
      <c r="N3452">
        <f>IF($A3452="","",$K3452+(5002-ROW())/10000)</f>
        <v/>
      </c>
    </row>
    <row r="3453">
      <c r="K3453">
        <f>IF($A3453="","",SUM($E3453:$J3453))</f>
        <v/>
      </c>
      <c r="M3453">
        <f>IF($A3453="","",MAX(0,ROUNDUP(DASHBOARD!$F$3-$D3453,0)))</f>
        <v/>
      </c>
      <c r="N3453">
        <f>IF($A3453="","",$K3453+(5002-ROW())/10000)</f>
        <v/>
      </c>
    </row>
    <row r="3454">
      <c r="K3454">
        <f>IF($A3454="","",SUM($E3454:$J3454))</f>
        <v/>
      </c>
      <c r="M3454">
        <f>IF($A3454="","",MAX(0,ROUNDUP(DASHBOARD!$F$3-$D3454,0)))</f>
        <v/>
      </c>
      <c r="N3454">
        <f>IF($A3454="","",$K3454+(5002-ROW())/10000)</f>
        <v/>
      </c>
    </row>
    <row r="3455">
      <c r="K3455">
        <f>IF($A3455="","",SUM($E3455:$J3455))</f>
        <v/>
      </c>
      <c r="M3455">
        <f>IF($A3455="","",MAX(0,ROUNDUP(DASHBOARD!$F$3-$D3455,0)))</f>
        <v/>
      </c>
      <c r="N3455">
        <f>IF($A3455="","",$K3455+(5002-ROW())/10000)</f>
        <v/>
      </c>
    </row>
    <row r="3456">
      <c r="K3456">
        <f>IF($A3456="","",SUM($E3456:$J3456))</f>
        <v/>
      </c>
      <c r="M3456">
        <f>IF($A3456="","",MAX(0,ROUNDUP(DASHBOARD!$F$3-$D3456,0)))</f>
        <v/>
      </c>
      <c r="N3456">
        <f>IF($A3456="","",$K3456+(5002-ROW())/10000)</f>
        <v/>
      </c>
    </row>
    <row r="3457">
      <c r="K3457">
        <f>IF($A3457="","",SUM($E3457:$J3457))</f>
        <v/>
      </c>
      <c r="M3457">
        <f>IF($A3457="","",MAX(0,ROUNDUP(DASHBOARD!$F$3-$D3457,0)))</f>
        <v/>
      </c>
      <c r="N3457">
        <f>IF($A3457="","",$K3457+(5002-ROW())/10000)</f>
        <v/>
      </c>
    </row>
    <row r="3458">
      <c r="K3458">
        <f>IF($A3458="","",SUM($E3458:$J3458))</f>
        <v/>
      </c>
      <c r="M3458">
        <f>IF($A3458="","",MAX(0,ROUNDUP(DASHBOARD!$F$3-$D3458,0)))</f>
        <v/>
      </c>
      <c r="N3458">
        <f>IF($A3458="","",$K3458+(5002-ROW())/10000)</f>
        <v/>
      </c>
    </row>
    <row r="3459">
      <c r="K3459">
        <f>IF($A3459="","",SUM($E3459:$J3459))</f>
        <v/>
      </c>
      <c r="M3459">
        <f>IF($A3459="","",MAX(0,ROUNDUP(DASHBOARD!$F$3-$D3459,0)))</f>
        <v/>
      </c>
      <c r="N3459">
        <f>IF($A3459="","",$K3459+(5002-ROW())/10000)</f>
        <v/>
      </c>
    </row>
    <row r="3460">
      <c r="K3460">
        <f>IF($A3460="","",SUM($E3460:$J3460))</f>
        <v/>
      </c>
      <c r="M3460">
        <f>IF($A3460="","",MAX(0,ROUNDUP(DASHBOARD!$F$3-$D3460,0)))</f>
        <v/>
      </c>
      <c r="N3460">
        <f>IF($A3460="","",$K3460+(5002-ROW())/10000)</f>
        <v/>
      </c>
    </row>
    <row r="3461">
      <c r="K3461">
        <f>IF($A3461="","",SUM($E3461:$J3461))</f>
        <v/>
      </c>
      <c r="M3461">
        <f>IF($A3461="","",MAX(0,ROUNDUP(DASHBOARD!$F$3-$D3461,0)))</f>
        <v/>
      </c>
      <c r="N3461">
        <f>IF($A3461="","",$K3461+(5002-ROW())/10000)</f>
        <v/>
      </c>
    </row>
    <row r="3462">
      <c r="K3462">
        <f>IF($A3462="","",SUM($E3462:$J3462))</f>
        <v/>
      </c>
      <c r="M3462">
        <f>IF($A3462="","",MAX(0,ROUNDUP(DASHBOARD!$F$3-$D3462,0)))</f>
        <v/>
      </c>
      <c r="N3462">
        <f>IF($A3462="","",$K3462+(5002-ROW())/10000)</f>
        <v/>
      </c>
    </row>
    <row r="3463">
      <c r="K3463">
        <f>IF($A3463="","",SUM($E3463:$J3463))</f>
        <v/>
      </c>
      <c r="M3463">
        <f>IF($A3463="","",MAX(0,ROUNDUP(DASHBOARD!$F$3-$D3463,0)))</f>
        <v/>
      </c>
      <c r="N3463">
        <f>IF($A3463="","",$K3463+(5002-ROW())/10000)</f>
        <v/>
      </c>
    </row>
    <row r="3464">
      <c r="K3464">
        <f>IF($A3464="","",SUM($E3464:$J3464))</f>
        <v/>
      </c>
      <c r="M3464">
        <f>IF($A3464="","",MAX(0,ROUNDUP(DASHBOARD!$F$3-$D3464,0)))</f>
        <v/>
      </c>
      <c r="N3464">
        <f>IF($A3464="","",$K3464+(5002-ROW())/10000)</f>
        <v/>
      </c>
    </row>
    <row r="3465">
      <c r="K3465">
        <f>IF($A3465="","",SUM($E3465:$J3465))</f>
        <v/>
      </c>
      <c r="M3465">
        <f>IF($A3465="","",MAX(0,ROUNDUP(DASHBOARD!$F$3-$D3465,0)))</f>
        <v/>
      </c>
      <c r="N3465">
        <f>IF($A3465="","",$K3465+(5002-ROW())/10000)</f>
        <v/>
      </c>
    </row>
    <row r="3466">
      <c r="K3466">
        <f>IF($A3466="","",SUM($E3466:$J3466))</f>
        <v/>
      </c>
      <c r="M3466">
        <f>IF($A3466="","",MAX(0,ROUNDUP(DASHBOARD!$F$3-$D3466,0)))</f>
        <v/>
      </c>
      <c r="N3466">
        <f>IF($A3466="","",$K3466+(5002-ROW())/10000)</f>
        <v/>
      </c>
    </row>
    <row r="3467">
      <c r="K3467">
        <f>IF($A3467="","",SUM($E3467:$J3467))</f>
        <v/>
      </c>
      <c r="M3467">
        <f>IF($A3467="","",MAX(0,ROUNDUP(DASHBOARD!$F$3-$D3467,0)))</f>
        <v/>
      </c>
      <c r="N3467">
        <f>IF($A3467="","",$K3467+(5002-ROW())/10000)</f>
        <v/>
      </c>
    </row>
    <row r="3468">
      <c r="K3468">
        <f>IF($A3468="","",SUM($E3468:$J3468))</f>
        <v/>
      </c>
      <c r="M3468">
        <f>IF($A3468="","",MAX(0,ROUNDUP(DASHBOARD!$F$3-$D3468,0)))</f>
        <v/>
      </c>
      <c r="N3468">
        <f>IF($A3468="","",$K3468+(5002-ROW())/10000)</f>
        <v/>
      </c>
    </row>
    <row r="3469">
      <c r="K3469">
        <f>IF($A3469="","",SUM($E3469:$J3469))</f>
        <v/>
      </c>
      <c r="M3469">
        <f>IF($A3469="","",MAX(0,ROUNDUP(DASHBOARD!$F$3-$D3469,0)))</f>
        <v/>
      </c>
      <c r="N3469">
        <f>IF($A3469="","",$K3469+(5002-ROW())/10000)</f>
        <v/>
      </c>
    </row>
    <row r="3470">
      <c r="K3470">
        <f>IF($A3470="","",SUM($E3470:$J3470))</f>
        <v/>
      </c>
      <c r="M3470">
        <f>IF($A3470="","",MAX(0,ROUNDUP(DASHBOARD!$F$3-$D3470,0)))</f>
        <v/>
      </c>
      <c r="N3470">
        <f>IF($A3470="","",$K3470+(5002-ROW())/10000)</f>
        <v/>
      </c>
    </row>
    <row r="3471">
      <c r="K3471">
        <f>IF($A3471="","",SUM($E3471:$J3471))</f>
        <v/>
      </c>
      <c r="M3471">
        <f>IF($A3471="","",MAX(0,ROUNDUP(DASHBOARD!$F$3-$D3471,0)))</f>
        <v/>
      </c>
      <c r="N3471">
        <f>IF($A3471="","",$K3471+(5002-ROW())/10000)</f>
        <v/>
      </c>
    </row>
    <row r="3472">
      <c r="K3472">
        <f>IF($A3472="","",SUM($E3472:$J3472))</f>
        <v/>
      </c>
      <c r="M3472">
        <f>IF($A3472="","",MAX(0,ROUNDUP(DASHBOARD!$F$3-$D3472,0)))</f>
        <v/>
      </c>
      <c r="N3472">
        <f>IF($A3472="","",$K3472+(5002-ROW())/10000)</f>
        <v/>
      </c>
    </row>
    <row r="3473">
      <c r="K3473">
        <f>IF($A3473="","",SUM($E3473:$J3473))</f>
        <v/>
      </c>
      <c r="M3473">
        <f>IF($A3473="","",MAX(0,ROUNDUP(DASHBOARD!$F$3-$D3473,0)))</f>
        <v/>
      </c>
      <c r="N3473">
        <f>IF($A3473="","",$K3473+(5002-ROW())/10000)</f>
        <v/>
      </c>
    </row>
    <row r="3474">
      <c r="K3474">
        <f>IF($A3474="","",SUM($E3474:$J3474))</f>
        <v/>
      </c>
      <c r="M3474">
        <f>IF($A3474="","",MAX(0,ROUNDUP(DASHBOARD!$F$3-$D3474,0)))</f>
        <v/>
      </c>
      <c r="N3474">
        <f>IF($A3474="","",$K3474+(5002-ROW())/10000)</f>
        <v/>
      </c>
    </row>
    <row r="3475">
      <c r="K3475">
        <f>IF($A3475="","",SUM($E3475:$J3475))</f>
        <v/>
      </c>
      <c r="M3475">
        <f>IF($A3475="","",MAX(0,ROUNDUP(DASHBOARD!$F$3-$D3475,0)))</f>
        <v/>
      </c>
      <c r="N3475">
        <f>IF($A3475="","",$K3475+(5002-ROW())/10000)</f>
        <v/>
      </c>
    </row>
    <row r="3476">
      <c r="K3476">
        <f>IF($A3476="","",SUM($E3476:$J3476))</f>
        <v/>
      </c>
      <c r="M3476">
        <f>IF($A3476="","",MAX(0,ROUNDUP(DASHBOARD!$F$3-$D3476,0)))</f>
        <v/>
      </c>
      <c r="N3476">
        <f>IF($A3476="","",$K3476+(5002-ROW())/10000)</f>
        <v/>
      </c>
    </row>
    <row r="3477">
      <c r="K3477">
        <f>IF($A3477="","",SUM($E3477:$J3477))</f>
        <v/>
      </c>
      <c r="M3477">
        <f>IF($A3477="","",MAX(0,ROUNDUP(DASHBOARD!$F$3-$D3477,0)))</f>
        <v/>
      </c>
      <c r="N3477">
        <f>IF($A3477="","",$K3477+(5002-ROW())/10000)</f>
        <v/>
      </c>
    </row>
    <row r="3478">
      <c r="K3478">
        <f>IF($A3478="","",SUM($E3478:$J3478))</f>
        <v/>
      </c>
      <c r="M3478">
        <f>IF($A3478="","",MAX(0,ROUNDUP(DASHBOARD!$F$3-$D3478,0)))</f>
        <v/>
      </c>
      <c r="N3478">
        <f>IF($A3478="","",$K3478+(5002-ROW())/10000)</f>
        <v/>
      </c>
    </row>
    <row r="3479">
      <c r="K3479">
        <f>IF($A3479="","",SUM($E3479:$J3479))</f>
        <v/>
      </c>
      <c r="M3479">
        <f>IF($A3479="","",MAX(0,ROUNDUP(DASHBOARD!$F$3-$D3479,0)))</f>
        <v/>
      </c>
      <c r="N3479">
        <f>IF($A3479="","",$K3479+(5002-ROW())/10000)</f>
        <v/>
      </c>
    </row>
    <row r="3480">
      <c r="K3480">
        <f>IF($A3480="","",SUM($E3480:$J3480))</f>
        <v/>
      </c>
      <c r="M3480">
        <f>IF($A3480="","",MAX(0,ROUNDUP(DASHBOARD!$F$3-$D3480,0)))</f>
        <v/>
      </c>
      <c r="N3480">
        <f>IF($A3480="","",$K3480+(5002-ROW())/10000)</f>
        <v/>
      </c>
    </row>
    <row r="3481">
      <c r="K3481">
        <f>IF($A3481="","",SUM($E3481:$J3481))</f>
        <v/>
      </c>
      <c r="M3481">
        <f>IF($A3481="","",MAX(0,ROUNDUP(DASHBOARD!$F$3-$D3481,0)))</f>
        <v/>
      </c>
      <c r="N3481">
        <f>IF($A3481="","",$K3481+(5002-ROW())/10000)</f>
        <v/>
      </c>
    </row>
    <row r="3482">
      <c r="K3482">
        <f>IF($A3482="","",SUM($E3482:$J3482))</f>
        <v/>
      </c>
      <c r="M3482">
        <f>IF($A3482="","",MAX(0,ROUNDUP(DASHBOARD!$F$3-$D3482,0)))</f>
        <v/>
      </c>
      <c r="N3482">
        <f>IF($A3482="","",$K3482+(5002-ROW())/10000)</f>
        <v/>
      </c>
    </row>
    <row r="3483">
      <c r="K3483">
        <f>IF($A3483="","",SUM($E3483:$J3483))</f>
        <v/>
      </c>
      <c r="M3483">
        <f>IF($A3483="","",MAX(0,ROUNDUP(DASHBOARD!$F$3-$D3483,0)))</f>
        <v/>
      </c>
      <c r="N3483">
        <f>IF($A3483="","",$K3483+(5002-ROW())/10000)</f>
        <v/>
      </c>
    </row>
    <row r="3484">
      <c r="K3484">
        <f>IF($A3484="","",SUM($E3484:$J3484))</f>
        <v/>
      </c>
      <c r="M3484">
        <f>IF($A3484="","",MAX(0,ROUNDUP(DASHBOARD!$F$3-$D3484,0)))</f>
        <v/>
      </c>
      <c r="N3484">
        <f>IF($A3484="","",$K3484+(5002-ROW())/10000)</f>
        <v/>
      </c>
    </row>
    <row r="3485">
      <c r="K3485">
        <f>IF($A3485="","",SUM($E3485:$J3485))</f>
        <v/>
      </c>
      <c r="M3485">
        <f>IF($A3485="","",MAX(0,ROUNDUP(DASHBOARD!$F$3-$D3485,0)))</f>
        <v/>
      </c>
      <c r="N3485">
        <f>IF($A3485="","",$K3485+(5002-ROW())/10000)</f>
        <v/>
      </c>
    </row>
    <row r="3486">
      <c r="K3486">
        <f>IF($A3486="","",SUM($E3486:$J3486))</f>
        <v/>
      </c>
      <c r="M3486">
        <f>IF($A3486="","",MAX(0,ROUNDUP(DASHBOARD!$F$3-$D3486,0)))</f>
        <v/>
      </c>
      <c r="N3486">
        <f>IF($A3486="","",$K3486+(5002-ROW())/10000)</f>
        <v/>
      </c>
    </row>
    <row r="3487">
      <c r="K3487">
        <f>IF($A3487="","",SUM($E3487:$J3487))</f>
        <v/>
      </c>
      <c r="M3487">
        <f>IF($A3487="","",MAX(0,ROUNDUP(DASHBOARD!$F$3-$D3487,0)))</f>
        <v/>
      </c>
      <c r="N3487">
        <f>IF($A3487="","",$K3487+(5002-ROW())/10000)</f>
        <v/>
      </c>
    </row>
    <row r="3488">
      <c r="K3488">
        <f>IF($A3488="","",SUM($E3488:$J3488))</f>
        <v/>
      </c>
      <c r="M3488">
        <f>IF($A3488="","",MAX(0,ROUNDUP(DASHBOARD!$F$3-$D3488,0)))</f>
        <v/>
      </c>
      <c r="N3488">
        <f>IF($A3488="","",$K3488+(5002-ROW())/10000)</f>
        <v/>
      </c>
    </row>
    <row r="3489">
      <c r="K3489">
        <f>IF($A3489="","",SUM($E3489:$J3489))</f>
        <v/>
      </c>
      <c r="M3489">
        <f>IF($A3489="","",MAX(0,ROUNDUP(DASHBOARD!$F$3-$D3489,0)))</f>
        <v/>
      </c>
      <c r="N3489">
        <f>IF($A3489="","",$K3489+(5002-ROW())/10000)</f>
        <v/>
      </c>
    </row>
    <row r="3490">
      <c r="K3490">
        <f>IF($A3490="","",SUM($E3490:$J3490))</f>
        <v/>
      </c>
      <c r="M3490">
        <f>IF($A3490="","",MAX(0,ROUNDUP(DASHBOARD!$F$3-$D3490,0)))</f>
        <v/>
      </c>
      <c r="N3490">
        <f>IF($A3490="","",$K3490+(5002-ROW())/10000)</f>
        <v/>
      </c>
    </row>
    <row r="3491">
      <c r="K3491">
        <f>IF($A3491="","",SUM($E3491:$J3491))</f>
        <v/>
      </c>
      <c r="M3491">
        <f>IF($A3491="","",MAX(0,ROUNDUP(DASHBOARD!$F$3-$D3491,0)))</f>
        <v/>
      </c>
      <c r="N3491">
        <f>IF($A3491="","",$K3491+(5002-ROW())/10000)</f>
        <v/>
      </c>
    </row>
    <row r="3492">
      <c r="K3492">
        <f>IF($A3492="","",SUM($E3492:$J3492))</f>
        <v/>
      </c>
      <c r="M3492">
        <f>IF($A3492="","",MAX(0,ROUNDUP(DASHBOARD!$F$3-$D3492,0)))</f>
        <v/>
      </c>
      <c r="N3492">
        <f>IF($A3492="","",$K3492+(5002-ROW())/10000)</f>
        <v/>
      </c>
    </row>
    <row r="3493">
      <c r="K3493">
        <f>IF($A3493="","",SUM($E3493:$J3493))</f>
        <v/>
      </c>
      <c r="M3493">
        <f>IF($A3493="","",MAX(0,ROUNDUP(DASHBOARD!$F$3-$D3493,0)))</f>
        <v/>
      </c>
      <c r="N3493">
        <f>IF($A3493="","",$K3493+(5002-ROW())/10000)</f>
        <v/>
      </c>
    </row>
    <row r="3494">
      <c r="K3494">
        <f>IF($A3494="","",SUM($E3494:$J3494))</f>
        <v/>
      </c>
      <c r="M3494">
        <f>IF($A3494="","",MAX(0,ROUNDUP(DASHBOARD!$F$3-$D3494,0)))</f>
        <v/>
      </c>
      <c r="N3494">
        <f>IF($A3494="","",$K3494+(5002-ROW())/10000)</f>
        <v/>
      </c>
    </row>
    <row r="3495">
      <c r="K3495">
        <f>IF($A3495="","",SUM($E3495:$J3495))</f>
        <v/>
      </c>
      <c r="M3495">
        <f>IF($A3495="","",MAX(0,ROUNDUP(DASHBOARD!$F$3-$D3495,0)))</f>
        <v/>
      </c>
      <c r="N3495">
        <f>IF($A3495="","",$K3495+(5002-ROW())/10000)</f>
        <v/>
      </c>
    </row>
    <row r="3496">
      <c r="K3496">
        <f>IF($A3496="","",SUM($E3496:$J3496))</f>
        <v/>
      </c>
      <c r="M3496">
        <f>IF($A3496="","",MAX(0,ROUNDUP(DASHBOARD!$F$3-$D3496,0)))</f>
        <v/>
      </c>
      <c r="N3496">
        <f>IF($A3496="","",$K3496+(5002-ROW())/10000)</f>
        <v/>
      </c>
    </row>
    <row r="3497">
      <c r="K3497">
        <f>IF($A3497="","",SUM($E3497:$J3497))</f>
        <v/>
      </c>
      <c r="M3497">
        <f>IF($A3497="","",MAX(0,ROUNDUP(DASHBOARD!$F$3-$D3497,0)))</f>
        <v/>
      </c>
      <c r="N3497">
        <f>IF($A3497="","",$K3497+(5002-ROW())/10000)</f>
        <v/>
      </c>
    </row>
    <row r="3498">
      <c r="K3498">
        <f>IF($A3498="","",SUM($E3498:$J3498))</f>
        <v/>
      </c>
      <c r="M3498">
        <f>IF($A3498="","",MAX(0,ROUNDUP(DASHBOARD!$F$3-$D3498,0)))</f>
        <v/>
      </c>
      <c r="N3498">
        <f>IF($A3498="","",$K3498+(5002-ROW())/10000)</f>
        <v/>
      </c>
    </row>
    <row r="3499">
      <c r="K3499">
        <f>IF($A3499="","",SUM($E3499:$J3499))</f>
        <v/>
      </c>
      <c r="M3499">
        <f>IF($A3499="","",MAX(0,ROUNDUP(DASHBOARD!$F$3-$D3499,0)))</f>
        <v/>
      </c>
      <c r="N3499">
        <f>IF($A3499="","",$K3499+(5002-ROW())/10000)</f>
        <v/>
      </c>
    </row>
    <row r="3500">
      <c r="K3500">
        <f>IF($A3500="","",SUM($E3500:$J3500))</f>
        <v/>
      </c>
      <c r="M3500">
        <f>IF($A3500="","",MAX(0,ROUNDUP(DASHBOARD!$F$3-$D3500,0)))</f>
        <v/>
      </c>
      <c r="N3500">
        <f>IF($A3500="","",$K3500+(5002-ROW())/10000)</f>
        <v/>
      </c>
    </row>
    <row r="3501">
      <c r="K3501">
        <f>IF($A3501="","",SUM($E3501:$J3501))</f>
        <v/>
      </c>
      <c r="M3501">
        <f>IF($A3501="","",MAX(0,ROUNDUP(DASHBOARD!$F$3-$D3501,0)))</f>
        <v/>
      </c>
      <c r="N3501">
        <f>IF($A3501="","",$K3501+(5002-ROW())/10000)</f>
        <v/>
      </c>
    </row>
    <row r="3502">
      <c r="K3502">
        <f>IF($A3502="","",SUM($E3502:$J3502))</f>
        <v/>
      </c>
      <c r="M3502">
        <f>IF($A3502="","",MAX(0,ROUNDUP(DASHBOARD!$F$3-$D3502,0)))</f>
        <v/>
      </c>
      <c r="N3502">
        <f>IF($A3502="","",$K3502+(5002-ROW())/10000)</f>
        <v/>
      </c>
    </row>
    <row r="3503">
      <c r="K3503">
        <f>IF($A3503="","",SUM($E3503:$J3503))</f>
        <v/>
      </c>
      <c r="M3503">
        <f>IF($A3503="","",MAX(0,ROUNDUP(DASHBOARD!$F$3-$D3503,0)))</f>
        <v/>
      </c>
      <c r="N3503">
        <f>IF($A3503="","",$K3503+(5002-ROW())/10000)</f>
        <v/>
      </c>
    </row>
    <row r="3504">
      <c r="K3504">
        <f>IF($A3504="","",SUM($E3504:$J3504))</f>
        <v/>
      </c>
      <c r="M3504">
        <f>IF($A3504="","",MAX(0,ROUNDUP(DASHBOARD!$F$3-$D3504,0)))</f>
        <v/>
      </c>
      <c r="N3504">
        <f>IF($A3504="","",$K3504+(5002-ROW())/10000)</f>
        <v/>
      </c>
    </row>
    <row r="3505">
      <c r="K3505">
        <f>IF($A3505="","",SUM($E3505:$J3505))</f>
        <v/>
      </c>
      <c r="M3505">
        <f>IF($A3505="","",MAX(0,ROUNDUP(DASHBOARD!$F$3-$D3505,0)))</f>
        <v/>
      </c>
      <c r="N3505">
        <f>IF($A3505="","",$K3505+(5002-ROW())/10000)</f>
        <v/>
      </c>
    </row>
    <row r="3506">
      <c r="K3506">
        <f>IF($A3506="","",SUM($E3506:$J3506))</f>
        <v/>
      </c>
      <c r="M3506">
        <f>IF($A3506="","",MAX(0,ROUNDUP(DASHBOARD!$F$3-$D3506,0)))</f>
        <v/>
      </c>
      <c r="N3506">
        <f>IF($A3506="","",$K3506+(5002-ROW())/10000)</f>
        <v/>
      </c>
    </row>
    <row r="3507">
      <c r="K3507">
        <f>IF($A3507="","",SUM($E3507:$J3507))</f>
        <v/>
      </c>
      <c r="M3507">
        <f>IF($A3507="","",MAX(0,ROUNDUP(DASHBOARD!$F$3-$D3507,0)))</f>
        <v/>
      </c>
      <c r="N3507">
        <f>IF($A3507="","",$K3507+(5002-ROW())/10000)</f>
        <v/>
      </c>
    </row>
    <row r="3508">
      <c r="K3508">
        <f>IF($A3508="","",SUM($E3508:$J3508))</f>
        <v/>
      </c>
      <c r="M3508">
        <f>IF($A3508="","",MAX(0,ROUNDUP(DASHBOARD!$F$3-$D3508,0)))</f>
        <v/>
      </c>
      <c r="N3508">
        <f>IF($A3508="","",$K3508+(5002-ROW())/10000)</f>
        <v/>
      </c>
    </row>
    <row r="3509">
      <c r="K3509">
        <f>IF($A3509="","",SUM($E3509:$J3509))</f>
        <v/>
      </c>
      <c r="M3509">
        <f>IF($A3509="","",MAX(0,ROUNDUP(DASHBOARD!$F$3-$D3509,0)))</f>
        <v/>
      </c>
      <c r="N3509">
        <f>IF($A3509="","",$K3509+(5002-ROW())/10000)</f>
        <v/>
      </c>
    </row>
    <row r="3510">
      <c r="K3510">
        <f>IF($A3510="","",SUM($E3510:$J3510))</f>
        <v/>
      </c>
      <c r="M3510">
        <f>IF($A3510="","",MAX(0,ROUNDUP(DASHBOARD!$F$3-$D3510,0)))</f>
        <v/>
      </c>
      <c r="N3510">
        <f>IF($A3510="","",$K3510+(5002-ROW())/10000)</f>
        <v/>
      </c>
    </row>
    <row r="3511">
      <c r="K3511">
        <f>IF($A3511="","",SUM($E3511:$J3511))</f>
        <v/>
      </c>
      <c r="M3511">
        <f>IF($A3511="","",MAX(0,ROUNDUP(DASHBOARD!$F$3-$D3511,0)))</f>
        <v/>
      </c>
      <c r="N3511">
        <f>IF($A3511="","",$K3511+(5002-ROW())/10000)</f>
        <v/>
      </c>
    </row>
    <row r="3512">
      <c r="K3512">
        <f>IF($A3512="","",SUM($E3512:$J3512))</f>
        <v/>
      </c>
      <c r="M3512">
        <f>IF($A3512="","",MAX(0,ROUNDUP(DASHBOARD!$F$3-$D3512,0)))</f>
        <v/>
      </c>
      <c r="N3512">
        <f>IF($A3512="","",$K3512+(5002-ROW())/10000)</f>
        <v/>
      </c>
    </row>
    <row r="3513">
      <c r="K3513">
        <f>IF($A3513="","",SUM($E3513:$J3513))</f>
        <v/>
      </c>
      <c r="M3513">
        <f>IF($A3513="","",MAX(0,ROUNDUP(DASHBOARD!$F$3-$D3513,0)))</f>
        <v/>
      </c>
      <c r="N3513">
        <f>IF($A3513="","",$K3513+(5002-ROW())/10000)</f>
        <v/>
      </c>
    </row>
    <row r="3514">
      <c r="K3514">
        <f>IF($A3514="","",SUM($E3514:$J3514))</f>
        <v/>
      </c>
      <c r="M3514">
        <f>IF($A3514="","",MAX(0,ROUNDUP(DASHBOARD!$F$3-$D3514,0)))</f>
        <v/>
      </c>
      <c r="N3514">
        <f>IF($A3514="","",$K3514+(5002-ROW())/10000)</f>
        <v/>
      </c>
    </row>
    <row r="3515">
      <c r="K3515">
        <f>IF($A3515="","",SUM($E3515:$J3515))</f>
        <v/>
      </c>
      <c r="M3515">
        <f>IF($A3515="","",MAX(0,ROUNDUP(DASHBOARD!$F$3-$D3515,0)))</f>
        <v/>
      </c>
      <c r="N3515">
        <f>IF($A3515="","",$K3515+(5002-ROW())/10000)</f>
        <v/>
      </c>
    </row>
    <row r="3516">
      <c r="K3516">
        <f>IF($A3516="","",SUM($E3516:$J3516))</f>
        <v/>
      </c>
      <c r="M3516">
        <f>IF($A3516="","",MAX(0,ROUNDUP(DASHBOARD!$F$3-$D3516,0)))</f>
        <v/>
      </c>
      <c r="N3516">
        <f>IF($A3516="","",$K3516+(5002-ROW())/10000)</f>
        <v/>
      </c>
    </row>
    <row r="3517">
      <c r="K3517">
        <f>IF($A3517="","",SUM($E3517:$J3517))</f>
        <v/>
      </c>
      <c r="M3517">
        <f>IF($A3517="","",MAX(0,ROUNDUP(DASHBOARD!$F$3-$D3517,0)))</f>
        <v/>
      </c>
      <c r="N3517">
        <f>IF($A3517="","",$K3517+(5002-ROW())/10000)</f>
        <v/>
      </c>
    </row>
    <row r="3518">
      <c r="K3518">
        <f>IF($A3518="","",SUM($E3518:$J3518))</f>
        <v/>
      </c>
      <c r="M3518">
        <f>IF($A3518="","",MAX(0,ROUNDUP(DASHBOARD!$F$3-$D3518,0)))</f>
        <v/>
      </c>
      <c r="N3518">
        <f>IF($A3518="","",$K3518+(5002-ROW())/10000)</f>
        <v/>
      </c>
    </row>
    <row r="3519">
      <c r="K3519">
        <f>IF($A3519="","",SUM($E3519:$J3519))</f>
        <v/>
      </c>
      <c r="M3519">
        <f>IF($A3519="","",MAX(0,ROUNDUP(DASHBOARD!$F$3-$D3519,0)))</f>
        <v/>
      </c>
      <c r="N3519">
        <f>IF($A3519="","",$K3519+(5002-ROW())/10000)</f>
        <v/>
      </c>
    </row>
    <row r="3520">
      <c r="K3520">
        <f>IF($A3520="","",SUM($E3520:$J3520))</f>
        <v/>
      </c>
      <c r="M3520">
        <f>IF($A3520="","",MAX(0,ROUNDUP(DASHBOARD!$F$3-$D3520,0)))</f>
        <v/>
      </c>
      <c r="N3520">
        <f>IF($A3520="","",$K3520+(5002-ROW())/10000)</f>
        <v/>
      </c>
    </row>
    <row r="3521">
      <c r="K3521">
        <f>IF($A3521="","",SUM($E3521:$J3521))</f>
        <v/>
      </c>
      <c r="M3521">
        <f>IF($A3521="","",MAX(0,ROUNDUP(DASHBOARD!$F$3-$D3521,0)))</f>
        <v/>
      </c>
      <c r="N3521">
        <f>IF($A3521="","",$K3521+(5002-ROW())/10000)</f>
        <v/>
      </c>
    </row>
    <row r="3522">
      <c r="K3522">
        <f>IF($A3522="","",SUM($E3522:$J3522))</f>
        <v/>
      </c>
      <c r="M3522">
        <f>IF($A3522="","",MAX(0,ROUNDUP(DASHBOARD!$F$3-$D3522,0)))</f>
        <v/>
      </c>
      <c r="N3522">
        <f>IF($A3522="","",$K3522+(5002-ROW())/10000)</f>
        <v/>
      </c>
    </row>
    <row r="3523">
      <c r="K3523">
        <f>IF($A3523="","",SUM($E3523:$J3523))</f>
        <v/>
      </c>
      <c r="M3523">
        <f>IF($A3523="","",MAX(0,ROUNDUP(DASHBOARD!$F$3-$D3523,0)))</f>
        <v/>
      </c>
      <c r="N3523">
        <f>IF($A3523="","",$K3523+(5002-ROW())/10000)</f>
        <v/>
      </c>
    </row>
    <row r="3524">
      <c r="K3524">
        <f>IF($A3524="","",SUM($E3524:$J3524))</f>
        <v/>
      </c>
      <c r="M3524">
        <f>IF($A3524="","",MAX(0,ROUNDUP(DASHBOARD!$F$3-$D3524,0)))</f>
        <v/>
      </c>
      <c r="N3524">
        <f>IF($A3524="","",$K3524+(5002-ROW())/10000)</f>
        <v/>
      </c>
    </row>
    <row r="3525">
      <c r="K3525">
        <f>IF($A3525="","",SUM($E3525:$J3525))</f>
        <v/>
      </c>
      <c r="M3525">
        <f>IF($A3525="","",MAX(0,ROUNDUP(DASHBOARD!$F$3-$D3525,0)))</f>
        <v/>
      </c>
      <c r="N3525">
        <f>IF($A3525="","",$K3525+(5002-ROW())/10000)</f>
        <v/>
      </c>
    </row>
    <row r="3526">
      <c r="K3526">
        <f>IF($A3526="","",SUM($E3526:$J3526))</f>
        <v/>
      </c>
      <c r="M3526">
        <f>IF($A3526="","",MAX(0,ROUNDUP(DASHBOARD!$F$3-$D3526,0)))</f>
        <v/>
      </c>
      <c r="N3526">
        <f>IF($A3526="","",$K3526+(5002-ROW())/10000)</f>
        <v/>
      </c>
    </row>
    <row r="3527">
      <c r="K3527">
        <f>IF($A3527="","",SUM($E3527:$J3527))</f>
        <v/>
      </c>
      <c r="M3527">
        <f>IF($A3527="","",MAX(0,ROUNDUP(DASHBOARD!$F$3-$D3527,0)))</f>
        <v/>
      </c>
      <c r="N3527">
        <f>IF($A3527="","",$K3527+(5002-ROW())/10000)</f>
        <v/>
      </c>
    </row>
    <row r="3528">
      <c r="K3528">
        <f>IF($A3528="","",SUM($E3528:$J3528))</f>
        <v/>
      </c>
      <c r="M3528">
        <f>IF($A3528="","",MAX(0,ROUNDUP(DASHBOARD!$F$3-$D3528,0)))</f>
        <v/>
      </c>
      <c r="N3528">
        <f>IF($A3528="","",$K3528+(5002-ROW())/10000)</f>
        <v/>
      </c>
    </row>
    <row r="3529">
      <c r="K3529">
        <f>IF($A3529="","",SUM($E3529:$J3529))</f>
        <v/>
      </c>
      <c r="M3529">
        <f>IF($A3529="","",MAX(0,ROUNDUP(DASHBOARD!$F$3-$D3529,0)))</f>
        <v/>
      </c>
      <c r="N3529">
        <f>IF($A3529="","",$K3529+(5002-ROW())/10000)</f>
        <v/>
      </c>
    </row>
    <row r="3530">
      <c r="K3530">
        <f>IF($A3530="","",SUM($E3530:$J3530))</f>
        <v/>
      </c>
      <c r="M3530">
        <f>IF($A3530="","",MAX(0,ROUNDUP(DASHBOARD!$F$3-$D3530,0)))</f>
        <v/>
      </c>
      <c r="N3530">
        <f>IF($A3530="","",$K3530+(5002-ROW())/10000)</f>
        <v/>
      </c>
    </row>
    <row r="3531">
      <c r="K3531">
        <f>IF($A3531="","",SUM($E3531:$J3531))</f>
        <v/>
      </c>
      <c r="M3531">
        <f>IF($A3531="","",MAX(0,ROUNDUP(DASHBOARD!$F$3-$D3531,0)))</f>
        <v/>
      </c>
      <c r="N3531">
        <f>IF($A3531="","",$K3531+(5002-ROW())/10000)</f>
        <v/>
      </c>
    </row>
    <row r="3532">
      <c r="K3532">
        <f>IF($A3532="","",SUM($E3532:$J3532))</f>
        <v/>
      </c>
      <c r="M3532">
        <f>IF($A3532="","",MAX(0,ROUNDUP(DASHBOARD!$F$3-$D3532,0)))</f>
        <v/>
      </c>
      <c r="N3532">
        <f>IF($A3532="","",$K3532+(5002-ROW())/10000)</f>
        <v/>
      </c>
    </row>
    <row r="3533">
      <c r="K3533">
        <f>IF($A3533="","",SUM($E3533:$J3533))</f>
        <v/>
      </c>
      <c r="M3533">
        <f>IF($A3533="","",MAX(0,ROUNDUP(DASHBOARD!$F$3-$D3533,0)))</f>
        <v/>
      </c>
      <c r="N3533">
        <f>IF($A3533="","",$K3533+(5002-ROW())/10000)</f>
        <v/>
      </c>
    </row>
    <row r="3534">
      <c r="K3534">
        <f>IF($A3534="","",SUM($E3534:$J3534))</f>
        <v/>
      </c>
      <c r="M3534">
        <f>IF($A3534="","",MAX(0,ROUNDUP(DASHBOARD!$F$3-$D3534,0)))</f>
        <v/>
      </c>
      <c r="N3534">
        <f>IF($A3534="","",$K3534+(5002-ROW())/10000)</f>
        <v/>
      </c>
    </row>
    <row r="3535">
      <c r="K3535">
        <f>IF($A3535="","",SUM($E3535:$J3535))</f>
        <v/>
      </c>
      <c r="M3535">
        <f>IF($A3535="","",MAX(0,ROUNDUP(DASHBOARD!$F$3-$D3535,0)))</f>
        <v/>
      </c>
      <c r="N3535">
        <f>IF($A3535="","",$K3535+(5002-ROW())/10000)</f>
        <v/>
      </c>
    </row>
    <row r="3536">
      <c r="K3536">
        <f>IF($A3536="","",SUM($E3536:$J3536))</f>
        <v/>
      </c>
      <c r="M3536">
        <f>IF($A3536="","",MAX(0,ROUNDUP(DASHBOARD!$F$3-$D3536,0)))</f>
        <v/>
      </c>
      <c r="N3536">
        <f>IF($A3536="","",$K3536+(5002-ROW())/10000)</f>
        <v/>
      </c>
    </row>
    <row r="3537">
      <c r="K3537">
        <f>IF($A3537="","",SUM($E3537:$J3537))</f>
        <v/>
      </c>
      <c r="M3537">
        <f>IF($A3537="","",MAX(0,ROUNDUP(DASHBOARD!$F$3-$D3537,0)))</f>
        <v/>
      </c>
      <c r="N3537">
        <f>IF($A3537="","",$K3537+(5002-ROW())/10000)</f>
        <v/>
      </c>
    </row>
    <row r="3538">
      <c r="K3538">
        <f>IF($A3538="","",SUM($E3538:$J3538))</f>
        <v/>
      </c>
      <c r="M3538">
        <f>IF($A3538="","",MAX(0,ROUNDUP(DASHBOARD!$F$3-$D3538,0)))</f>
        <v/>
      </c>
      <c r="N3538">
        <f>IF($A3538="","",$K3538+(5002-ROW())/10000)</f>
        <v/>
      </c>
    </row>
    <row r="3539">
      <c r="K3539">
        <f>IF($A3539="","",SUM($E3539:$J3539))</f>
        <v/>
      </c>
      <c r="M3539">
        <f>IF($A3539="","",MAX(0,ROUNDUP(DASHBOARD!$F$3-$D3539,0)))</f>
        <v/>
      </c>
      <c r="N3539">
        <f>IF($A3539="","",$K3539+(5002-ROW())/10000)</f>
        <v/>
      </c>
    </row>
    <row r="3540">
      <c r="K3540">
        <f>IF($A3540="","",SUM($E3540:$J3540))</f>
        <v/>
      </c>
      <c r="M3540">
        <f>IF($A3540="","",MAX(0,ROUNDUP(DASHBOARD!$F$3-$D3540,0)))</f>
        <v/>
      </c>
      <c r="N3540">
        <f>IF($A3540="","",$K3540+(5002-ROW())/10000)</f>
        <v/>
      </c>
    </row>
    <row r="3541">
      <c r="K3541">
        <f>IF($A3541="","",SUM($E3541:$J3541))</f>
        <v/>
      </c>
      <c r="M3541">
        <f>IF($A3541="","",MAX(0,ROUNDUP(DASHBOARD!$F$3-$D3541,0)))</f>
        <v/>
      </c>
      <c r="N3541">
        <f>IF($A3541="","",$K3541+(5002-ROW())/10000)</f>
        <v/>
      </c>
    </row>
    <row r="3542">
      <c r="K3542">
        <f>IF($A3542="","",SUM($E3542:$J3542))</f>
        <v/>
      </c>
      <c r="M3542">
        <f>IF($A3542="","",MAX(0,ROUNDUP(DASHBOARD!$F$3-$D3542,0)))</f>
        <v/>
      </c>
      <c r="N3542">
        <f>IF($A3542="","",$K3542+(5002-ROW())/10000)</f>
        <v/>
      </c>
    </row>
    <row r="3543">
      <c r="K3543">
        <f>IF($A3543="","",SUM($E3543:$J3543))</f>
        <v/>
      </c>
      <c r="M3543">
        <f>IF($A3543="","",MAX(0,ROUNDUP(DASHBOARD!$F$3-$D3543,0)))</f>
        <v/>
      </c>
      <c r="N3543">
        <f>IF($A3543="","",$K3543+(5002-ROW())/10000)</f>
        <v/>
      </c>
    </row>
    <row r="3544">
      <c r="K3544">
        <f>IF($A3544="","",SUM($E3544:$J3544))</f>
        <v/>
      </c>
      <c r="M3544">
        <f>IF($A3544="","",MAX(0,ROUNDUP(DASHBOARD!$F$3-$D3544,0)))</f>
        <v/>
      </c>
      <c r="N3544">
        <f>IF($A3544="","",$K3544+(5002-ROW())/10000)</f>
        <v/>
      </c>
    </row>
    <row r="3545">
      <c r="K3545">
        <f>IF($A3545="","",SUM($E3545:$J3545))</f>
        <v/>
      </c>
      <c r="M3545">
        <f>IF($A3545="","",MAX(0,ROUNDUP(DASHBOARD!$F$3-$D3545,0)))</f>
        <v/>
      </c>
      <c r="N3545">
        <f>IF($A3545="","",$K3545+(5002-ROW())/10000)</f>
        <v/>
      </c>
    </row>
    <row r="3546">
      <c r="K3546">
        <f>IF($A3546="","",SUM($E3546:$J3546))</f>
        <v/>
      </c>
      <c r="M3546">
        <f>IF($A3546="","",MAX(0,ROUNDUP(DASHBOARD!$F$3-$D3546,0)))</f>
        <v/>
      </c>
      <c r="N3546">
        <f>IF($A3546="","",$K3546+(5002-ROW())/10000)</f>
        <v/>
      </c>
    </row>
    <row r="3547">
      <c r="K3547">
        <f>IF($A3547="","",SUM($E3547:$J3547))</f>
        <v/>
      </c>
      <c r="M3547">
        <f>IF($A3547="","",MAX(0,ROUNDUP(DASHBOARD!$F$3-$D3547,0)))</f>
        <v/>
      </c>
      <c r="N3547">
        <f>IF($A3547="","",$K3547+(5002-ROW())/10000)</f>
        <v/>
      </c>
    </row>
    <row r="3548">
      <c r="K3548">
        <f>IF($A3548="","",SUM($E3548:$J3548))</f>
        <v/>
      </c>
      <c r="M3548">
        <f>IF($A3548="","",MAX(0,ROUNDUP(DASHBOARD!$F$3-$D3548,0)))</f>
        <v/>
      </c>
      <c r="N3548">
        <f>IF($A3548="","",$K3548+(5002-ROW())/10000)</f>
        <v/>
      </c>
    </row>
    <row r="3549">
      <c r="K3549">
        <f>IF($A3549="","",SUM($E3549:$J3549))</f>
        <v/>
      </c>
      <c r="M3549">
        <f>IF($A3549="","",MAX(0,ROUNDUP(DASHBOARD!$F$3-$D3549,0)))</f>
        <v/>
      </c>
      <c r="N3549">
        <f>IF($A3549="","",$K3549+(5002-ROW())/10000)</f>
        <v/>
      </c>
    </row>
    <row r="3550">
      <c r="K3550">
        <f>IF($A3550="","",SUM($E3550:$J3550))</f>
        <v/>
      </c>
      <c r="M3550">
        <f>IF($A3550="","",MAX(0,ROUNDUP(DASHBOARD!$F$3-$D3550,0)))</f>
        <v/>
      </c>
      <c r="N3550">
        <f>IF($A3550="","",$K3550+(5002-ROW())/10000)</f>
        <v/>
      </c>
    </row>
    <row r="3551">
      <c r="K3551">
        <f>IF($A3551="","",SUM($E3551:$J3551))</f>
        <v/>
      </c>
      <c r="M3551">
        <f>IF($A3551="","",MAX(0,ROUNDUP(DASHBOARD!$F$3-$D3551,0)))</f>
        <v/>
      </c>
      <c r="N3551">
        <f>IF($A3551="","",$K3551+(5002-ROW())/10000)</f>
        <v/>
      </c>
    </row>
    <row r="3552">
      <c r="K3552">
        <f>IF($A3552="","",SUM($E3552:$J3552))</f>
        <v/>
      </c>
      <c r="M3552">
        <f>IF($A3552="","",MAX(0,ROUNDUP(DASHBOARD!$F$3-$D3552,0)))</f>
        <v/>
      </c>
      <c r="N3552">
        <f>IF($A3552="","",$K3552+(5002-ROW())/10000)</f>
        <v/>
      </c>
    </row>
    <row r="3553">
      <c r="K3553">
        <f>IF($A3553="","",SUM($E3553:$J3553))</f>
        <v/>
      </c>
      <c r="M3553">
        <f>IF($A3553="","",MAX(0,ROUNDUP(DASHBOARD!$F$3-$D3553,0)))</f>
        <v/>
      </c>
      <c r="N3553">
        <f>IF($A3553="","",$K3553+(5002-ROW())/10000)</f>
        <v/>
      </c>
    </row>
    <row r="3554">
      <c r="K3554">
        <f>IF($A3554="","",SUM($E3554:$J3554))</f>
        <v/>
      </c>
      <c r="M3554">
        <f>IF($A3554="","",MAX(0,ROUNDUP(DASHBOARD!$F$3-$D3554,0)))</f>
        <v/>
      </c>
      <c r="N3554">
        <f>IF($A3554="","",$K3554+(5002-ROW())/10000)</f>
        <v/>
      </c>
    </row>
    <row r="3555">
      <c r="K3555">
        <f>IF($A3555="","",SUM($E3555:$J3555))</f>
        <v/>
      </c>
      <c r="M3555">
        <f>IF($A3555="","",MAX(0,ROUNDUP(DASHBOARD!$F$3-$D3555,0)))</f>
        <v/>
      </c>
      <c r="N3555">
        <f>IF($A3555="","",$K3555+(5002-ROW())/10000)</f>
        <v/>
      </c>
    </row>
    <row r="3556">
      <c r="K3556">
        <f>IF($A3556="","",SUM($E3556:$J3556))</f>
        <v/>
      </c>
      <c r="M3556">
        <f>IF($A3556="","",MAX(0,ROUNDUP(DASHBOARD!$F$3-$D3556,0)))</f>
        <v/>
      </c>
      <c r="N3556">
        <f>IF($A3556="","",$K3556+(5002-ROW())/10000)</f>
        <v/>
      </c>
    </row>
    <row r="3557">
      <c r="K3557">
        <f>IF($A3557="","",SUM($E3557:$J3557))</f>
        <v/>
      </c>
      <c r="M3557">
        <f>IF($A3557="","",MAX(0,ROUNDUP(DASHBOARD!$F$3-$D3557,0)))</f>
        <v/>
      </c>
      <c r="N3557">
        <f>IF($A3557="","",$K3557+(5002-ROW())/10000)</f>
        <v/>
      </c>
    </row>
    <row r="3558">
      <c r="K3558">
        <f>IF($A3558="","",SUM($E3558:$J3558))</f>
        <v/>
      </c>
      <c r="M3558">
        <f>IF($A3558="","",MAX(0,ROUNDUP(DASHBOARD!$F$3-$D3558,0)))</f>
        <v/>
      </c>
      <c r="N3558">
        <f>IF($A3558="","",$K3558+(5002-ROW())/10000)</f>
        <v/>
      </c>
    </row>
    <row r="3559">
      <c r="K3559">
        <f>IF($A3559="","",SUM($E3559:$J3559))</f>
        <v/>
      </c>
      <c r="M3559">
        <f>IF($A3559="","",MAX(0,ROUNDUP(DASHBOARD!$F$3-$D3559,0)))</f>
        <v/>
      </c>
      <c r="N3559">
        <f>IF($A3559="","",$K3559+(5002-ROW())/10000)</f>
        <v/>
      </c>
    </row>
    <row r="3560">
      <c r="K3560">
        <f>IF($A3560="","",SUM($E3560:$J3560))</f>
        <v/>
      </c>
      <c r="M3560">
        <f>IF($A3560="","",MAX(0,ROUNDUP(DASHBOARD!$F$3-$D3560,0)))</f>
        <v/>
      </c>
      <c r="N3560">
        <f>IF($A3560="","",$K3560+(5002-ROW())/10000)</f>
        <v/>
      </c>
    </row>
    <row r="3561">
      <c r="K3561">
        <f>IF($A3561="","",SUM($E3561:$J3561))</f>
        <v/>
      </c>
      <c r="M3561">
        <f>IF($A3561="","",MAX(0,ROUNDUP(DASHBOARD!$F$3-$D3561,0)))</f>
        <v/>
      </c>
      <c r="N3561">
        <f>IF($A3561="","",$K3561+(5002-ROW())/10000)</f>
        <v/>
      </c>
    </row>
    <row r="3562">
      <c r="K3562">
        <f>IF($A3562="","",SUM($E3562:$J3562))</f>
        <v/>
      </c>
      <c r="M3562">
        <f>IF($A3562="","",MAX(0,ROUNDUP(DASHBOARD!$F$3-$D3562,0)))</f>
        <v/>
      </c>
      <c r="N3562">
        <f>IF($A3562="","",$K3562+(5002-ROW())/10000)</f>
        <v/>
      </c>
    </row>
    <row r="3563">
      <c r="K3563">
        <f>IF($A3563="","",SUM($E3563:$J3563))</f>
        <v/>
      </c>
      <c r="M3563">
        <f>IF($A3563="","",MAX(0,ROUNDUP(DASHBOARD!$F$3-$D3563,0)))</f>
        <v/>
      </c>
      <c r="N3563">
        <f>IF($A3563="","",$K3563+(5002-ROW())/10000)</f>
        <v/>
      </c>
    </row>
    <row r="3564">
      <c r="K3564">
        <f>IF($A3564="","",SUM($E3564:$J3564))</f>
        <v/>
      </c>
      <c r="M3564">
        <f>IF($A3564="","",MAX(0,ROUNDUP(DASHBOARD!$F$3-$D3564,0)))</f>
        <v/>
      </c>
      <c r="N3564">
        <f>IF($A3564="","",$K3564+(5002-ROW())/10000)</f>
        <v/>
      </c>
    </row>
    <row r="3565">
      <c r="K3565">
        <f>IF($A3565="","",SUM($E3565:$J3565))</f>
        <v/>
      </c>
      <c r="M3565">
        <f>IF($A3565="","",MAX(0,ROUNDUP(DASHBOARD!$F$3-$D3565,0)))</f>
        <v/>
      </c>
      <c r="N3565">
        <f>IF($A3565="","",$K3565+(5002-ROW())/10000)</f>
        <v/>
      </c>
    </row>
    <row r="3566">
      <c r="K3566">
        <f>IF($A3566="","",SUM($E3566:$J3566))</f>
        <v/>
      </c>
      <c r="M3566">
        <f>IF($A3566="","",MAX(0,ROUNDUP(DASHBOARD!$F$3-$D3566,0)))</f>
        <v/>
      </c>
      <c r="N3566">
        <f>IF($A3566="","",$K3566+(5002-ROW())/10000)</f>
        <v/>
      </c>
    </row>
    <row r="3567">
      <c r="K3567">
        <f>IF($A3567="","",SUM($E3567:$J3567))</f>
        <v/>
      </c>
      <c r="M3567">
        <f>IF($A3567="","",MAX(0,ROUNDUP(DASHBOARD!$F$3-$D3567,0)))</f>
        <v/>
      </c>
      <c r="N3567">
        <f>IF($A3567="","",$K3567+(5002-ROW())/10000)</f>
        <v/>
      </c>
    </row>
    <row r="3568">
      <c r="K3568">
        <f>IF($A3568="","",SUM($E3568:$J3568))</f>
        <v/>
      </c>
      <c r="M3568">
        <f>IF($A3568="","",MAX(0,ROUNDUP(DASHBOARD!$F$3-$D3568,0)))</f>
        <v/>
      </c>
      <c r="N3568">
        <f>IF($A3568="","",$K3568+(5002-ROW())/10000)</f>
        <v/>
      </c>
    </row>
    <row r="3569">
      <c r="K3569">
        <f>IF($A3569="","",SUM($E3569:$J3569))</f>
        <v/>
      </c>
      <c r="M3569">
        <f>IF($A3569="","",MAX(0,ROUNDUP(DASHBOARD!$F$3-$D3569,0)))</f>
        <v/>
      </c>
      <c r="N3569">
        <f>IF($A3569="","",$K3569+(5002-ROW())/10000)</f>
        <v/>
      </c>
    </row>
    <row r="3570">
      <c r="K3570">
        <f>IF($A3570="","",SUM($E3570:$J3570))</f>
        <v/>
      </c>
      <c r="M3570">
        <f>IF($A3570="","",MAX(0,ROUNDUP(DASHBOARD!$F$3-$D3570,0)))</f>
        <v/>
      </c>
      <c r="N3570">
        <f>IF($A3570="","",$K3570+(5002-ROW())/10000)</f>
        <v/>
      </c>
    </row>
    <row r="3571">
      <c r="K3571">
        <f>IF($A3571="","",SUM($E3571:$J3571))</f>
        <v/>
      </c>
      <c r="M3571">
        <f>IF($A3571="","",MAX(0,ROUNDUP(DASHBOARD!$F$3-$D3571,0)))</f>
        <v/>
      </c>
      <c r="N3571">
        <f>IF($A3571="","",$K3571+(5002-ROW())/10000)</f>
        <v/>
      </c>
    </row>
    <row r="3572">
      <c r="K3572">
        <f>IF($A3572="","",SUM($E3572:$J3572))</f>
        <v/>
      </c>
      <c r="M3572">
        <f>IF($A3572="","",MAX(0,ROUNDUP(DASHBOARD!$F$3-$D3572,0)))</f>
        <v/>
      </c>
      <c r="N3572">
        <f>IF($A3572="","",$K3572+(5002-ROW())/10000)</f>
        <v/>
      </c>
    </row>
    <row r="3573">
      <c r="K3573">
        <f>IF($A3573="","",SUM($E3573:$J3573))</f>
        <v/>
      </c>
      <c r="M3573">
        <f>IF($A3573="","",MAX(0,ROUNDUP(DASHBOARD!$F$3-$D3573,0)))</f>
        <v/>
      </c>
      <c r="N3573">
        <f>IF($A3573="","",$K3573+(5002-ROW())/10000)</f>
        <v/>
      </c>
    </row>
    <row r="3574">
      <c r="K3574">
        <f>IF($A3574="","",SUM($E3574:$J3574))</f>
        <v/>
      </c>
      <c r="M3574">
        <f>IF($A3574="","",MAX(0,ROUNDUP(DASHBOARD!$F$3-$D3574,0)))</f>
        <v/>
      </c>
      <c r="N3574">
        <f>IF($A3574="","",$K3574+(5002-ROW())/10000)</f>
        <v/>
      </c>
    </row>
    <row r="3575">
      <c r="K3575">
        <f>IF($A3575="","",SUM($E3575:$J3575))</f>
        <v/>
      </c>
      <c r="M3575">
        <f>IF($A3575="","",MAX(0,ROUNDUP(DASHBOARD!$F$3-$D3575,0)))</f>
        <v/>
      </c>
      <c r="N3575">
        <f>IF($A3575="","",$K3575+(5002-ROW())/10000)</f>
        <v/>
      </c>
    </row>
    <row r="3576">
      <c r="K3576">
        <f>IF($A3576="","",SUM($E3576:$J3576))</f>
        <v/>
      </c>
      <c r="M3576">
        <f>IF($A3576="","",MAX(0,ROUNDUP(DASHBOARD!$F$3-$D3576,0)))</f>
        <v/>
      </c>
      <c r="N3576">
        <f>IF($A3576="","",$K3576+(5002-ROW())/10000)</f>
        <v/>
      </c>
    </row>
    <row r="3577">
      <c r="K3577">
        <f>IF($A3577="","",SUM($E3577:$J3577))</f>
        <v/>
      </c>
      <c r="M3577">
        <f>IF($A3577="","",MAX(0,ROUNDUP(DASHBOARD!$F$3-$D3577,0)))</f>
        <v/>
      </c>
      <c r="N3577">
        <f>IF($A3577="","",$K3577+(5002-ROW())/10000)</f>
        <v/>
      </c>
    </row>
    <row r="3578">
      <c r="K3578">
        <f>IF($A3578="","",SUM($E3578:$J3578))</f>
        <v/>
      </c>
      <c r="M3578">
        <f>IF($A3578="","",MAX(0,ROUNDUP(DASHBOARD!$F$3-$D3578,0)))</f>
        <v/>
      </c>
      <c r="N3578">
        <f>IF($A3578="","",$K3578+(5002-ROW())/10000)</f>
        <v/>
      </c>
    </row>
    <row r="3579">
      <c r="K3579">
        <f>IF($A3579="","",SUM($E3579:$J3579))</f>
        <v/>
      </c>
      <c r="M3579">
        <f>IF($A3579="","",MAX(0,ROUNDUP(DASHBOARD!$F$3-$D3579,0)))</f>
        <v/>
      </c>
      <c r="N3579">
        <f>IF($A3579="","",$K3579+(5002-ROW())/10000)</f>
        <v/>
      </c>
    </row>
    <row r="3580">
      <c r="K3580">
        <f>IF($A3580="","",SUM($E3580:$J3580))</f>
        <v/>
      </c>
      <c r="M3580">
        <f>IF($A3580="","",MAX(0,ROUNDUP(DASHBOARD!$F$3-$D3580,0)))</f>
        <v/>
      </c>
      <c r="N3580">
        <f>IF($A3580="","",$K3580+(5002-ROW())/10000)</f>
        <v/>
      </c>
    </row>
    <row r="3581">
      <c r="K3581">
        <f>IF($A3581="","",SUM($E3581:$J3581))</f>
        <v/>
      </c>
      <c r="M3581">
        <f>IF($A3581="","",MAX(0,ROUNDUP(DASHBOARD!$F$3-$D3581,0)))</f>
        <v/>
      </c>
      <c r="N3581">
        <f>IF($A3581="","",$K3581+(5002-ROW())/10000)</f>
        <v/>
      </c>
    </row>
    <row r="3582">
      <c r="K3582">
        <f>IF($A3582="","",SUM($E3582:$J3582))</f>
        <v/>
      </c>
      <c r="M3582">
        <f>IF($A3582="","",MAX(0,ROUNDUP(DASHBOARD!$F$3-$D3582,0)))</f>
        <v/>
      </c>
      <c r="N3582">
        <f>IF($A3582="","",$K3582+(5002-ROW())/10000)</f>
        <v/>
      </c>
    </row>
    <row r="3583">
      <c r="K3583">
        <f>IF($A3583="","",SUM($E3583:$J3583))</f>
        <v/>
      </c>
      <c r="M3583">
        <f>IF($A3583="","",MAX(0,ROUNDUP(DASHBOARD!$F$3-$D3583,0)))</f>
        <v/>
      </c>
      <c r="N3583">
        <f>IF($A3583="","",$K3583+(5002-ROW())/10000)</f>
        <v/>
      </c>
    </row>
    <row r="3584">
      <c r="K3584">
        <f>IF($A3584="","",SUM($E3584:$J3584))</f>
        <v/>
      </c>
      <c r="M3584">
        <f>IF($A3584="","",MAX(0,ROUNDUP(DASHBOARD!$F$3-$D3584,0)))</f>
        <v/>
      </c>
      <c r="N3584">
        <f>IF($A3584="","",$K3584+(5002-ROW())/10000)</f>
        <v/>
      </c>
    </row>
    <row r="3585">
      <c r="K3585">
        <f>IF($A3585="","",SUM($E3585:$J3585))</f>
        <v/>
      </c>
      <c r="M3585">
        <f>IF($A3585="","",MAX(0,ROUNDUP(DASHBOARD!$F$3-$D3585,0)))</f>
        <v/>
      </c>
      <c r="N3585">
        <f>IF($A3585="","",$K3585+(5002-ROW())/10000)</f>
        <v/>
      </c>
    </row>
    <row r="3586">
      <c r="K3586">
        <f>IF($A3586="","",SUM($E3586:$J3586))</f>
        <v/>
      </c>
      <c r="M3586">
        <f>IF($A3586="","",MAX(0,ROUNDUP(DASHBOARD!$F$3-$D3586,0)))</f>
        <v/>
      </c>
      <c r="N3586">
        <f>IF($A3586="","",$K3586+(5002-ROW())/10000)</f>
        <v/>
      </c>
    </row>
    <row r="3587">
      <c r="K3587">
        <f>IF($A3587="","",SUM($E3587:$J3587))</f>
        <v/>
      </c>
      <c r="M3587">
        <f>IF($A3587="","",MAX(0,ROUNDUP(DASHBOARD!$F$3-$D3587,0)))</f>
        <v/>
      </c>
      <c r="N3587">
        <f>IF($A3587="","",$K3587+(5002-ROW())/10000)</f>
        <v/>
      </c>
    </row>
    <row r="3588">
      <c r="K3588">
        <f>IF($A3588="","",SUM($E3588:$J3588))</f>
        <v/>
      </c>
      <c r="M3588">
        <f>IF($A3588="","",MAX(0,ROUNDUP(DASHBOARD!$F$3-$D3588,0)))</f>
        <v/>
      </c>
      <c r="N3588">
        <f>IF($A3588="","",$K3588+(5002-ROW())/10000)</f>
        <v/>
      </c>
    </row>
    <row r="3589">
      <c r="K3589">
        <f>IF($A3589="","",SUM($E3589:$J3589))</f>
        <v/>
      </c>
      <c r="M3589">
        <f>IF($A3589="","",MAX(0,ROUNDUP(DASHBOARD!$F$3-$D3589,0)))</f>
        <v/>
      </c>
      <c r="N3589">
        <f>IF($A3589="","",$K3589+(5002-ROW())/10000)</f>
        <v/>
      </c>
    </row>
    <row r="3590">
      <c r="K3590">
        <f>IF($A3590="","",SUM($E3590:$J3590))</f>
        <v/>
      </c>
      <c r="M3590">
        <f>IF($A3590="","",MAX(0,ROUNDUP(DASHBOARD!$F$3-$D3590,0)))</f>
        <v/>
      </c>
      <c r="N3590">
        <f>IF($A3590="","",$K3590+(5002-ROW())/10000)</f>
        <v/>
      </c>
    </row>
    <row r="3591">
      <c r="K3591">
        <f>IF($A3591="","",SUM($E3591:$J3591))</f>
        <v/>
      </c>
      <c r="M3591">
        <f>IF($A3591="","",MAX(0,ROUNDUP(DASHBOARD!$F$3-$D3591,0)))</f>
        <v/>
      </c>
      <c r="N3591">
        <f>IF($A3591="","",$K3591+(5002-ROW())/10000)</f>
        <v/>
      </c>
    </row>
    <row r="3592">
      <c r="K3592">
        <f>IF($A3592="","",SUM($E3592:$J3592))</f>
        <v/>
      </c>
      <c r="M3592">
        <f>IF($A3592="","",MAX(0,ROUNDUP(DASHBOARD!$F$3-$D3592,0)))</f>
        <v/>
      </c>
      <c r="N3592">
        <f>IF($A3592="","",$K3592+(5002-ROW())/10000)</f>
        <v/>
      </c>
    </row>
    <row r="3593">
      <c r="K3593">
        <f>IF($A3593="","",SUM($E3593:$J3593))</f>
        <v/>
      </c>
      <c r="M3593">
        <f>IF($A3593="","",MAX(0,ROUNDUP(DASHBOARD!$F$3-$D3593,0)))</f>
        <v/>
      </c>
      <c r="N3593">
        <f>IF($A3593="","",$K3593+(5002-ROW())/10000)</f>
        <v/>
      </c>
    </row>
    <row r="3594">
      <c r="K3594">
        <f>IF($A3594="","",SUM($E3594:$J3594))</f>
        <v/>
      </c>
      <c r="M3594">
        <f>IF($A3594="","",MAX(0,ROUNDUP(DASHBOARD!$F$3-$D3594,0)))</f>
        <v/>
      </c>
      <c r="N3594">
        <f>IF($A3594="","",$K3594+(5002-ROW())/10000)</f>
        <v/>
      </c>
    </row>
    <row r="3595">
      <c r="K3595">
        <f>IF($A3595="","",SUM($E3595:$J3595))</f>
        <v/>
      </c>
      <c r="M3595">
        <f>IF($A3595="","",MAX(0,ROUNDUP(DASHBOARD!$F$3-$D3595,0)))</f>
        <v/>
      </c>
      <c r="N3595">
        <f>IF($A3595="","",$K3595+(5002-ROW())/10000)</f>
        <v/>
      </c>
    </row>
    <row r="3596">
      <c r="K3596">
        <f>IF($A3596="","",SUM($E3596:$J3596))</f>
        <v/>
      </c>
      <c r="M3596">
        <f>IF($A3596="","",MAX(0,ROUNDUP(DASHBOARD!$F$3-$D3596,0)))</f>
        <v/>
      </c>
      <c r="N3596">
        <f>IF($A3596="","",$K3596+(5002-ROW())/10000)</f>
        <v/>
      </c>
    </row>
    <row r="3597">
      <c r="K3597">
        <f>IF($A3597="","",SUM($E3597:$J3597))</f>
        <v/>
      </c>
      <c r="M3597">
        <f>IF($A3597="","",MAX(0,ROUNDUP(DASHBOARD!$F$3-$D3597,0)))</f>
        <v/>
      </c>
      <c r="N3597">
        <f>IF($A3597="","",$K3597+(5002-ROW())/10000)</f>
        <v/>
      </c>
    </row>
    <row r="3598">
      <c r="K3598">
        <f>IF($A3598="","",SUM($E3598:$J3598))</f>
        <v/>
      </c>
      <c r="M3598">
        <f>IF($A3598="","",MAX(0,ROUNDUP(DASHBOARD!$F$3-$D3598,0)))</f>
        <v/>
      </c>
      <c r="N3598">
        <f>IF($A3598="","",$K3598+(5002-ROW())/10000)</f>
        <v/>
      </c>
    </row>
    <row r="3599">
      <c r="K3599">
        <f>IF($A3599="","",SUM($E3599:$J3599))</f>
        <v/>
      </c>
      <c r="M3599">
        <f>IF($A3599="","",MAX(0,ROUNDUP(DASHBOARD!$F$3-$D3599,0)))</f>
        <v/>
      </c>
      <c r="N3599">
        <f>IF($A3599="","",$K3599+(5002-ROW())/10000)</f>
        <v/>
      </c>
    </row>
    <row r="3600">
      <c r="K3600">
        <f>IF($A3600="","",SUM($E3600:$J3600))</f>
        <v/>
      </c>
      <c r="M3600">
        <f>IF($A3600="","",MAX(0,ROUNDUP(DASHBOARD!$F$3-$D3600,0)))</f>
        <v/>
      </c>
      <c r="N3600">
        <f>IF($A3600="","",$K3600+(5002-ROW())/10000)</f>
        <v/>
      </c>
    </row>
    <row r="3601">
      <c r="K3601">
        <f>IF($A3601="","",SUM($E3601:$J3601))</f>
        <v/>
      </c>
      <c r="M3601">
        <f>IF($A3601="","",MAX(0,ROUNDUP(DASHBOARD!$F$3-$D3601,0)))</f>
        <v/>
      </c>
      <c r="N3601">
        <f>IF($A3601="","",$K3601+(5002-ROW())/10000)</f>
        <v/>
      </c>
    </row>
    <row r="3602">
      <c r="K3602">
        <f>IF($A3602="","",SUM($E3602:$J3602))</f>
        <v/>
      </c>
      <c r="M3602">
        <f>IF($A3602="","",MAX(0,ROUNDUP(DASHBOARD!$F$3-$D3602,0)))</f>
        <v/>
      </c>
      <c r="N3602">
        <f>IF($A3602="","",$K3602+(5002-ROW())/10000)</f>
        <v/>
      </c>
    </row>
    <row r="3603">
      <c r="K3603">
        <f>IF($A3603="","",SUM($E3603:$J3603))</f>
        <v/>
      </c>
      <c r="M3603">
        <f>IF($A3603="","",MAX(0,ROUNDUP(DASHBOARD!$F$3-$D3603,0)))</f>
        <v/>
      </c>
      <c r="N3603">
        <f>IF($A3603="","",$K3603+(5002-ROW())/10000)</f>
        <v/>
      </c>
    </row>
    <row r="3604">
      <c r="K3604">
        <f>IF($A3604="","",SUM($E3604:$J3604))</f>
        <v/>
      </c>
      <c r="M3604">
        <f>IF($A3604="","",MAX(0,ROUNDUP(DASHBOARD!$F$3-$D3604,0)))</f>
        <v/>
      </c>
      <c r="N3604">
        <f>IF($A3604="","",$K3604+(5002-ROW())/10000)</f>
        <v/>
      </c>
    </row>
    <row r="3605">
      <c r="K3605">
        <f>IF($A3605="","",SUM($E3605:$J3605))</f>
        <v/>
      </c>
      <c r="M3605">
        <f>IF($A3605="","",MAX(0,ROUNDUP(DASHBOARD!$F$3-$D3605,0)))</f>
        <v/>
      </c>
      <c r="N3605">
        <f>IF($A3605="","",$K3605+(5002-ROW())/10000)</f>
        <v/>
      </c>
    </row>
    <row r="3606">
      <c r="K3606">
        <f>IF($A3606="","",SUM($E3606:$J3606))</f>
        <v/>
      </c>
      <c r="M3606">
        <f>IF($A3606="","",MAX(0,ROUNDUP(DASHBOARD!$F$3-$D3606,0)))</f>
        <v/>
      </c>
      <c r="N3606">
        <f>IF($A3606="","",$K3606+(5002-ROW())/10000)</f>
        <v/>
      </c>
    </row>
    <row r="3607">
      <c r="K3607">
        <f>IF($A3607="","",SUM($E3607:$J3607))</f>
        <v/>
      </c>
      <c r="M3607">
        <f>IF($A3607="","",MAX(0,ROUNDUP(DASHBOARD!$F$3-$D3607,0)))</f>
        <v/>
      </c>
      <c r="N3607">
        <f>IF($A3607="","",$K3607+(5002-ROW())/10000)</f>
        <v/>
      </c>
    </row>
    <row r="3608">
      <c r="K3608">
        <f>IF($A3608="","",SUM($E3608:$J3608))</f>
        <v/>
      </c>
      <c r="M3608">
        <f>IF($A3608="","",MAX(0,ROUNDUP(DASHBOARD!$F$3-$D3608,0)))</f>
        <v/>
      </c>
      <c r="N3608">
        <f>IF($A3608="","",$K3608+(5002-ROW())/10000)</f>
        <v/>
      </c>
    </row>
    <row r="3609">
      <c r="K3609">
        <f>IF($A3609="","",SUM($E3609:$J3609))</f>
        <v/>
      </c>
      <c r="M3609">
        <f>IF($A3609="","",MAX(0,ROUNDUP(DASHBOARD!$F$3-$D3609,0)))</f>
        <v/>
      </c>
      <c r="N3609">
        <f>IF($A3609="","",$K3609+(5002-ROW())/10000)</f>
        <v/>
      </c>
    </row>
    <row r="3610">
      <c r="K3610">
        <f>IF($A3610="","",SUM($E3610:$J3610))</f>
        <v/>
      </c>
      <c r="M3610">
        <f>IF($A3610="","",MAX(0,ROUNDUP(DASHBOARD!$F$3-$D3610,0)))</f>
        <v/>
      </c>
      <c r="N3610">
        <f>IF($A3610="","",$K3610+(5002-ROW())/10000)</f>
        <v/>
      </c>
    </row>
    <row r="3611">
      <c r="K3611">
        <f>IF($A3611="","",SUM($E3611:$J3611))</f>
        <v/>
      </c>
      <c r="M3611">
        <f>IF($A3611="","",MAX(0,ROUNDUP(DASHBOARD!$F$3-$D3611,0)))</f>
        <v/>
      </c>
      <c r="N3611">
        <f>IF($A3611="","",$K3611+(5002-ROW())/10000)</f>
        <v/>
      </c>
    </row>
    <row r="3612">
      <c r="K3612">
        <f>IF($A3612="","",SUM($E3612:$J3612))</f>
        <v/>
      </c>
      <c r="M3612">
        <f>IF($A3612="","",MAX(0,ROUNDUP(DASHBOARD!$F$3-$D3612,0)))</f>
        <v/>
      </c>
      <c r="N3612">
        <f>IF($A3612="","",$K3612+(5002-ROW())/10000)</f>
        <v/>
      </c>
    </row>
    <row r="3613">
      <c r="K3613">
        <f>IF($A3613="","",SUM($E3613:$J3613))</f>
        <v/>
      </c>
      <c r="M3613">
        <f>IF($A3613="","",MAX(0,ROUNDUP(DASHBOARD!$F$3-$D3613,0)))</f>
        <v/>
      </c>
      <c r="N3613">
        <f>IF($A3613="","",$K3613+(5002-ROW())/10000)</f>
        <v/>
      </c>
    </row>
    <row r="3614">
      <c r="K3614">
        <f>IF($A3614="","",SUM($E3614:$J3614))</f>
        <v/>
      </c>
      <c r="M3614">
        <f>IF($A3614="","",MAX(0,ROUNDUP(DASHBOARD!$F$3-$D3614,0)))</f>
        <v/>
      </c>
      <c r="N3614">
        <f>IF($A3614="","",$K3614+(5002-ROW())/10000)</f>
        <v/>
      </c>
    </row>
    <row r="3615">
      <c r="K3615">
        <f>IF($A3615="","",SUM($E3615:$J3615))</f>
        <v/>
      </c>
      <c r="M3615">
        <f>IF($A3615="","",MAX(0,ROUNDUP(DASHBOARD!$F$3-$D3615,0)))</f>
        <v/>
      </c>
      <c r="N3615">
        <f>IF($A3615="","",$K3615+(5002-ROW())/10000)</f>
        <v/>
      </c>
    </row>
    <row r="3616">
      <c r="K3616">
        <f>IF($A3616="","",SUM($E3616:$J3616))</f>
        <v/>
      </c>
      <c r="M3616">
        <f>IF($A3616="","",MAX(0,ROUNDUP(DASHBOARD!$F$3-$D3616,0)))</f>
        <v/>
      </c>
      <c r="N3616">
        <f>IF($A3616="","",$K3616+(5002-ROW())/10000)</f>
        <v/>
      </c>
    </row>
    <row r="3617">
      <c r="K3617">
        <f>IF($A3617="","",SUM($E3617:$J3617))</f>
        <v/>
      </c>
      <c r="M3617">
        <f>IF($A3617="","",MAX(0,ROUNDUP(DASHBOARD!$F$3-$D3617,0)))</f>
        <v/>
      </c>
      <c r="N3617">
        <f>IF($A3617="","",$K3617+(5002-ROW())/10000)</f>
        <v/>
      </c>
    </row>
    <row r="3618">
      <c r="K3618">
        <f>IF($A3618="","",SUM($E3618:$J3618))</f>
        <v/>
      </c>
      <c r="M3618">
        <f>IF($A3618="","",MAX(0,ROUNDUP(DASHBOARD!$F$3-$D3618,0)))</f>
        <v/>
      </c>
      <c r="N3618">
        <f>IF($A3618="","",$K3618+(5002-ROW())/10000)</f>
        <v/>
      </c>
    </row>
    <row r="3619">
      <c r="K3619">
        <f>IF($A3619="","",SUM($E3619:$J3619))</f>
        <v/>
      </c>
      <c r="M3619">
        <f>IF($A3619="","",MAX(0,ROUNDUP(DASHBOARD!$F$3-$D3619,0)))</f>
        <v/>
      </c>
      <c r="N3619">
        <f>IF($A3619="","",$K3619+(5002-ROW())/10000)</f>
        <v/>
      </c>
    </row>
    <row r="3620">
      <c r="K3620">
        <f>IF($A3620="","",SUM($E3620:$J3620))</f>
        <v/>
      </c>
      <c r="M3620">
        <f>IF($A3620="","",MAX(0,ROUNDUP(DASHBOARD!$F$3-$D3620,0)))</f>
        <v/>
      </c>
      <c r="N3620">
        <f>IF($A3620="","",$K3620+(5002-ROW())/10000)</f>
        <v/>
      </c>
    </row>
    <row r="3621">
      <c r="K3621">
        <f>IF($A3621="","",SUM($E3621:$J3621))</f>
        <v/>
      </c>
      <c r="M3621">
        <f>IF($A3621="","",MAX(0,ROUNDUP(DASHBOARD!$F$3-$D3621,0)))</f>
        <v/>
      </c>
      <c r="N3621">
        <f>IF($A3621="","",$K3621+(5002-ROW())/10000)</f>
        <v/>
      </c>
    </row>
    <row r="3622">
      <c r="K3622">
        <f>IF($A3622="","",SUM($E3622:$J3622))</f>
        <v/>
      </c>
      <c r="M3622">
        <f>IF($A3622="","",MAX(0,ROUNDUP(DASHBOARD!$F$3-$D3622,0)))</f>
        <v/>
      </c>
      <c r="N3622">
        <f>IF($A3622="","",$K3622+(5002-ROW())/10000)</f>
        <v/>
      </c>
    </row>
    <row r="3623">
      <c r="K3623">
        <f>IF($A3623="","",SUM($E3623:$J3623))</f>
        <v/>
      </c>
      <c r="M3623">
        <f>IF($A3623="","",MAX(0,ROUNDUP(DASHBOARD!$F$3-$D3623,0)))</f>
        <v/>
      </c>
      <c r="N3623">
        <f>IF($A3623="","",$K3623+(5002-ROW())/10000)</f>
        <v/>
      </c>
    </row>
    <row r="3624">
      <c r="K3624">
        <f>IF($A3624="","",SUM($E3624:$J3624))</f>
        <v/>
      </c>
      <c r="M3624">
        <f>IF($A3624="","",MAX(0,ROUNDUP(DASHBOARD!$F$3-$D3624,0)))</f>
        <v/>
      </c>
      <c r="N3624">
        <f>IF($A3624="","",$K3624+(5002-ROW())/10000)</f>
        <v/>
      </c>
    </row>
    <row r="3625">
      <c r="K3625">
        <f>IF($A3625="","",SUM($E3625:$J3625))</f>
        <v/>
      </c>
      <c r="M3625">
        <f>IF($A3625="","",MAX(0,ROUNDUP(DASHBOARD!$F$3-$D3625,0)))</f>
        <v/>
      </c>
      <c r="N3625">
        <f>IF($A3625="","",$K3625+(5002-ROW())/10000)</f>
        <v/>
      </c>
    </row>
    <row r="3626">
      <c r="K3626">
        <f>IF($A3626="","",SUM($E3626:$J3626))</f>
        <v/>
      </c>
      <c r="M3626">
        <f>IF($A3626="","",MAX(0,ROUNDUP(DASHBOARD!$F$3-$D3626,0)))</f>
        <v/>
      </c>
      <c r="N3626">
        <f>IF($A3626="","",$K3626+(5002-ROW())/10000)</f>
        <v/>
      </c>
    </row>
    <row r="3627">
      <c r="K3627">
        <f>IF($A3627="","",SUM($E3627:$J3627))</f>
        <v/>
      </c>
      <c r="M3627">
        <f>IF($A3627="","",MAX(0,ROUNDUP(DASHBOARD!$F$3-$D3627,0)))</f>
        <v/>
      </c>
      <c r="N3627">
        <f>IF($A3627="","",$K3627+(5002-ROW())/10000)</f>
        <v/>
      </c>
    </row>
    <row r="3628">
      <c r="K3628">
        <f>IF($A3628="","",SUM($E3628:$J3628))</f>
        <v/>
      </c>
      <c r="M3628">
        <f>IF($A3628="","",MAX(0,ROUNDUP(DASHBOARD!$F$3-$D3628,0)))</f>
        <v/>
      </c>
      <c r="N3628">
        <f>IF($A3628="","",$K3628+(5002-ROW())/10000)</f>
        <v/>
      </c>
    </row>
    <row r="3629">
      <c r="K3629">
        <f>IF($A3629="","",SUM($E3629:$J3629))</f>
        <v/>
      </c>
      <c r="M3629">
        <f>IF($A3629="","",MAX(0,ROUNDUP(DASHBOARD!$F$3-$D3629,0)))</f>
        <v/>
      </c>
      <c r="N3629">
        <f>IF($A3629="","",$K3629+(5002-ROW())/10000)</f>
        <v/>
      </c>
    </row>
    <row r="3630">
      <c r="K3630">
        <f>IF($A3630="","",SUM($E3630:$J3630))</f>
        <v/>
      </c>
      <c r="M3630">
        <f>IF($A3630="","",MAX(0,ROUNDUP(DASHBOARD!$F$3-$D3630,0)))</f>
        <v/>
      </c>
      <c r="N3630">
        <f>IF($A3630="","",$K3630+(5002-ROW())/10000)</f>
        <v/>
      </c>
    </row>
    <row r="3631">
      <c r="K3631">
        <f>IF($A3631="","",SUM($E3631:$J3631))</f>
        <v/>
      </c>
      <c r="M3631">
        <f>IF($A3631="","",MAX(0,ROUNDUP(DASHBOARD!$F$3-$D3631,0)))</f>
        <v/>
      </c>
      <c r="N3631">
        <f>IF($A3631="","",$K3631+(5002-ROW())/10000)</f>
        <v/>
      </c>
    </row>
    <row r="3632">
      <c r="K3632">
        <f>IF($A3632="","",SUM($E3632:$J3632))</f>
        <v/>
      </c>
      <c r="M3632">
        <f>IF($A3632="","",MAX(0,ROUNDUP(DASHBOARD!$F$3-$D3632,0)))</f>
        <v/>
      </c>
      <c r="N3632">
        <f>IF($A3632="","",$K3632+(5002-ROW())/10000)</f>
        <v/>
      </c>
    </row>
    <row r="3633">
      <c r="K3633">
        <f>IF($A3633="","",SUM($E3633:$J3633))</f>
        <v/>
      </c>
      <c r="M3633">
        <f>IF($A3633="","",MAX(0,ROUNDUP(DASHBOARD!$F$3-$D3633,0)))</f>
        <v/>
      </c>
      <c r="N3633">
        <f>IF($A3633="","",$K3633+(5002-ROW())/10000)</f>
        <v/>
      </c>
    </row>
    <row r="3634">
      <c r="K3634">
        <f>IF($A3634="","",SUM($E3634:$J3634))</f>
        <v/>
      </c>
      <c r="M3634">
        <f>IF($A3634="","",MAX(0,ROUNDUP(DASHBOARD!$F$3-$D3634,0)))</f>
        <v/>
      </c>
      <c r="N3634">
        <f>IF($A3634="","",$K3634+(5002-ROW())/10000)</f>
        <v/>
      </c>
    </row>
    <row r="3635">
      <c r="K3635">
        <f>IF($A3635="","",SUM($E3635:$J3635))</f>
        <v/>
      </c>
      <c r="M3635">
        <f>IF($A3635="","",MAX(0,ROUNDUP(DASHBOARD!$F$3-$D3635,0)))</f>
        <v/>
      </c>
      <c r="N3635">
        <f>IF($A3635="","",$K3635+(5002-ROW())/10000)</f>
        <v/>
      </c>
    </row>
    <row r="3636">
      <c r="K3636">
        <f>IF($A3636="","",SUM($E3636:$J3636))</f>
        <v/>
      </c>
      <c r="M3636">
        <f>IF($A3636="","",MAX(0,ROUNDUP(DASHBOARD!$F$3-$D3636,0)))</f>
        <v/>
      </c>
      <c r="N3636">
        <f>IF($A3636="","",$K3636+(5002-ROW())/10000)</f>
        <v/>
      </c>
    </row>
    <row r="3637">
      <c r="K3637">
        <f>IF($A3637="","",SUM($E3637:$J3637))</f>
        <v/>
      </c>
      <c r="M3637">
        <f>IF($A3637="","",MAX(0,ROUNDUP(DASHBOARD!$F$3-$D3637,0)))</f>
        <v/>
      </c>
      <c r="N3637">
        <f>IF($A3637="","",$K3637+(5002-ROW())/10000)</f>
        <v/>
      </c>
    </row>
    <row r="3638">
      <c r="K3638">
        <f>IF($A3638="","",SUM($E3638:$J3638))</f>
        <v/>
      </c>
      <c r="M3638">
        <f>IF($A3638="","",MAX(0,ROUNDUP(DASHBOARD!$F$3-$D3638,0)))</f>
        <v/>
      </c>
      <c r="N3638">
        <f>IF($A3638="","",$K3638+(5002-ROW())/10000)</f>
        <v/>
      </c>
    </row>
    <row r="3639">
      <c r="K3639">
        <f>IF($A3639="","",SUM($E3639:$J3639))</f>
        <v/>
      </c>
      <c r="M3639">
        <f>IF($A3639="","",MAX(0,ROUNDUP(DASHBOARD!$F$3-$D3639,0)))</f>
        <v/>
      </c>
      <c r="N3639">
        <f>IF($A3639="","",$K3639+(5002-ROW())/10000)</f>
        <v/>
      </c>
    </row>
    <row r="3640">
      <c r="K3640">
        <f>IF($A3640="","",SUM($E3640:$J3640))</f>
        <v/>
      </c>
      <c r="M3640">
        <f>IF($A3640="","",MAX(0,ROUNDUP(DASHBOARD!$F$3-$D3640,0)))</f>
        <v/>
      </c>
      <c r="N3640">
        <f>IF($A3640="","",$K3640+(5002-ROW())/10000)</f>
        <v/>
      </c>
    </row>
    <row r="3641">
      <c r="K3641">
        <f>IF($A3641="","",SUM($E3641:$J3641))</f>
        <v/>
      </c>
      <c r="M3641">
        <f>IF($A3641="","",MAX(0,ROUNDUP(DASHBOARD!$F$3-$D3641,0)))</f>
        <v/>
      </c>
      <c r="N3641">
        <f>IF($A3641="","",$K3641+(5002-ROW())/10000)</f>
        <v/>
      </c>
    </row>
    <row r="3642">
      <c r="K3642">
        <f>IF($A3642="","",SUM($E3642:$J3642))</f>
        <v/>
      </c>
      <c r="M3642">
        <f>IF($A3642="","",MAX(0,ROUNDUP(DASHBOARD!$F$3-$D3642,0)))</f>
        <v/>
      </c>
      <c r="N3642">
        <f>IF($A3642="","",$K3642+(5002-ROW())/10000)</f>
        <v/>
      </c>
    </row>
    <row r="3643">
      <c r="K3643">
        <f>IF($A3643="","",SUM($E3643:$J3643))</f>
        <v/>
      </c>
      <c r="M3643">
        <f>IF($A3643="","",MAX(0,ROUNDUP(DASHBOARD!$F$3-$D3643,0)))</f>
        <v/>
      </c>
      <c r="N3643">
        <f>IF($A3643="","",$K3643+(5002-ROW())/10000)</f>
        <v/>
      </c>
    </row>
    <row r="3644">
      <c r="K3644">
        <f>IF($A3644="","",SUM($E3644:$J3644))</f>
        <v/>
      </c>
      <c r="M3644">
        <f>IF($A3644="","",MAX(0,ROUNDUP(DASHBOARD!$F$3-$D3644,0)))</f>
        <v/>
      </c>
      <c r="N3644">
        <f>IF($A3644="","",$K3644+(5002-ROW())/10000)</f>
        <v/>
      </c>
    </row>
    <row r="3645">
      <c r="K3645">
        <f>IF($A3645="","",SUM($E3645:$J3645))</f>
        <v/>
      </c>
      <c r="M3645">
        <f>IF($A3645="","",MAX(0,ROUNDUP(DASHBOARD!$F$3-$D3645,0)))</f>
        <v/>
      </c>
      <c r="N3645">
        <f>IF($A3645="","",$K3645+(5002-ROW())/10000)</f>
        <v/>
      </c>
    </row>
    <row r="3646">
      <c r="K3646">
        <f>IF($A3646="","",SUM($E3646:$J3646))</f>
        <v/>
      </c>
      <c r="M3646">
        <f>IF($A3646="","",MAX(0,ROUNDUP(DASHBOARD!$F$3-$D3646,0)))</f>
        <v/>
      </c>
      <c r="N3646">
        <f>IF($A3646="","",$K3646+(5002-ROW())/10000)</f>
        <v/>
      </c>
    </row>
    <row r="3647">
      <c r="K3647">
        <f>IF($A3647="","",SUM($E3647:$J3647))</f>
        <v/>
      </c>
      <c r="M3647">
        <f>IF($A3647="","",MAX(0,ROUNDUP(DASHBOARD!$F$3-$D3647,0)))</f>
        <v/>
      </c>
      <c r="N3647">
        <f>IF($A3647="","",$K3647+(5002-ROW())/10000)</f>
        <v/>
      </c>
    </row>
    <row r="3648">
      <c r="K3648">
        <f>IF($A3648="","",SUM($E3648:$J3648))</f>
        <v/>
      </c>
      <c r="M3648">
        <f>IF($A3648="","",MAX(0,ROUNDUP(DASHBOARD!$F$3-$D3648,0)))</f>
        <v/>
      </c>
      <c r="N3648">
        <f>IF($A3648="","",$K3648+(5002-ROW())/10000)</f>
        <v/>
      </c>
    </row>
    <row r="3649">
      <c r="K3649">
        <f>IF($A3649="","",SUM($E3649:$J3649))</f>
        <v/>
      </c>
      <c r="M3649">
        <f>IF($A3649="","",MAX(0,ROUNDUP(DASHBOARD!$F$3-$D3649,0)))</f>
        <v/>
      </c>
      <c r="N3649">
        <f>IF($A3649="","",$K3649+(5002-ROW())/10000)</f>
        <v/>
      </c>
    </row>
    <row r="3650">
      <c r="K3650">
        <f>IF($A3650="","",SUM($E3650:$J3650))</f>
        <v/>
      </c>
      <c r="M3650">
        <f>IF($A3650="","",MAX(0,ROUNDUP(DASHBOARD!$F$3-$D3650,0)))</f>
        <v/>
      </c>
      <c r="N3650">
        <f>IF($A3650="","",$K3650+(5002-ROW())/10000)</f>
        <v/>
      </c>
    </row>
    <row r="3651">
      <c r="K3651">
        <f>IF($A3651="","",SUM($E3651:$J3651))</f>
        <v/>
      </c>
      <c r="M3651">
        <f>IF($A3651="","",MAX(0,ROUNDUP(DASHBOARD!$F$3-$D3651,0)))</f>
        <v/>
      </c>
      <c r="N3651">
        <f>IF($A3651="","",$K3651+(5002-ROW())/10000)</f>
        <v/>
      </c>
    </row>
    <row r="3652">
      <c r="K3652">
        <f>IF($A3652="","",SUM($E3652:$J3652))</f>
        <v/>
      </c>
      <c r="M3652">
        <f>IF($A3652="","",MAX(0,ROUNDUP(DASHBOARD!$F$3-$D3652,0)))</f>
        <v/>
      </c>
      <c r="N3652">
        <f>IF($A3652="","",$K3652+(5002-ROW())/10000)</f>
        <v/>
      </c>
    </row>
    <row r="3653">
      <c r="K3653">
        <f>IF($A3653="","",SUM($E3653:$J3653))</f>
        <v/>
      </c>
      <c r="M3653">
        <f>IF($A3653="","",MAX(0,ROUNDUP(DASHBOARD!$F$3-$D3653,0)))</f>
        <v/>
      </c>
      <c r="N3653">
        <f>IF($A3653="","",$K3653+(5002-ROW())/10000)</f>
        <v/>
      </c>
    </row>
    <row r="3654">
      <c r="K3654">
        <f>IF($A3654="","",SUM($E3654:$J3654))</f>
        <v/>
      </c>
      <c r="M3654">
        <f>IF($A3654="","",MAX(0,ROUNDUP(DASHBOARD!$F$3-$D3654,0)))</f>
        <v/>
      </c>
      <c r="N3654">
        <f>IF($A3654="","",$K3654+(5002-ROW())/10000)</f>
        <v/>
      </c>
    </row>
    <row r="3655">
      <c r="K3655">
        <f>IF($A3655="","",SUM($E3655:$J3655))</f>
        <v/>
      </c>
      <c r="M3655">
        <f>IF($A3655="","",MAX(0,ROUNDUP(DASHBOARD!$F$3-$D3655,0)))</f>
        <v/>
      </c>
      <c r="N3655">
        <f>IF($A3655="","",$K3655+(5002-ROW())/10000)</f>
        <v/>
      </c>
    </row>
    <row r="3656">
      <c r="K3656">
        <f>IF($A3656="","",SUM($E3656:$J3656))</f>
        <v/>
      </c>
      <c r="M3656">
        <f>IF($A3656="","",MAX(0,ROUNDUP(DASHBOARD!$F$3-$D3656,0)))</f>
        <v/>
      </c>
      <c r="N3656">
        <f>IF($A3656="","",$K3656+(5002-ROW())/10000)</f>
        <v/>
      </c>
    </row>
    <row r="3657">
      <c r="K3657">
        <f>IF($A3657="","",SUM($E3657:$J3657))</f>
        <v/>
      </c>
      <c r="M3657">
        <f>IF($A3657="","",MAX(0,ROUNDUP(DASHBOARD!$F$3-$D3657,0)))</f>
        <v/>
      </c>
      <c r="N3657">
        <f>IF($A3657="","",$K3657+(5002-ROW())/10000)</f>
        <v/>
      </c>
    </row>
    <row r="3658">
      <c r="K3658">
        <f>IF($A3658="","",SUM($E3658:$J3658))</f>
        <v/>
      </c>
      <c r="M3658">
        <f>IF($A3658="","",MAX(0,ROUNDUP(DASHBOARD!$F$3-$D3658,0)))</f>
        <v/>
      </c>
      <c r="N3658">
        <f>IF($A3658="","",$K3658+(5002-ROW())/10000)</f>
        <v/>
      </c>
    </row>
    <row r="3659">
      <c r="K3659">
        <f>IF($A3659="","",SUM($E3659:$J3659))</f>
        <v/>
      </c>
      <c r="M3659">
        <f>IF($A3659="","",MAX(0,ROUNDUP(DASHBOARD!$F$3-$D3659,0)))</f>
        <v/>
      </c>
      <c r="N3659">
        <f>IF($A3659="","",$K3659+(5002-ROW())/10000)</f>
        <v/>
      </c>
    </row>
    <row r="3660">
      <c r="K3660">
        <f>IF($A3660="","",SUM($E3660:$J3660))</f>
        <v/>
      </c>
      <c r="M3660">
        <f>IF($A3660="","",MAX(0,ROUNDUP(DASHBOARD!$F$3-$D3660,0)))</f>
        <v/>
      </c>
      <c r="N3660">
        <f>IF($A3660="","",$K3660+(5002-ROW())/10000)</f>
        <v/>
      </c>
    </row>
    <row r="3661">
      <c r="K3661">
        <f>IF($A3661="","",SUM($E3661:$J3661))</f>
        <v/>
      </c>
      <c r="M3661">
        <f>IF($A3661="","",MAX(0,ROUNDUP(DASHBOARD!$F$3-$D3661,0)))</f>
        <v/>
      </c>
      <c r="N3661">
        <f>IF($A3661="","",$K3661+(5002-ROW())/10000)</f>
        <v/>
      </c>
    </row>
    <row r="3662">
      <c r="K3662">
        <f>IF($A3662="","",SUM($E3662:$J3662))</f>
        <v/>
      </c>
      <c r="M3662">
        <f>IF($A3662="","",MAX(0,ROUNDUP(DASHBOARD!$F$3-$D3662,0)))</f>
        <v/>
      </c>
      <c r="N3662">
        <f>IF($A3662="","",$K3662+(5002-ROW())/10000)</f>
        <v/>
      </c>
    </row>
    <row r="3663">
      <c r="K3663">
        <f>IF($A3663="","",SUM($E3663:$J3663))</f>
        <v/>
      </c>
      <c r="M3663">
        <f>IF($A3663="","",MAX(0,ROUNDUP(DASHBOARD!$F$3-$D3663,0)))</f>
        <v/>
      </c>
      <c r="N3663">
        <f>IF($A3663="","",$K3663+(5002-ROW())/10000)</f>
        <v/>
      </c>
    </row>
    <row r="3664">
      <c r="K3664">
        <f>IF($A3664="","",SUM($E3664:$J3664))</f>
        <v/>
      </c>
      <c r="M3664">
        <f>IF($A3664="","",MAX(0,ROUNDUP(DASHBOARD!$F$3-$D3664,0)))</f>
        <v/>
      </c>
      <c r="N3664">
        <f>IF($A3664="","",$K3664+(5002-ROW())/10000)</f>
        <v/>
      </c>
    </row>
    <row r="3665">
      <c r="K3665">
        <f>IF($A3665="","",SUM($E3665:$J3665))</f>
        <v/>
      </c>
      <c r="M3665">
        <f>IF($A3665="","",MAX(0,ROUNDUP(DASHBOARD!$F$3-$D3665,0)))</f>
        <v/>
      </c>
      <c r="N3665">
        <f>IF($A3665="","",$K3665+(5002-ROW())/10000)</f>
        <v/>
      </c>
    </row>
    <row r="3666">
      <c r="K3666">
        <f>IF($A3666="","",SUM($E3666:$J3666))</f>
        <v/>
      </c>
      <c r="M3666">
        <f>IF($A3666="","",MAX(0,ROUNDUP(DASHBOARD!$F$3-$D3666,0)))</f>
        <v/>
      </c>
      <c r="N3666">
        <f>IF($A3666="","",$K3666+(5002-ROW())/10000)</f>
        <v/>
      </c>
    </row>
    <row r="3667">
      <c r="K3667">
        <f>IF($A3667="","",SUM($E3667:$J3667))</f>
        <v/>
      </c>
      <c r="M3667">
        <f>IF($A3667="","",MAX(0,ROUNDUP(DASHBOARD!$F$3-$D3667,0)))</f>
        <v/>
      </c>
      <c r="N3667">
        <f>IF($A3667="","",$K3667+(5002-ROW())/10000)</f>
        <v/>
      </c>
    </row>
    <row r="3668">
      <c r="K3668">
        <f>IF($A3668="","",SUM($E3668:$J3668))</f>
        <v/>
      </c>
      <c r="M3668">
        <f>IF($A3668="","",MAX(0,ROUNDUP(DASHBOARD!$F$3-$D3668,0)))</f>
        <v/>
      </c>
      <c r="N3668">
        <f>IF($A3668="","",$K3668+(5002-ROW())/10000)</f>
        <v/>
      </c>
    </row>
    <row r="3669">
      <c r="K3669">
        <f>IF($A3669="","",SUM($E3669:$J3669))</f>
        <v/>
      </c>
      <c r="M3669">
        <f>IF($A3669="","",MAX(0,ROUNDUP(DASHBOARD!$F$3-$D3669,0)))</f>
        <v/>
      </c>
      <c r="N3669">
        <f>IF($A3669="","",$K3669+(5002-ROW())/10000)</f>
        <v/>
      </c>
    </row>
    <row r="3670">
      <c r="K3670">
        <f>IF($A3670="","",SUM($E3670:$J3670))</f>
        <v/>
      </c>
      <c r="M3670">
        <f>IF($A3670="","",MAX(0,ROUNDUP(DASHBOARD!$F$3-$D3670,0)))</f>
        <v/>
      </c>
      <c r="N3670">
        <f>IF($A3670="","",$K3670+(5002-ROW())/10000)</f>
        <v/>
      </c>
    </row>
    <row r="3671">
      <c r="K3671">
        <f>IF($A3671="","",SUM($E3671:$J3671))</f>
        <v/>
      </c>
      <c r="M3671">
        <f>IF($A3671="","",MAX(0,ROUNDUP(DASHBOARD!$F$3-$D3671,0)))</f>
        <v/>
      </c>
      <c r="N3671">
        <f>IF($A3671="","",$K3671+(5002-ROW())/10000)</f>
        <v/>
      </c>
    </row>
    <row r="3672">
      <c r="K3672">
        <f>IF($A3672="","",SUM($E3672:$J3672))</f>
        <v/>
      </c>
      <c r="M3672">
        <f>IF($A3672="","",MAX(0,ROUNDUP(DASHBOARD!$F$3-$D3672,0)))</f>
        <v/>
      </c>
      <c r="N3672">
        <f>IF($A3672="","",$K3672+(5002-ROW())/10000)</f>
        <v/>
      </c>
    </row>
    <row r="3673">
      <c r="K3673">
        <f>IF($A3673="","",SUM($E3673:$J3673))</f>
        <v/>
      </c>
      <c r="M3673">
        <f>IF($A3673="","",MAX(0,ROUNDUP(DASHBOARD!$F$3-$D3673,0)))</f>
        <v/>
      </c>
      <c r="N3673">
        <f>IF($A3673="","",$K3673+(5002-ROW())/10000)</f>
        <v/>
      </c>
    </row>
    <row r="3674">
      <c r="K3674">
        <f>IF($A3674="","",SUM($E3674:$J3674))</f>
        <v/>
      </c>
      <c r="M3674">
        <f>IF($A3674="","",MAX(0,ROUNDUP(DASHBOARD!$F$3-$D3674,0)))</f>
        <v/>
      </c>
      <c r="N3674">
        <f>IF($A3674="","",$K3674+(5002-ROW())/10000)</f>
        <v/>
      </c>
    </row>
    <row r="3675">
      <c r="K3675">
        <f>IF($A3675="","",SUM($E3675:$J3675))</f>
        <v/>
      </c>
      <c r="M3675">
        <f>IF($A3675="","",MAX(0,ROUNDUP(DASHBOARD!$F$3-$D3675,0)))</f>
        <v/>
      </c>
      <c r="N3675">
        <f>IF($A3675="","",$K3675+(5002-ROW())/10000)</f>
        <v/>
      </c>
    </row>
    <row r="3676">
      <c r="K3676">
        <f>IF($A3676="","",SUM($E3676:$J3676))</f>
        <v/>
      </c>
      <c r="M3676">
        <f>IF($A3676="","",MAX(0,ROUNDUP(DASHBOARD!$F$3-$D3676,0)))</f>
        <v/>
      </c>
      <c r="N3676">
        <f>IF($A3676="","",$K3676+(5002-ROW())/10000)</f>
        <v/>
      </c>
    </row>
    <row r="3677">
      <c r="K3677">
        <f>IF($A3677="","",SUM($E3677:$J3677))</f>
        <v/>
      </c>
      <c r="M3677">
        <f>IF($A3677="","",MAX(0,ROUNDUP(DASHBOARD!$F$3-$D3677,0)))</f>
        <v/>
      </c>
      <c r="N3677">
        <f>IF($A3677="","",$K3677+(5002-ROW())/10000)</f>
        <v/>
      </c>
    </row>
    <row r="3678">
      <c r="K3678">
        <f>IF($A3678="","",SUM($E3678:$J3678))</f>
        <v/>
      </c>
      <c r="M3678">
        <f>IF($A3678="","",MAX(0,ROUNDUP(DASHBOARD!$F$3-$D3678,0)))</f>
        <v/>
      </c>
      <c r="N3678">
        <f>IF($A3678="","",$K3678+(5002-ROW())/10000)</f>
        <v/>
      </c>
    </row>
    <row r="3679">
      <c r="K3679">
        <f>IF($A3679="","",SUM($E3679:$J3679))</f>
        <v/>
      </c>
      <c r="M3679">
        <f>IF($A3679="","",MAX(0,ROUNDUP(DASHBOARD!$F$3-$D3679,0)))</f>
        <v/>
      </c>
      <c r="N3679">
        <f>IF($A3679="","",$K3679+(5002-ROW())/10000)</f>
        <v/>
      </c>
    </row>
    <row r="3680">
      <c r="K3680">
        <f>IF($A3680="","",SUM($E3680:$J3680))</f>
        <v/>
      </c>
      <c r="M3680">
        <f>IF($A3680="","",MAX(0,ROUNDUP(DASHBOARD!$F$3-$D3680,0)))</f>
        <v/>
      </c>
      <c r="N3680">
        <f>IF($A3680="","",$K3680+(5002-ROW())/10000)</f>
        <v/>
      </c>
    </row>
    <row r="3681">
      <c r="K3681">
        <f>IF($A3681="","",SUM($E3681:$J3681))</f>
        <v/>
      </c>
      <c r="M3681">
        <f>IF($A3681="","",MAX(0,ROUNDUP(DASHBOARD!$F$3-$D3681,0)))</f>
        <v/>
      </c>
      <c r="N3681">
        <f>IF($A3681="","",$K3681+(5002-ROW())/10000)</f>
        <v/>
      </c>
    </row>
    <row r="3682">
      <c r="K3682">
        <f>IF($A3682="","",SUM($E3682:$J3682))</f>
        <v/>
      </c>
      <c r="M3682">
        <f>IF($A3682="","",MAX(0,ROUNDUP(DASHBOARD!$F$3-$D3682,0)))</f>
        <v/>
      </c>
      <c r="N3682">
        <f>IF($A3682="","",$K3682+(5002-ROW())/10000)</f>
        <v/>
      </c>
    </row>
    <row r="3683">
      <c r="K3683">
        <f>IF($A3683="","",SUM($E3683:$J3683))</f>
        <v/>
      </c>
      <c r="M3683">
        <f>IF($A3683="","",MAX(0,ROUNDUP(DASHBOARD!$F$3-$D3683,0)))</f>
        <v/>
      </c>
      <c r="N3683">
        <f>IF($A3683="","",$K3683+(5002-ROW())/10000)</f>
        <v/>
      </c>
    </row>
    <row r="3684">
      <c r="K3684">
        <f>IF($A3684="","",SUM($E3684:$J3684))</f>
        <v/>
      </c>
      <c r="M3684">
        <f>IF($A3684="","",MAX(0,ROUNDUP(DASHBOARD!$F$3-$D3684,0)))</f>
        <v/>
      </c>
      <c r="N3684">
        <f>IF($A3684="","",$K3684+(5002-ROW())/10000)</f>
        <v/>
      </c>
    </row>
    <row r="3685">
      <c r="K3685">
        <f>IF($A3685="","",SUM($E3685:$J3685))</f>
        <v/>
      </c>
      <c r="M3685">
        <f>IF($A3685="","",MAX(0,ROUNDUP(DASHBOARD!$F$3-$D3685,0)))</f>
        <v/>
      </c>
      <c r="N3685">
        <f>IF($A3685="","",$K3685+(5002-ROW())/10000)</f>
        <v/>
      </c>
    </row>
    <row r="3686">
      <c r="K3686">
        <f>IF($A3686="","",SUM($E3686:$J3686))</f>
        <v/>
      </c>
      <c r="M3686">
        <f>IF($A3686="","",MAX(0,ROUNDUP(DASHBOARD!$F$3-$D3686,0)))</f>
        <v/>
      </c>
      <c r="N3686">
        <f>IF($A3686="","",$K3686+(5002-ROW())/10000)</f>
        <v/>
      </c>
    </row>
    <row r="3687">
      <c r="K3687">
        <f>IF($A3687="","",SUM($E3687:$J3687))</f>
        <v/>
      </c>
      <c r="M3687">
        <f>IF($A3687="","",MAX(0,ROUNDUP(DASHBOARD!$F$3-$D3687,0)))</f>
        <v/>
      </c>
      <c r="N3687">
        <f>IF($A3687="","",$K3687+(5002-ROW())/10000)</f>
        <v/>
      </c>
    </row>
    <row r="3688">
      <c r="K3688">
        <f>IF($A3688="","",SUM($E3688:$J3688))</f>
        <v/>
      </c>
      <c r="M3688">
        <f>IF($A3688="","",MAX(0,ROUNDUP(DASHBOARD!$F$3-$D3688,0)))</f>
        <v/>
      </c>
      <c r="N3688">
        <f>IF($A3688="","",$K3688+(5002-ROW())/10000)</f>
        <v/>
      </c>
    </row>
    <row r="3689">
      <c r="K3689">
        <f>IF($A3689="","",SUM($E3689:$J3689))</f>
        <v/>
      </c>
      <c r="M3689">
        <f>IF($A3689="","",MAX(0,ROUNDUP(DASHBOARD!$F$3-$D3689,0)))</f>
        <v/>
      </c>
      <c r="N3689">
        <f>IF($A3689="","",$K3689+(5002-ROW())/10000)</f>
        <v/>
      </c>
    </row>
    <row r="3690">
      <c r="K3690">
        <f>IF($A3690="","",SUM($E3690:$J3690))</f>
        <v/>
      </c>
      <c r="M3690">
        <f>IF($A3690="","",MAX(0,ROUNDUP(DASHBOARD!$F$3-$D3690,0)))</f>
        <v/>
      </c>
      <c r="N3690">
        <f>IF($A3690="","",$K3690+(5002-ROW())/10000)</f>
        <v/>
      </c>
    </row>
    <row r="3691">
      <c r="K3691">
        <f>IF($A3691="","",SUM($E3691:$J3691))</f>
        <v/>
      </c>
      <c r="M3691">
        <f>IF($A3691="","",MAX(0,ROUNDUP(DASHBOARD!$F$3-$D3691,0)))</f>
        <v/>
      </c>
      <c r="N3691">
        <f>IF($A3691="","",$K3691+(5002-ROW())/10000)</f>
        <v/>
      </c>
    </row>
    <row r="3692">
      <c r="K3692">
        <f>IF($A3692="","",SUM($E3692:$J3692))</f>
        <v/>
      </c>
      <c r="M3692">
        <f>IF($A3692="","",MAX(0,ROUNDUP(DASHBOARD!$F$3-$D3692,0)))</f>
        <v/>
      </c>
      <c r="N3692">
        <f>IF($A3692="","",$K3692+(5002-ROW())/10000)</f>
        <v/>
      </c>
    </row>
    <row r="3693">
      <c r="K3693">
        <f>IF($A3693="","",SUM($E3693:$J3693))</f>
        <v/>
      </c>
      <c r="M3693">
        <f>IF($A3693="","",MAX(0,ROUNDUP(DASHBOARD!$F$3-$D3693,0)))</f>
        <v/>
      </c>
      <c r="N3693">
        <f>IF($A3693="","",$K3693+(5002-ROW())/10000)</f>
        <v/>
      </c>
    </row>
    <row r="3694">
      <c r="K3694">
        <f>IF($A3694="","",SUM($E3694:$J3694))</f>
        <v/>
      </c>
      <c r="M3694">
        <f>IF($A3694="","",MAX(0,ROUNDUP(DASHBOARD!$F$3-$D3694,0)))</f>
        <v/>
      </c>
      <c r="N3694">
        <f>IF($A3694="","",$K3694+(5002-ROW())/10000)</f>
        <v/>
      </c>
    </row>
    <row r="3695">
      <c r="K3695">
        <f>IF($A3695="","",SUM($E3695:$J3695))</f>
        <v/>
      </c>
      <c r="M3695">
        <f>IF($A3695="","",MAX(0,ROUNDUP(DASHBOARD!$F$3-$D3695,0)))</f>
        <v/>
      </c>
      <c r="N3695">
        <f>IF($A3695="","",$K3695+(5002-ROW())/10000)</f>
        <v/>
      </c>
    </row>
    <row r="3696">
      <c r="K3696">
        <f>IF($A3696="","",SUM($E3696:$J3696))</f>
        <v/>
      </c>
      <c r="M3696">
        <f>IF($A3696="","",MAX(0,ROUNDUP(DASHBOARD!$F$3-$D3696,0)))</f>
        <v/>
      </c>
      <c r="N3696">
        <f>IF($A3696="","",$K3696+(5002-ROW())/10000)</f>
        <v/>
      </c>
    </row>
    <row r="3697">
      <c r="K3697">
        <f>IF($A3697="","",SUM($E3697:$J3697))</f>
        <v/>
      </c>
      <c r="M3697">
        <f>IF($A3697="","",MAX(0,ROUNDUP(DASHBOARD!$F$3-$D3697,0)))</f>
        <v/>
      </c>
      <c r="N3697">
        <f>IF($A3697="","",$K3697+(5002-ROW())/10000)</f>
        <v/>
      </c>
    </row>
    <row r="3698">
      <c r="K3698">
        <f>IF($A3698="","",SUM($E3698:$J3698))</f>
        <v/>
      </c>
      <c r="M3698">
        <f>IF($A3698="","",MAX(0,ROUNDUP(DASHBOARD!$F$3-$D3698,0)))</f>
        <v/>
      </c>
      <c r="N3698">
        <f>IF($A3698="","",$K3698+(5002-ROW())/10000)</f>
        <v/>
      </c>
    </row>
    <row r="3699">
      <c r="K3699">
        <f>IF($A3699="","",SUM($E3699:$J3699))</f>
        <v/>
      </c>
      <c r="M3699">
        <f>IF($A3699="","",MAX(0,ROUNDUP(DASHBOARD!$F$3-$D3699,0)))</f>
        <v/>
      </c>
      <c r="N3699">
        <f>IF($A3699="","",$K3699+(5002-ROW())/10000)</f>
        <v/>
      </c>
    </row>
    <row r="3700">
      <c r="K3700">
        <f>IF($A3700="","",SUM($E3700:$J3700))</f>
        <v/>
      </c>
      <c r="M3700">
        <f>IF($A3700="","",MAX(0,ROUNDUP(DASHBOARD!$F$3-$D3700,0)))</f>
        <v/>
      </c>
      <c r="N3700">
        <f>IF($A3700="","",$K3700+(5002-ROW())/10000)</f>
        <v/>
      </c>
    </row>
    <row r="3701">
      <c r="K3701">
        <f>IF($A3701="","",SUM($E3701:$J3701))</f>
        <v/>
      </c>
      <c r="M3701">
        <f>IF($A3701="","",MAX(0,ROUNDUP(DASHBOARD!$F$3-$D3701,0)))</f>
        <v/>
      </c>
      <c r="N3701">
        <f>IF($A3701="","",$K3701+(5002-ROW())/10000)</f>
        <v/>
      </c>
    </row>
    <row r="3702">
      <c r="K3702">
        <f>IF($A3702="","",SUM($E3702:$J3702))</f>
        <v/>
      </c>
      <c r="M3702">
        <f>IF($A3702="","",MAX(0,ROUNDUP(DASHBOARD!$F$3-$D3702,0)))</f>
        <v/>
      </c>
      <c r="N3702">
        <f>IF($A3702="","",$K3702+(5002-ROW())/10000)</f>
        <v/>
      </c>
    </row>
    <row r="3703">
      <c r="K3703">
        <f>IF($A3703="","",SUM($E3703:$J3703))</f>
        <v/>
      </c>
      <c r="M3703">
        <f>IF($A3703="","",MAX(0,ROUNDUP(DASHBOARD!$F$3-$D3703,0)))</f>
        <v/>
      </c>
      <c r="N3703">
        <f>IF($A3703="","",$K3703+(5002-ROW())/10000)</f>
        <v/>
      </c>
    </row>
    <row r="3704">
      <c r="K3704">
        <f>IF($A3704="","",SUM($E3704:$J3704))</f>
        <v/>
      </c>
      <c r="M3704">
        <f>IF($A3704="","",MAX(0,ROUNDUP(DASHBOARD!$F$3-$D3704,0)))</f>
        <v/>
      </c>
      <c r="N3704">
        <f>IF($A3704="","",$K3704+(5002-ROW())/10000)</f>
        <v/>
      </c>
    </row>
    <row r="3705">
      <c r="K3705">
        <f>IF($A3705="","",SUM($E3705:$J3705))</f>
        <v/>
      </c>
      <c r="M3705">
        <f>IF($A3705="","",MAX(0,ROUNDUP(DASHBOARD!$F$3-$D3705,0)))</f>
        <v/>
      </c>
      <c r="N3705">
        <f>IF($A3705="","",$K3705+(5002-ROW())/10000)</f>
        <v/>
      </c>
    </row>
    <row r="3706">
      <c r="K3706">
        <f>IF($A3706="","",SUM($E3706:$J3706))</f>
        <v/>
      </c>
      <c r="M3706">
        <f>IF($A3706="","",MAX(0,ROUNDUP(DASHBOARD!$F$3-$D3706,0)))</f>
        <v/>
      </c>
      <c r="N3706">
        <f>IF($A3706="","",$K3706+(5002-ROW())/10000)</f>
        <v/>
      </c>
    </row>
    <row r="3707">
      <c r="K3707">
        <f>IF($A3707="","",SUM($E3707:$J3707))</f>
        <v/>
      </c>
      <c r="M3707">
        <f>IF($A3707="","",MAX(0,ROUNDUP(DASHBOARD!$F$3-$D3707,0)))</f>
        <v/>
      </c>
      <c r="N3707">
        <f>IF($A3707="","",$K3707+(5002-ROW())/10000)</f>
        <v/>
      </c>
    </row>
    <row r="3708">
      <c r="K3708">
        <f>IF($A3708="","",SUM($E3708:$J3708))</f>
        <v/>
      </c>
      <c r="M3708">
        <f>IF($A3708="","",MAX(0,ROUNDUP(DASHBOARD!$F$3-$D3708,0)))</f>
        <v/>
      </c>
      <c r="N3708">
        <f>IF($A3708="","",$K3708+(5002-ROW())/10000)</f>
        <v/>
      </c>
    </row>
    <row r="3709">
      <c r="K3709">
        <f>IF($A3709="","",SUM($E3709:$J3709))</f>
        <v/>
      </c>
      <c r="M3709">
        <f>IF($A3709="","",MAX(0,ROUNDUP(DASHBOARD!$F$3-$D3709,0)))</f>
        <v/>
      </c>
      <c r="N3709">
        <f>IF($A3709="","",$K3709+(5002-ROW())/10000)</f>
        <v/>
      </c>
    </row>
    <row r="3710">
      <c r="K3710">
        <f>IF($A3710="","",SUM($E3710:$J3710))</f>
        <v/>
      </c>
      <c r="M3710">
        <f>IF($A3710="","",MAX(0,ROUNDUP(DASHBOARD!$F$3-$D3710,0)))</f>
        <v/>
      </c>
      <c r="N3710">
        <f>IF($A3710="","",$K3710+(5002-ROW())/10000)</f>
        <v/>
      </c>
    </row>
    <row r="3711">
      <c r="K3711">
        <f>IF($A3711="","",SUM($E3711:$J3711))</f>
        <v/>
      </c>
      <c r="M3711">
        <f>IF($A3711="","",MAX(0,ROUNDUP(DASHBOARD!$F$3-$D3711,0)))</f>
        <v/>
      </c>
      <c r="N3711">
        <f>IF($A3711="","",$K3711+(5002-ROW())/10000)</f>
        <v/>
      </c>
    </row>
    <row r="3712">
      <c r="K3712">
        <f>IF($A3712="","",SUM($E3712:$J3712))</f>
        <v/>
      </c>
      <c r="M3712">
        <f>IF($A3712="","",MAX(0,ROUNDUP(DASHBOARD!$F$3-$D3712,0)))</f>
        <v/>
      </c>
      <c r="N3712">
        <f>IF($A3712="","",$K3712+(5002-ROW())/10000)</f>
        <v/>
      </c>
    </row>
    <row r="3713">
      <c r="K3713">
        <f>IF($A3713="","",SUM($E3713:$J3713))</f>
        <v/>
      </c>
      <c r="M3713">
        <f>IF($A3713="","",MAX(0,ROUNDUP(DASHBOARD!$F$3-$D3713,0)))</f>
        <v/>
      </c>
      <c r="N3713">
        <f>IF($A3713="","",$K3713+(5002-ROW())/10000)</f>
        <v/>
      </c>
    </row>
    <row r="3714">
      <c r="K3714">
        <f>IF($A3714="","",SUM($E3714:$J3714))</f>
        <v/>
      </c>
      <c r="M3714">
        <f>IF($A3714="","",MAX(0,ROUNDUP(DASHBOARD!$F$3-$D3714,0)))</f>
        <v/>
      </c>
      <c r="N3714">
        <f>IF($A3714="","",$K3714+(5002-ROW())/10000)</f>
        <v/>
      </c>
    </row>
    <row r="3715">
      <c r="K3715">
        <f>IF($A3715="","",SUM($E3715:$J3715))</f>
        <v/>
      </c>
      <c r="M3715">
        <f>IF($A3715="","",MAX(0,ROUNDUP(DASHBOARD!$F$3-$D3715,0)))</f>
        <v/>
      </c>
      <c r="N3715">
        <f>IF($A3715="","",$K3715+(5002-ROW())/10000)</f>
        <v/>
      </c>
    </row>
    <row r="3716">
      <c r="K3716">
        <f>IF($A3716="","",SUM($E3716:$J3716))</f>
        <v/>
      </c>
      <c r="M3716">
        <f>IF($A3716="","",MAX(0,ROUNDUP(DASHBOARD!$F$3-$D3716,0)))</f>
        <v/>
      </c>
      <c r="N3716">
        <f>IF($A3716="","",$K3716+(5002-ROW())/10000)</f>
        <v/>
      </c>
    </row>
    <row r="3717">
      <c r="K3717">
        <f>IF($A3717="","",SUM($E3717:$J3717))</f>
        <v/>
      </c>
      <c r="M3717">
        <f>IF($A3717="","",MAX(0,ROUNDUP(DASHBOARD!$F$3-$D3717,0)))</f>
        <v/>
      </c>
      <c r="N3717">
        <f>IF($A3717="","",$K3717+(5002-ROW())/10000)</f>
        <v/>
      </c>
    </row>
    <row r="3718">
      <c r="K3718">
        <f>IF($A3718="","",SUM($E3718:$J3718))</f>
        <v/>
      </c>
      <c r="M3718">
        <f>IF($A3718="","",MAX(0,ROUNDUP(DASHBOARD!$F$3-$D3718,0)))</f>
        <v/>
      </c>
      <c r="N3718">
        <f>IF($A3718="","",$K3718+(5002-ROW())/10000)</f>
        <v/>
      </c>
    </row>
    <row r="3719">
      <c r="K3719">
        <f>IF($A3719="","",SUM($E3719:$J3719))</f>
        <v/>
      </c>
      <c r="M3719">
        <f>IF($A3719="","",MAX(0,ROUNDUP(DASHBOARD!$F$3-$D3719,0)))</f>
        <v/>
      </c>
      <c r="N3719">
        <f>IF($A3719="","",$K3719+(5002-ROW())/10000)</f>
        <v/>
      </c>
    </row>
    <row r="3720">
      <c r="K3720">
        <f>IF($A3720="","",SUM($E3720:$J3720))</f>
        <v/>
      </c>
      <c r="M3720">
        <f>IF($A3720="","",MAX(0,ROUNDUP(DASHBOARD!$F$3-$D3720,0)))</f>
        <v/>
      </c>
      <c r="N3720">
        <f>IF($A3720="","",$K3720+(5002-ROW())/10000)</f>
        <v/>
      </c>
    </row>
    <row r="3721">
      <c r="K3721">
        <f>IF($A3721="","",SUM($E3721:$J3721))</f>
        <v/>
      </c>
      <c r="M3721">
        <f>IF($A3721="","",MAX(0,ROUNDUP(DASHBOARD!$F$3-$D3721,0)))</f>
        <v/>
      </c>
      <c r="N3721">
        <f>IF($A3721="","",$K3721+(5002-ROW())/10000)</f>
        <v/>
      </c>
    </row>
    <row r="3722">
      <c r="K3722">
        <f>IF($A3722="","",SUM($E3722:$J3722))</f>
        <v/>
      </c>
      <c r="M3722">
        <f>IF($A3722="","",MAX(0,ROUNDUP(DASHBOARD!$F$3-$D3722,0)))</f>
        <v/>
      </c>
      <c r="N3722">
        <f>IF($A3722="","",$K3722+(5002-ROW())/10000)</f>
        <v/>
      </c>
    </row>
    <row r="3723">
      <c r="K3723">
        <f>IF($A3723="","",SUM($E3723:$J3723))</f>
        <v/>
      </c>
      <c r="M3723">
        <f>IF($A3723="","",MAX(0,ROUNDUP(DASHBOARD!$F$3-$D3723,0)))</f>
        <v/>
      </c>
      <c r="N3723">
        <f>IF($A3723="","",$K3723+(5002-ROW())/10000)</f>
        <v/>
      </c>
    </row>
    <row r="3724">
      <c r="K3724">
        <f>IF($A3724="","",SUM($E3724:$J3724))</f>
        <v/>
      </c>
      <c r="M3724">
        <f>IF($A3724="","",MAX(0,ROUNDUP(DASHBOARD!$F$3-$D3724,0)))</f>
        <v/>
      </c>
      <c r="N3724">
        <f>IF($A3724="","",$K3724+(5002-ROW())/10000)</f>
        <v/>
      </c>
    </row>
    <row r="3725">
      <c r="K3725">
        <f>IF($A3725="","",SUM($E3725:$J3725))</f>
        <v/>
      </c>
      <c r="M3725">
        <f>IF($A3725="","",MAX(0,ROUNDUP(DASHBOARD!$F$3-$D3725,0)))</f>
        <v/>
      </c>
      <c r="N3725">
        <f>IF($A3725="","",$K3725+(5002-ROW())/10000)</f>
        <v/>
      </c>
    </row>
    <row r="3726">
      <c r="K3726">
        <f>IF($A3726="","",SUM($E3726:$J3726))</f>
        <v/>
      </c>
      <c r="M3726">
        <f>IF($A3726="","",MAX(0,ROUNDUP(DASHBOARD!$F$3-$D3726,0)))</f>
        <v/>
      </c>
      <c r="N3726">
        <f>IF($A3726="","",$K3726+(5002-ROW())/10000)</f>
        <v/>
      </c>
    </row>
    <row r="3727">
      <c r="K3727">
        <f>IF($A3727="","",SUM($E3727:$J3727))</f>
        <v/>
      </c>
      <c r="M3727">
        <f>IF($A3727="","",MAX(0,ROUNDUP(DASHBOARD!$F$3-$D3727,0)))</f>
        <v/>
      </c>
      <c r="N3727">
        <f>IF($A3727="","",$K3727+(5002-ROW())/10000)</f>
        <v/>
      </c>
    </row>
    <row r="3728">
      <c r="K3728">
        <f>IF($A3728="","",SUM($E3728:$J3728))</f>
        <v/>
      </c>
      <c r="M3728">
        <f>IF($A3728="","",MAX(0,ROUNDUP(DASHBOARD!$F$3-$D3728,0)))</f>
        <v/>
      </c>
      <c r="N3728">
        <f>IF($A3728="","",$K3728+(5002-ROW())/10000)</f>
        <v/>
      </c>
    </row>
    <row r="3729">
      <c r="K3729">
        <f>IF($A3729="","",SUM($E3729:$J3729))</f>
        <v/>
      </c>
      <c r="M3729">
        <f>IF($A3729="","",MAX(0,ROUNDUP(DASHBOARD!$F$3-$D3729,0)))</f>
        <v/>
      </c>
      <c r="N3729">
        <f>IF($A3729="","",$K3729+(5002-ROW())/10000)</f>
        <v/>
      </c>
    </row>
    <row r="3730">
      <c r="K3730">
        <f>IF($A3730="","",SUM($E3730:$J3730))</f>
        <v/>
      </c>
      <c r="M3730">
        <f>IF($A3730="","",MAX(0,ROUNDUP(DASHBOARD!$F$3-$D3730,0)))</f>
        <v/>
      </c>
      <c r="N3730">
        <f>IF($A3730="","",$K3730+(5002-ROW())/10000)</f>
        <v/>
      </c>
    </row>
    <row r="3731">
      <c r="K3731">
        <f>IF($A3731="","",SUM($E3731:$J3731))</f>
        <v/>
      </c>
      <c r="M3731">
        <f>IF($A3731="","",MAX(0,ROUNDUP(DASHBOARD!$F$3-$D3731,0)))</f>
        <v/>
      </c>
      <c r="N3731">
        <f>IF($A3731="","",$K3731+(5002-ROW())/10000)</f>
        <v/>
      </c>
    </row>
    <row r="3732">
      <c r="K3732">
        <f>IF($A3732="","",SUM($E3732:$J3732))</f>
        <v/>
      </c>
      <c r="M3732">
        <f>IF($A3732="","",MAX(0,ROUNDUP(DASHBOARD!$F$3-$D3732,0)))</f>
        <v/>
      </c>
      <c r="N3732">
        <f>IF($A3732="","",$K3732+(5002-ROW())/10000)</f>
        <v/>
      </c>
    </row>
    <row r="3733">
      <c r="K3733">
        <f>IF($A3733="","",SUM($E3733:$J3733))</f>
        <v/>
      </c>
      <c r="M3733">
        <f>IF($A3733="","",MAX(0,ROUNDUP(DASHBOARD!$F$3-$D3733,0)))</f>
        <v/>
      </c>
      <c r="N3733">
        <f>IF($A3733="","",$K3733+(5002-ROW())/10000)</f>
        <v/>
      </c>
    </row>
    <row r="3734">
      <c r="K3734">
        <f>IF($A3734="","",SUM($E3734:$J3734))</f>
        <v/>
      </c>
      <c r="M3734">
        <f>IF($A3734="","",MAX(0,ROUNDUP(DASHBOARD!$F$3-$D3734,0)))</f>
        <v/>
      </c>
      <c r="N3734">
        <f>IF($A3734="","",$K3734+(5002-ROW())/10000)</f>
        <v/>
      </c>
    </row>
    <row r="3735">
      <c r="K3735">
        <f>IF($A3735="","",SUM($E3735:$J3735))</f>
        <v/>
      </c>
      <c r="M3735">
        <f>IF($A3735="","",MAX(0,ROUNDUP(DASHBOARD!$F$3-$D3735,0)))</f>
        <v/>
      </c>
      <c r="N3735">
        <f>IF($A3735="","",$K3735+(5002-ROW())/10000)</f>
        <v/>
      </c>
    </row>
    <row r="3736">
      <c r="K3736">
        <f>IF($A3736="","",SUM($E3736:$J3736))</f>
        <v/>
      </c>
      <c r="M3736">
        <f>IF($A3736="","",MAX(0,ROUNDUP(DASHBOARD!$F$3-$D3736,0)))</f>
        <v/>
      </c>
      <c r="N3736">
        <f>IF($A3736="","",$K3736+(5002-ROW())/10000)</f>
        <v/>
      </c>
    </row>
    <row r="3737">
      <c r="K3737">
        <f>IF($A3737="","",SUM($E3737:$J3737))</f>
        <v/>
      </c>
      <c r="M3737">
        <f>IF($A3737="","",MAX(0,ROUNDUP(DASHBOARD!$F$3-$D3737,0)))</f>
        <v/>
      </c>
      <c r="N3737">
        <f>IF($A3737="","",$K3737+(5002-ROW())/10000)</f>
        <v/>
      </c>
    </row>
    <row r="3738">
      <c r="K3738">
        <f>IF($A3738="","",SUM($E3738:$J3738))</f>
        <v/>
      </c>
      <c r="M3738">
        <f>IF($A3738="","",MAX(0,ROUNDUP(DASHBOARD!$F$3-$D3738,0)))</f>
        <v/>
      </c>
      <c r="N3738">
        <f>IF($A3738="","",$K3738+(5002-ROW())/10000)</f>
        <v/>
      </c>
    </row>
    <row r="3739">
      <c r="K3739">
        <f>IF($A3739="","",SUM($E3739:$J3739))</f>
        <v/>
      </c>
      <c r="M3739">
        <f>IF($A3739="","",MAX(0,ROUNDUP(DASHBOARD!$F$3-$D3739,0)))</f>
        <v/>
      </c>
      <c r="N3739">
        <f>IF($A3739="","",$K3739+(5002-ROW())/10000)</f>
        <v/>
      </c>
    </row>
    <row r="3740">
      <c r="K3740">
        <f>IF($A3740="","",SUM($E3740:$J3740))</f>
        <v/>
      </c>
      <c r="M3740">
        <f>IF($A3740="","",MAX(0,ROUNDUP(DASHBOARD!$F$3-$D3740,0)))</f>
        <v/>
      </c>
      <c r="N3740">
        <f>IF($A3740="","",$K3740+(5002-ROW())/10000)</f>
        <v/>
      </c>
    </row>
    <row r="3741">
      <c r="K3741">
        <f>IF($A3741="","",SUM($E3741:$J3741))</f>
        <v/>
      </c>
      <c r="M3741">
        <f>IF($A3741="","",MAX(0,ROUNDUP(DASHBOARD!$F$3-$D3741,0)))</f>
        <v/>
      </c>
      <c r="N3741">
        <f>IF($A3741="","",$K3741+(5002-ROW())/10000)</f>
        <v/>
      </c>
    </row>
    <row r="3742">
      <c r="K3742">
        <f>IF($A3742="","",SUM($E3742:$J3742))</f>
        <v/>
      </c>
      <c r="M3742">
        <f>IF($A3742="","",MAX(0,ROUNDUP(DASHBOARD!$F$3-$D3742,0)))</f>
        <v/>
      </c>
      <c r="N3742">
        <f>IF($A3742="","",$K3742+(5002-ROW())/10000)</f>
        <v/>
      </c>
    </row>
    <row r="3743">
      <c r="K3743">
        <f>IF($A3743="","",SUM($E3743:$J3743))</f>
        <v/>
      </c>
      <c r="M3743">
        <f>IF($A3743="","",MAX(0,ROUNDUP(DASHBOARD!$F$3-$D3743,0)))</f>
        <v/>
      </c>
      <c r="N3743">
        <f>IF($A3743="","",$K3743+(5002-ROW())/10000)</f>
        <v/>
      </c>
    </row>
    <row r="3744">
      <c r="K3744">
        <f>IF($A3744="","",SUM($E3744:$J3744))</f>
        <v/>
      </c>
      <c r="M3744">
        <f>IF($A3744="","",MAX(0,ROUNDUP(DASHBOARD!$F$3-$D3744,0)))</f>
        <v/>
      </c>
      <c r="N3744">
        <f>IF($A3744="","",$K3744+(5002-ROW())/10000)</f>
        <v/>
      </c>
    </row>
    <row r="3745">
      <c r="K3745">
        <f>IF($A3745="","",SUM($E3745:$J3745))</f>
        <v/>
      </c>
      <c r="M3745">
        <f>IF($A3745="","",MAX(0,ROUNDUP(DASHBOARD!$F$3-$D3745,0)))</f>
        <v/>
      </c>
      <c r="N3745">
        <f>IF($A3745="","",$K3745+(5002-ROW())/10000)</f>
        <v/>
      </c>
    </row>
    <row r="3746">
      <c r="K3746">
        <f>IF($A3746="","",SUM($E3746:$J3746))</f>
        <v/>
      </c>
      <c r="M3746">
        <f>IF($A3746="","",MAX(0,ROUNDUP(DASHBOARD!$F$3-$D3746,0)))</f>
        <v/>
      </c>
      <c r="N3746">
        <f>IF($A3746="","",$K3746+(5002-ROW())/10000)</f>
        <v/>
      </c>
    </row>
    <row r="3747">
      <c r="K3747">
        <f>IF($A3747="","",SUM($E3747:$J3747))</f>
        <v/>
      </c>
      <c r="M3747">
        <f>IF($A3747="","",MAX(0,ROUNDUP(DASHBOARD!$F$3-$D3747,0)))</f>
        <v/>
      </c>
      <c r="N3747">
        <f>IF($A3747="","",$K3747+(5002-ROW())/10000)</f>
        <v/>
      </c>
    </row>
    <row r="3748">
      <c r="K3748">
        <f>IF($A3748="","",SUM($E3748:$J3748))</f>
        <v/>
      </c>
      <c r="M3748">
        <f>IF($A3748="","",MAX(0,ROUNDUP(DASHBOARD!$F$3-$D3748,0)))</f>
        <v/>
      </c>
      <c r="N3748">
        <f>IF($A3748="","",$K3748+(5002-ROW())/10000)</f>
        <v/>
      </c>
    </row>
    <row r="3749">
      <c r="K3749">
        <f>IF($A3749="","",SUM($E3749:$J3749))</f>
        <v/>
      </c>
      <c r="M3749">
        <f>IF($A3749="","",MAX(0,ROUNDUP(DASHBOARD!$F$3-$D3749,0)))</f>
        <v/>
      </c>
      <c r="N3749">
        <f>IF($A3749="","",$K3749+(5002-ROW())/10000)</f>
        <v/>
      </c>
    </row>
    <row r="3750">
      <c r="K3750">
        <f>IF($A3750="","",SUM($E3750:$J3750))</f>
        <v/>
      </c>
      <c r="M3750">
        <f>IF($A3750="","",MAX(0,ROUNDUP(DASHBOARD!$F$3-$D3750,0)))</f>
        <v/>
      </c>
      <c r="N3750">
        <f>IF($A3750="","",$K3750+(5002-ROW())/10000)</f>
        <v/>
      </c>
    </row>
    <row r="3751">
      <c r="K3751">
        <f>IF($A3751="","",SUM($E3751:$J3751))</f>
        <v/>
      </c>
      <c r="M3751">
        <f>IF($A3751="","",MAX(0,ROUNDUP(DASHBOARD!$F$3-$D3751,0)))</f>
        <v/>
      </c>
      <c r="N3751">
        <f>IF($A3751="","",$K3751+(5002-ROW())/10000)</f>
        <v/>
      </c>
    </row>
    <row r="3752">
      <c r="K3752">
        <f>IF($A3752="","",SUM($E3752:$J3752))</f>
        <v/>
      </c>
      <c r="M3752">
        <f>IF($A3752="","",MAX(0,ROUNDUP(DASHBOARD!$F$3-$D3752,0)))</f>
        <v/>
      </c>
      <c r="N3752">
        <f>IF($A3752="","",$K3752+(5002-ROW())/10000)</f>
        <v/>
      </c>
    </row>
    <row r="3753">
      <c r="K3753">
        <f>IF($A3753="","",SUM($E3753:$J3753))</f>
        <v/>
      </c>
      <c r="M3753">
        <f>IF($A3753="","",MAX(0,ROUNDUP(DASHBOARD!$F$3-$D3753,0)))</f>
        <v/>
      </c>
      <c r="N3753">
        <f>IF($A3753="","",$K3753+(5002-ROW())/10000)</f>
        <v/>
      </c>
    </row>
    <row r="3754">
      <c r="K3754">
        <f>IF($A3754="","",SUM($E3754:$J3754))</f>
        <v/>
      </c>
      <c r="M3754">
        <f>IF($A3754="","",MAX(0,ROUNDUP(DASHBOARD!$F$3-$D3754,0)))</f>
        <v/>
      </c>
      <c r="N3754">
        <f>IF($A3754="","",$K3754+(5002-ROW())/10000)</f>
        <v/>
      </c>
    </row>
    <row r="3755">
      <c r="K3755">
        <f>IF($A3755="","",SUM($E3755:$J3755))</f>
        <v/>
      </c>
      <c r="M3755">
        <f>IF($A3755="","",MAX(0,ROUNDUP(DASHBOARD!$F$3-$D3755,0)))</f>
        <v/>
      </c>
      <c r="N3755">
        <f>IF($A3755="","",$K3755+(5002-ROW())/10000)</f>
        <v/>
      </c>
    </row>
    <row r="3756">
      <c r="K3756">
        <f>IF($A3756="","",SUM($E3756:$J3756))</f>
        <v/>
      </c>
      <c r="M3756">
        <f>IF($A3756="","",MAX(0,ROUNDUP(DASHBOARD!$F$3-$D3756,0)))</f>
        <v/>
      </c>
      <c r="N3756">
        <f>IF($A3756="","",$K3756+(5002-ROW())/10000)</f>
        <v/>
      </c>
    </row>
    <row r="3757">
      <c r="K3757">
        <f>IF($A3757="","",SUM($E3757:$J3757))</f>
        <v/>
      </c>
      <c r="M3757">
        <f>IF($A3757="","",MAX(0,ROUNDUP(DASHBOARD!$F$3-$D3757,0)))</f>
        <v/>
      </c>
      <c r="N3757">
        <f>IF($A3757="","",$K3757+(5002-ROW())/10000)</f>
        <v/>
      </c>
    </row>
    <row r="3758">
      <c r="K3758">
        <f>IF($A3758="","",SUM($E3758:$J3758))</f>
        <v/>
      </c>
      <c r="M3758">
        <f>IF($A3758="","",MAX(0,ROUNDUP(DASHBOARD!$F$3-$D3758,0)))</f>
        <v/>
      </c>
      <c r="N3758">
        <f>IF($A3758="","",$K3758+(5002-ROW())/10000)</f>
        <v/>
      </c>
    </row>
    <row r="3759">
      <c r="K3759">
        <f>IF($A3759="","",SUM($E3759:$J3759))</f>
        <v/>
      </c>
      <c r="M3759">
        <f>IF($A3759="","",MAX(0,ROUNDUP(DASHBOARD!$F$3-$D3759,0)))</f>
        <v/>
      </c>
      <c r="N3759">
        <f>IF($A3759="","",$K3759+(5002-ROW())/10000)</f>
        <v/>
      </c>
    </row>
    <row r="3760">
      <c r="K3760">
        <f>IF($A3760="","",SUM($E3760:$J3760))</f>
        <v/>
      </c>
      <c r="M3760">
        <f>IF($A3760="","",MAX(0,ROUNDUP(DASHBOARD!$F$3-$D3760,0)))</f>
        <v/>
      </c>
      <c r="N3760">
        <f>IF($A3760="","",$K3760+(5002-ROW())/10000)</f>
        <v/>
      </c>
    </row>
    <row r="3761">
      <c r="K3761">
        <f>IF($A3761="","",SUM($E3761:$J3761))</f>
        <v/>
      </c>
      <c r="M3761">
        <f>IF($A3761="","",MAX(0,ROUNDUP(DASHBOARD!$F$3-$D3761,0)))</f>
        <v/>
      </c>
      <c r="N3761">
        <f>IF($A3761="","",$K3761+(5002-ROW())/10000)</f>
        <v/>
      </c>
    </row>
    <row r="3762">
      <c r="K3762">
        <f>IF($A3762="","",SUM($E3762:$J3762))</f>
        <v/>
      </c>
      <c r="M3762">
        <f>IF($A3762="","",MAX(0,ROUNDUP(DASHBOARD!$F$3-$D3762,0)))</f>
        <v/>
      </c>
      <c r="N3762">
        <f>IF($A3762="","",$K3762+(5002-ROW())/10000)</f>
        <v/>
      </c>
    </row>
    <row r="3763">
      <c r="K3763">
        <f>IF($A3763="","",SUM($E3763:$J3763))</f>
        <v/>
      </c>
      <c r="M3763">
        <f>IF($A3763="","",MAX(0,ROUNDUP(DASHBOARD!$F$3-$D3763,0)))</f>
        <v/>
      </c>
      <c r="N3763">
        <f>IF($A3763="","",$K3763+(5002-ROW())/10000)</f>
        <v/>
      </c>
    </row>
    <row r="3764">
      <c r="K3764">
        <f>IF($A3764="","",SUM($E3764:$J3764))</f>
        <v/>
      </c>
      <c r="M3764">
        <f>IF($A3764="","",MAX(0,ROUNDUP(DASHBOARD!$F$3-$D3764,0)))</f>
        <v/>
      </c>
      <c r="N3764">
        <f>IF($A3764="","",$K3764+(5002-ROW())/10000)</f>
        <v/>
      </c>
    </row>
    <row r="3765">
      <c r="K3765">
        <f>IF($A3765="","",SUM($E3765:$J3765))</f>
        <v/>
      </c>
      <c r="M3765">
        <f>IF($A3765="","",MAX(0,ROUNDUP(DASHBOARD!$F$3-$D3765,0)))</f>
        <v/>
      </c>
      <c r="N3765">
        <f>IF($A3765="","",$K3765+(5002-ROW())/10000)</f>
        <v/>
      </c>
    </row>
    <row r="3766">
      <c r="K3766">
        <f>IF($A3766="","",SUM($E3766:$J3766))</f>
        <v/>
      </c>
      <c r="M3766">
        <f>IF($A3766="","",MAX(0,ROUNDUP(DASHBOARD!$F$3-$D3766,0)))</f>
        <v/>
      </c>
      <c r="N3766">
        <f>IF($A3766="","",$K3766+(5002-ROW())/10000)</f>
        <v/>
      </c>
    </row>
    <row r="3767">
      <c r="K3767">
        <f>IF($A3767="","",SUM($E3767:$J3767))</f>
        <v/>
      </c>
      <c r="M3767">
        <f>IF($A3767="","",MAX(0,ROUNDUP(DASHBOARD!$F$3-$D3767,0)))</f>
        <v/>
      </c>
      <c r="N3767">
        <f>IF($A3767="","",$K3767+(5002-ROW())/10000)</f>
        <v/>
      </c>
    </row>
    <row r="3768">
      <c r="K3768">
        <f>IF($A3768="","",SUM($E3768:$J3768))</f>
        <v/>
      </c>
      <c r="M3768">
        <f>IF($A3768="","",MAX(0,ROUNDUP(DASHBOARD!$F$3-$D3768,0)))</f>
        <v/>
      </c>
      <c r="N3768">
        <f>IF($A3768="","",$K3768+(5002-ROW())/10000)</f>
        <v/>
      </c>
    </row>
    <row r="3769">
      <c r="K3769">
        <f>IF($A3769="","",SUM($E3769:$J3769))</f>
        <v/>
      </c>
      <c r="M3769">
        <f>IF($A3769="","",MAX(0,ROUNDUP(DASHBOARD!$F$3-$D3769,0)))</f>
        <v/>
      </c>
      <c r="N3769">
        <f>IF($A3769="","",$K3769+(5002-ROW())/10000)</f>
        <v/>
      </c>
    </row>
    <row r="3770">
      <c r="K3770">
        <f>IF($A3770="","",SUM($E3770:$J3770))</f>
        <v/>
      </c>
      <c r="M3770">
        <f>IF($A3770="","",MAX(0,ROUNDUP(DASHBOARD!$F$3-$D3770,0)))</f>
        <v/>
      </c>
      <c r="N3770">
        <f>IF($A3770="","",$K3770+(5002-ROW())/10000)</f>
        <v/>
      </c>
    </row>
    <row r="3771">
      <c r="K3771">
        <f>IF($A3771="","",SUM($E3771:$J3771))</f>
        <v/>
      </c>
      <c r="M3771">
        <f>IF($A3771="","",MAX(0,ROUNDUP(DASHBOARD!$F$3-$D3771,0)))</f>
        <v/>
      </c>
      <c r="N3771">
        <f>IF($A3771="","",$K3771+(5002-ROW())/10000)</f>
        <v/>
      </c>
    </row>
    <row r="3772">
      <c r="K3772">
        <f>IF($A3772="","",SUM($E3772:$J3772))</f>
        <v/>
      </c>
      <c r="M3772">
        <f>IF($A3772="","",MAX(0,ROUNDUP(DASHBOARD!$F$3-$D3772,0)))</f>
        <v/>
      </c>
      <c r="N3772">
        <f>IF($A3772="","",$K3772+(5002-ROW())/10000)</f>
        <v/>
      </c>
    </row>
    <row r="3773">
      <c r="K3773">
        <f>IF($A3773="","",SUM($E3773:$J3773))</f>
        <v/>
      </c>
      <c r="M3773">
        <f>IF($A3773="","",MAX(0,ROUNDUP(DASHBOARD!$F$3-$D3773,0)))</f>
        <v/>
      </c>
      <c r="N3773">
        <f>IF($A3773="","",$K3773+(5002-ROW())/10000)</f>
        <v/>
      </c>
    </row>
    <row r="3774">
      <c r="K3774">
        <f>IF($A3774="","",SUM($E3774:$J3774))</f>
        <v/>
      </c>
      <c r="M3774">
        <f>IF($A3774="","",MAX(0,ROUNDUP(DASHBOARD!$F$3-$D3774,0)))</f>
        <v/>
      </c>
      <c r="N3774">
        <f>IF($A3774="","",$K3774+(5002-ROW())/10000)</f>
        <v/>
      </c>
    </row>
    <row r="3775">
      <c r="K3775">
        <f>IF($A3775="","",SUM($E3775:$J3775))</f>
        <v/>
      </c>
      <c r="M3775">
        <f>IF($A3775="","",MAX(0,ROUNDUP(DASHBOARD!$F$3-$D3775,0)))</f>
        <v/>
      </c>
      <c r="N3775">
        <f>IF($A3775="","",$K3775+(5002-ROW())/10000)</f>
        <v/>
      </c>
    </row>
    <row r="3776">
      <c r="K3776">
        <f>IF($A3776="","",SUM($E3776:$J3776))</f>
        <v/>
      </c>
      <c r="M3776">
        <f>IF($A3776="","",MAX(0,ROUNDUP(DASHBOARD!$F$3-$D3776,0)))</f>
        <v/>
      </c>
      <c r="N3776">
        <f>IF($A3776="","",$K3776+(5002-ROW())/10000)</f>
        <v/>
      </c>
    </row>
    <row r="3777">
      <c r="K3777">
        <f>IF($A3777="","",SUM($E3777:$J3777))</f>
        <v/>
      </c>
      <c r="M3777">
        <f>IF($A3777="","",MAX(0,ROUNDUP(DASHBOARD!$F$3-$D3777,0)))</f>
        <v/>
      </c>
      <c r="N3777">
        <f>IF($A3777="","",$K3777+(5002-ROW())/10000)</f>
        <v/>
      </c>
    </row>
    <row r="3778">
      <c r="K3778">
        <f>IF($A3778="","",SUM($E3778:$J3778))</f>
        <v/>
      </c>
      <c r="M3778">
        <f>IF($A3778="","",MAX(0,ROUNDUP(DASHBOARD!$F$3-$D3778,0)))</f>
        <v/>
      </c>
      <c r="N3778">
        <f>IF($A3778="","",$K3778+(5002-ROW())/10000)</f>
        <v/>
      </c>
    </row>
    <row r="3779">
      <c r="K3779">
        <f>IF($A3779="","",SUM($E3779:$J3779))</f>
        <v/>
      </c>
      <c r="M3779">
        <f>IF($A3779="","",MAX(0,ROUNDUP(DASHBOARD!$F$3-$D3779,0)))</f>
        <v/>
      </c>
      <c r="N3779">
        <f>IF($A3779="","",$K3779+(5002-ROW())/10000)</f>
        <v/>
      </c>
    </row>
    <row r="3780">
      <c r="K3780">
        <f>IF($A3780="","",SUM($E3780:$J3780))</f>
        <v/>
      </c>
      <c r="M3780">
        <f>IF($A3780="","",MAX(0,ROUNDUP(DASHBOARD!$F$3-$D3780,0)))</f>
        <v/>
      </c>
      <c r="N3780">
        <f>IF($A3780="","",$K3780+(5002-ROW())/10000)</f>
        <v/>
      </c>
    </row>
    <row r="3781">
      <c r="K3781">
        <f>IF($A3781="","",SUM($E3781:$J3781))</f>
        <v/>
      </c>
      <c r="M3781">
        <f>IF($A3781="","",MAX(0,ROUNDUP(DASHBOARD!$F$3-$D3781,0)))</f>
        <v/>
      </c>
      <c r="N3781">
        <f>IF($A3781="","",$K3781+(5002-ROW())/10000)</f>
        <v/>
      </c>
    </row>
    <row r="3782">
      <c r="K3782">
        <f>IF($A3782="","",SUM($E3782:$J3782))</f>
        <v/>
      </c>
      <c r="M3782">
        <f>IF($A3782="","",MAX(0,ROUNDUP(DASHBOARD!$F$3-$D3782,0)))</f>
        <v/>
      </c>
      <c r="N3782">
        <f>IF($A3782="","",$K3782+(5002-ROW())/10000)</f>
        <v/>
      </c>
    </row>
    <row r="3783">
      <c r="K3783">
        <f>IF($A3783="","",SUM($E3783:$J3783))</f>
        <v/>
      </c>
      <c r="M3783">
        <f>IF($A3783="","",MAX(0,ROUNDUP(DASHBOARD!$F$3-$D3783,0)))</f>
        <v/>
      </c>
      <c r="N3783">
        <f>IF($A3783="","",$K3783+(5002-ROW())/10000)</f>
        <v/>
      </c>
    </row>
    <row r="3784">
      <c r="K3784">
        <f>IF($A3784="","",SUM($E3784:$J3784))</f>
        <v/>
      </c>
      <c r="M3784">
        <f>IF($A3784="","",MAX(0,ROUNDUP(DASHBOARD!$F$3-$D3784,0)))</f>
        <v/>
      </c>
      <c r="N3784">
        <f>IF($A3784="","",$K3784+(5002-ROW())/10000)</f>
        <v/>
      </c>
    </row>
    <row r="3785">
      <c r="K3785">
        <f>IF($A3785="","",SUM($E3785:$J3785))</f>
        <v/>
      </c>
      <c r="M3785">
        <f>IF($A3785="","",MAX(0,ROUNDUP(DASHBOARD!$F$3-$D3785,0)))</f>
        <v/>
      </c>
      <c r="N3785">
        <f>IF($A3785="","",$K3785+(5002-ROW())/10000)</f>
        <v/>
      </c>
    </row>
    <row r="3786">
      <c r="K3786">
        <f>IF($A3786="","",SUM($E3786:$J3786))</f>
        <v/>
      </c>
      <c r="M3786">
        <f>IF($A3786="","",MAX(0,ROUNDUP(DASHBOARD!$F$3-$D3786,0)))</f>
        <v/>
      </c>
      <c r="N3786">
        <f>IF($A3786="","",$K3786+(5002-ROW())/10000)</f>
        <v/>
      </c>
    </row>
    <row r="3787">
      <c r="K3787">
        <f>IF($A3787="","",SUM($E3787:$J3787))</f>
        <v/>
      </c>
      <c r="M3787">
        <f>IF($A3787="","",MAX(0,ROUNDUP(DASHBOARD!$F$3-$D3787,0)))</f>
        <v/>
      </c>
      <c r="N3787">
        <f>IF($A3787="","",$K3787+(5002-ROW())/10000)</f>
        <v/>
      </c>
    </row>
    <row r="3788">
      <c r="K3788">
        <f>IF($A3788="","",SUM($E3788:$J3788))</f>
        <v/>
      </c>
      <c r="M3788">
        <f>IF($A3788="","",MAX(0,ROUNDUP(DASHBOARD!$F$3-$D3788,0)))</f>
        <v/>
      </c>
      <c r="N3788">
        <f>IF($A3788="","",$K3788+(5002-ROW())/10000)</f>
        <v/>
      </c>
    </row>
    <row r="3789">
      <c r="K3789">
        <f>IF($A3789="","",SUM($E3789:$J3789))</f>
        <v/>
      </c>
      <c r="M3789">
        <f>IF($A3789="","",MAX(0,ROUNDUP(DASHBOARD!$F$3-$D3789,0)))</f>
        <v/>
      </c>
      <c r="N3789">
        <f>IF($A3789="","",$K3789+(5002-ROW())/10000)</f>
        <v/>
      </c>
    </row>
    <row r="3790">
      <c r="K3790">
        <f>IF($A3790="","",SUM($E3790:$J3790))</f>
        <v/>
      </c>
      <c r="M3790">
        <f>IF($A3790="","",MAX(0,ROUNDUP(DASHBOARD!$F$3-$D3790,0)))</f>
        <v/>
      </c>
      <c r="N3790">
        <f>IF($A3790="","",$K3790+(5002-ROW())/10000)</f>
        <v/>
      </c>
    </row>
    <row r="3791">
      <c r="K3791">
        <f>IF($A3791="","",SUM($E3791:$J3791))</f>
        <v/>
      </c>
      <c r="M3791">
        <f>IF($A3791="","",MAX(0,ROUNDUP(DASHBOARD!$F$3-$D3791,0)))</f>
        <v/>
      </c>
      <c r="N3791">
        <f>IF($A3791="","",$K3791+(5002-ROW())/10000)</f>
        <v/>
      </c>
    </row>
    <row r="3792">
      <c r="K3792">
        <f>IF($A3792="","",SUM($E3792:$J3792))</f>
        <v/>
      </c>
      <c r="M3792">
        <f>IF($A3792="","",MAX(0,ROUNDUP(DASHBOARD!$F$3-$D3792,0)))</f>
        <v/>
      </c>
      <c r="N3792">
        <f>IF($A3792="","",$K3792+(5002-ROW())/10000)</f>
        <v/>
      </c>
    </row>
    <row r="3793">
      <c r="K3793">
        <f>IF($A3793="","",SUM($E3793:$J3793))</f>
        <v/>
      </c>
      <c r="M3793">
        <f>IF($A3793="","",MAX(0,ROUNDUP(DASHBOARD!$F$3-$D3793,0)))</f>
        <v/>
      </c>
      <c r="N3793">
        <f>IF($A3793="","",$K3793+(5002-ROW())/10000)</f>
        <v/>
      </c>
    </row>
    <row r="3794">
      <c r="K3794">
        <f>IF($A3794="","",SUM($E3794:$J3794))</f>
        <v/>
      </c>
      <c r="M3794">
        <f>IF($A3794="","",MAX(0,ROUNDUP(DASHBOARD!$F$3-$D3794,0)))</f>
        <v/>
      </c>
      <c r="N3794">
        <f>IF($A3794="","",$K3794+(5002-ROW())/10000)</f>
        <v/>
      </c>
    </row>
    <row r="3795">
      <c r="K3795">
        <f>IF($A3795="","",SUM($E3795:$J3795))</f>
        <v/>
      </c>
      <c r="M3795">
        <f>IF($A3795="","",MAX(0,ROUNDUP(DASHBOARD!$F$3-$D3795,0)))</f>
        <v/>
      </c>
      <c r="N3795">
        <f>IF($A3795="","",$K3795+(5002-ROW())/10000)</f>
        <v/>
      </c>
    </row>
    <row r="3796">
      <c r="K3796">
        <f>IF($A3796="","",SUM($E3796:$J3796))</f>
        <v/>
      </c>
      <c r="M3796">
        <f>IF($A3796="","",MAX(0,ROUNDUP(DASHBOARD!$F$3-$D3796,0)))</f>
        <v/>
      </c>
      <c r="N3796">
        <f>IF($A3796="","",$K3796+(5002-ROW())/10000)</f>
        <v/>
      </c>
    </row>
    <row r="3797">
      <c r="K3797">
        <f>IF($A3797="","",SUM($E3797:$J3797))</f>
        <v/>
      </c>
      <c r="M3797">
        <f>IF($A3797="","",MAX(0,ROUNDUP(DASHBOARD!$F$3-$D3797,0)))</f>
        <v/>
      </c>
      <c r="N3797">
        <f>IF($A3797="","",$K3797+(5002-ROW())/10000)</f>
        <v/>
      </c>
    </row>
    <row r="3798">
      <c r="K3798">
        <f>IF($A3798="","",SUM($E3798:$J3798))</f>
        <v/>
      </c>
      <c r="M3798">
        <f>IF($A3798="","",MAX(0,ROUNDUP(DASHBOARD!$F$3-$D3798,0)))</f>
        <v/>
      </c>
      <c r="N3798">
        <f>IF($A3798="","",$K3798+(5002-ROW())/10000)</f>
        <v/>
      </c>
    </row>
    <row r="3799">
      <c r="K3799">
        <f>IF($A3799="","",SUM($E3799:$J3799))</f>
        <v/>
      </c>
      <c r="M3799">
        <f>IF($A3799="","",MAX(0,ROUNDUP(DASHBOARD!$F$3-$D3799,0)))</f>
        <v/>
      </c>
      <c r="N3799">
        <f>IF($A3799="","",$K3799+(5002-ROW())/10000)</f>
        <v/>
      </c>
    </row>
    <row r="3800">
      <c r="K3800">
        <f>IF($A3800="","",SUM($E3800:$J3800))</f>
        <v/>
      </c>
      <c r="M3800">
        <f>IF($A3800="","",MAX(0,ROUNDUP(DASHBOARD!$F$3-$D3800,0)))</f>
        <v/>
      </c>
      <c r="N3800">
        <f>IF($A3800="","",$K3800+(5002-ROW())/10000)</f>
        <v/>
      </c>
    </row>
    <row r="3801">
      <c r="K3801">
        <f>IF($A3801="","",SUM($E3801:$J3801))</f>
        <v/>
      </c>
      <c r="M3801">
        <f>IF($A3801="","",MAX(0,ROUNDUP(DASHBOARD!$F$3-$D3801,0)))</f>
        <v/>
      </c>
      <c r="N3801">
        <f>IF($A3801="","",$K3801+(5002-ROW())/10000)</f>
        <v/>
      </c>
    </row>
    <row r="3802">
      <c r="K3802">
        <f>IF($A3802="","",SUM($E3802:$J3802))</f>
        <v/>
      </c>
      <c r="M3802">
        <f>IF($A3802="","",MAX(0,ROUNDUP(DASHBOARD!$F$3-$D3802,0)))</f>
        <v/>
      </c>
      <c r="N3802">
        <f>IF($A3802="","",$K3802+(5002-ROW())/10000)</f>
        <v/>
      </c>
    </row>
    <row r="3803">
      <c r="K3803">
        <f>IF($A3803="","",SUM($E3803:$J3803))</f>
        <v/>
      </c>
      <c r="M3803">
        <f>IF($A3803="","",MAX(0,ROUNDUP(DASHBOARD!$F$3-$D3803,0)))</f>
        <v/>
      </c>
      <c r="N3803">
        <f>IF($A3803="","",$K3803+(5002-ROW())/10000)</f>
        <v/>
      </c>
    </row>
    <row r="3804">
      <c r="K3804">
        <f>IF($A3804="","",SUM($E3804:$J3804))</f>
        <v/>
      </c>
      <c r="M3804">
        <f>IF($A3804="","",MAX(0,ROUNDUP(DASHBOARD!$F$3-$D3804,0)))</f>
        <v/>
      </c>
      <c r="N3804">
        <f>IF($A3804="","",$K3804+(5002-ROW())/10000)</f>
        <v/>
      </c>
    </row>
    <row r="3805">
      <c r="K3805">
        <f>IF($A3805="","",SUM($E3805:$J3805))</f>
        <v/>
      </c>
      <c r="M3805">
        <f>IF($A3805="","",MAX(0,ROUNDUP(DASHBOARD!$F$3-$D3805,0)))</f>
        <v/>
      </c>
      <c r="N3805">
        <f>IF($A3805="","",$K3805+(5002-ROW())/10000)</f>
        <v/>
      </c>
    </row>
    <row r="3806">
      <c r="K3806">
        <f>IF($A3806="","",SUM($E3806:$J3806))</f>
        <v/>
      </c>
      <c r="M3806">
        <f>IF($A3806="","",MAX(0,ROUNDUP(DASHBOARD!$F$3-$D3806,0)))</f>
        <v/>
      </c>
      <c r="N3806">
        <f>IF($A3806="","",$K3806+(5002-ROW())/10000)</f>
        <v/>
      </c>
    </row>
    <row r="3807">
      <c r="K3807">
        <f>IF($A3807="","",SUM($E3807:$J3807))</f>
        <v/>
      </c>
      <c r="M3807">
        <f>IF($A3807="","",MAX(0,ROUNDUP(DASHBOARD!$F$3-$D3807,0)))</f>
        <v/>
      </c>
      <c r="N3807">
        <f>IF($A3807="","",$K3807+(5002-ROW())/10000)</f>
        <v/>
      </c>
    </row>
    <row r="3808">
      <c r="K3808">
        <f>IF($A3808="","",SUM($E3808:$J3808))</f>
        <v/>
      </c>
      <c r="M3808">
        <f>IF($A3808="","",MAX(0,ROUNDUP(DASHBOARD!$F$3-$D3808,0)))</f>
        <v/>
      </c>
      <c r="N3808">
        <f>IF($A3808="","",$K3808+(5002-ROW())/10000)</f>
        <v/>
      </c>
    </row>
    <row r="3809">
      <c r="K3809">
        <f>IF($A3809="","",SUM($E3809:$J3809))</f>
        <v/>
      </c>
      <c r="M3809">
        <f>IF($A3809="","",MAX(0,ROUNDUP(DASHBOARD!$F$3-$D3809,0)))</f>
        <v/>
      </c>
      <c r="N3809">
        <f>IF($A3809="","",$K3809+(5002-ROW())/10000)</f>
        <v/>
      </c>
    </row>
    <row r="3810">
      <c r="K3810">
        <f>IF($A3810="","",SUM($E3810:$J3810))</f>
        <v/>
      </c>
      <c r="M3810">
        <f>IF($A3810="","",MAX(0,ROUNDUP(DASHBOARD!$F$3-$D3810,0)))</f>
        <v/>
      </c>
      <c r="N3810">
        <f>IF($A3810="","",$K3810+(5002-ROW())/10000)</f>
        <v/>
      </c>
    </row>
    <row r="3811">
      <c r="K3811">
        <f>IF($A3811="","",SUM($E3811:$J3811))</f>
        <v/>
      </c>
      <c r="M3811">
        <f>IF($A3811="","",MAX(0,ROUNDUP(DASHBOARD!$F$3-$D3811,0)))</f>
        <v/>
      </c>
      <c r="N3811">
        <f>IF($A3811="","",$K3811+(5002-ROW())/10000)</f>
        <v/>
      </c>
    </row>
    <row r="3812">
      <c r="K3812">
        <f>IF($A3812="","",SUM($E3812:$J3812))</f>
        <v/>
      </c>
      <c r="M3812">
        <f>IF($A3812="","",MAX(0,ROUNDUP(DASHBOARD!$F$3-$D3812,0)))</f>
        <v/>
      </c>
      <c r="N3812">
        <f>IF($A3812="","",$K3812+(5002-ROW())/10000)</f>
        <v/>
      </c>
    </row>
    <row r="3813">
      <c r="K3813">
        <f>IF($A3813="","",SUM($E3813:$J3813))</f>
        <v/>
      </c>
      <c r="M3813">
        <f>IF($A3813="","",MAX(0,ROUNDUP(DASHBOARD!$F$3-$D3813,0)))</f>
        <v/>
      </c>
      <c r="N3813">
        <f>IF($A3813="","",$K3813+(5002-ROW())/10000)</f>
        <v/>
      </c>
    </row>
    <row r="3814">
      <c r="K3814">
        <f>IF($A3814="","",SUM($E3814:$J3814))</f>
        <v/>
      </c>
      <c r="M3814">
        <f>IF($A3814="","",MAX(0,ROUNDUP(DASHBOARD!$F$3-$D3814,0)))</f>
        <v/>
      </c>
      <c r="N3814">
        <f>IF($A3814="","",$K3814+(5002-ROW())/10000)</f>
        <v/>
      </c>
    </row>
    <row r="3815">
      <c r="K3815">
        <f>IF($A3815="","",SUM($E3815:$J3815))</f>
        <v/>
      </c>
      <c r="M3815">
        <f>IF($A3815="","",MAX(0,ROUNDUP(DASHBOARD!$F$3-$D3815,0)))</f>
        <v/>
      </c>
      <c r="N3815">
        <f>IF($A3815="","",$K3815+(5002-ROW())/10000)</f>
        <v/>
      </c>
    </row>
    <row r="3816">
      <c r="K3816">
        <f>IF($A3816="","",SUM($E3816:$J3816))</f>
        <v/>
      </c>
      <c r="M3816">
        <f>IF($A3816="","",MAX(0,ROUNDUP(DASHBOARD!$F$3-$D3816,0)))</f>
        <v/>
      </c>
      <c r="N3816">
        <f>IF($A3816="","",$K3816+(5002-ROW())/10000)</f>
        <v/>
      </c>
    </row>
    <row r="3817">
      <c r="K3817">
        <f>IF($A3817="","",SUM($E3817:$J3817))</f>
        <v/>
      </c>
      <c r="M3817">
        <f>IF($A3817="","",MAX(0,ROUNDUP(DASHBOARD!$F$3-$D3817,0)))</f>
        <v/>
      </c>
      <c r="N3817">
        <f>IF($A3817="","",$K3817+(5002-ROW())/10000)</f>
        <v/>
      </c>
    </row>
    <row r="3818">
      <c r="K3818">
        <f>IF($A3818="","",SUM($E3818:$J3818))</f>
        <v/>
      </c>
      <c r="M3818">
        <f>IF($A3818="","",MAX(0,ROUNDUP(DASHBOARD!$F$3-$D3818,0)))</f>
        <v/>
      </c>
      <c r="N3818">
        <f>IF($A3818="","",$K3818+(5002-ROW())/10000)</f>
        <v/>
      </c>
    </row>
    <row r="3819">
      <c r="K3819">
        <f>IF($A3819="","",SUM($E3819:$J3819))</f>
        <v/>
      </c>
      <c r="M3819">
        <f>IF($A3819="","",MAX(0,ROUNDUP(DASHBOARD!$F$3-$D3819,0)))</f>
        <v/>
      </c>
      <c r="N3819">
        <f>IF($A3819="","",$K3819+(5002-ROW())/10000)</f>
        <v/>
      </c>
    </row>
    <row r="3820">
      <c r="K3820">
        <f>IF($A3820="","",SUM($E3820:$J3820))</f>
        <v/>
      </c>
      <c r="M3820">
        <f>IF($A3820="","",MAX(0,ROUNDUP(DASHBOARD!$F$3-$D3820,0)))</f>
        <v/>
      </c>
      <c r="N3820">
        <f>IF($A3820="","",$K3820+(5002-ROW())/10000)</f>
        <v/>
      </c>
    </row>
    <row r="3821">
      <c r="K3821">
        <f>IF($A3821="","",SUM($E3821:$J3821))</f>
        <v/>
      </c>
      <c r="M3821">
        <f>IF($A3821="","",MAX(0,ROUNDUP(DASHBOARD!$F$3-$D3821,0)))</f>
        <v/>
      </c>
      <c r="N3821">
        <f>IF($A3821="","",$K3821+(5002-ROW())/10000)</f>
        <v/>
      </c>
    </row>
    <row r="3822">
      <c r="K3822">
        <f>IF($A3822="","",SUM($E3822:$J3822))</f>
        <v/>
      </c>
      <c r="M3822">
        <f>IF($A3822="","",MAX(0,ROUNDUP(DASHBOARD!$F$3-$D3822,0)))</f>
        <v/>
      </c>
      <c r="N3822">
        <f>IF($A3822="","",$K3822+(5002-ROW())/10000)</f>
        <v/>
      </c>
    </row>
    <row r="3823">
      <c r="K3823">
        <f>IF($A3823="","",SUM($E3823:$J3823))</f>
        <v/>
      </c>
      <c r="M3823">
        <f>IF($A3823="","",MAX(0,ROUNDUP(DASHBOARD!$F$3-$D3823,0)))</f>
        <v/>
      </c>
      <c r="N3823">
        <f>IF($A3823="","",$K3823+(5002-ROW())/10000)</f>
        <v/>
      </c>
    </row>
    <row r="3824">
      <c r="K3824">
        <f>IF($A3824="","",SUM($E3824:$J3824))</f>
        <v/>
      </c>
      <c r="M3824">
        <f>IF($A3824="","",MAX(0,ROUNDUP(DASHBOARD!$F$3-$D3824,0)))</f>
        <v/>
      </c>
      <c r="N3824">
        <f>IF($A3824="","",$K3824+(5002-ROW())/10000)</f>
        <v/>
      </c>
    </row>
    <row r="3825">
      <c r="K3825">
        <f>IF($A3825="","",SUM($E3825:$J3825))</f>
        <v/>
      </c>
      <c r="M3825">
        <f>IF($A3825="","",MAX(0,ROUNDUP(DASHBOARD!$F$3-$D3825,0)))</f>
        <v/>
      </c>
      <c r="N3825">
        <f>IF($A3825="","",$K3825+(5002-ROW())/10000)</f>
        <v/>
      </c>
    </row>
    <row r="3826">
      <c r="K3826">
        <f>IF($A3826="","",SUM($E3826:$J3826))</f>
        <v/>
      </c>
      <c r="M3826">
        <f>IF($A3826="","",MAX(0,ROUNDUP(DASHBOARD!$F$3-$D3826,0)))</f>
        <v/>
      </c>
      <c r="N3826">
        <f>IF($A3826="","",$K3826+(5002-ROW())/10000)</f>
        <v/>
      </c>
    </row>
    <row r="3827">
      <c r="K3827">
        <f>IF($A3827="","",SUM($E3827:$J3827))</f>
        <v/>
      </c>
      <c r="M3827">
        <f>IF($A3827="","",MAX(0,ROUNDUP(DASHBOARD!$F$3-$D3827,0)))</f>
        <v/>
      </c>
      <c r="N3827">
        <f>IF($A3827="","",$K3827+(5002-ROW())/10000)</f>
        <v/>
      </c>
    </row>
    <row r="3828">
      <c r="K3828">
        <f>IF($A3828="","",SUM($E3828:$J3828))</f>
        <v/>
      </c>
      <c r="M3828">
        <f>IF($A3828="","",MAX(0,ROUNDUP(DASHBOARD!$F$3-$D3828,0)))</f>
        <v/>
      </c>
      <c r="N3828">
        <f>IF($A3828="","",$K3828+(5002-ROW())/10000)</f>
        <v/>
      </c>
    </row>
    <row r="3829">
      <c r="K3829">
        <f>IF($A3829="","",SUM($E3829:$J3829))</f>
        <v/>
      </c>
      <c r="M3829">
        <f>IF($A3829="","",MAX(0,ROUNDUP(DASHBOARD!$F$3-$D3829,0)))</f>
        <v/>
      </c>
      <c r="N3829">
        <f>IF($A3829="","",$K3829+(5002-ROW())/10000)</f>
        <v/>
      </c>
    </row>
    <row r="3830">
      <c r="K3830">
        <f>IF($A3830="","",SUM($E3830:$J3830))</f>
        <v/>
      </c>
      <c r="M3830">
        <f>IF($A3830="","",MAX(0,ROUNDUP(DASHBOARD!$F$3-$D3830,0)))</f>
        <v/>
      </c>
      <c r="N3830">
        <f>IF($A3830="","",$K3830+(5002-ROW())/10000)</f>
        <v/>
      </c>
    </row>
    <row r="3831">
      <c r="K3831">
        <f>IF($A3831="","",SUM($E3831:$J3831))</f>
        <v/>
      </c>
      <c r="M3831">
        <f>IF($A3831="","",MAX(0,ROUNDUP(DASHBOARD!$F$3-$D3831,0)))</f>
        <v/>
      </c>
      <c r="N3831">
        <f>IF($A3831="","",$K3831+(5002-ROW())/10000)</f>
        <v/>
      </c>
    </row>
    <row r="3832">
      <c r="K3832">
        <f>IF($A3832="","",SUM($E3832:$J3832))</f>
        <v/>
      </c>
      <c r="M3832">
        <f>IF($A3832="","",MAX(0,ROUNDUP(DASHBOARD!$F$3-$D3832,0)))</f>
        <v/>
      </c>
      <c r="N3832">
        <f>IF($A3832="","",$K3832+(5002-ROW())/10000)</f>
        <v/>
      </c>
    </row>
    <row r="3833">
      <c r="K3833">
        <f>IF($A3833="","",SUM($E3833:$J3833))</f>
        <v/>
      </c>
      <c r="M3833">
        <f>IF($A3833="","",MAX(0,ROUNDUP(DASHBOARD!$F$3-$D3833,0)))</f>
        <v/>
      </c>
      <c r="N3833">
        <f>IF($A3833="","",$K3833+(5002-ROW())/10000)</f>
        <v/>
      </c>
    </row>
    <row r="3834">
      <c r="K3834">
        <f>IF($A3834="","",SUM($E3834:$J3834))</f>
        <v/>
      </c>
      <c r="M3834">
        <f>IF($A3834="","",MAX(0,ROUNDUP(DASHBOARD!$F$3-$D3834,0)))</f>
        <v/>
      </c>
      <c r="N3834">
        <f>IF($A3834="","",$K3834+(5002-ROW())/10000)</f>
        <v/>
      </c>
    </row>
    <row r="3835">
      <c r="K3835">
        <f>IF($A3835="","",SUM($E3835:$J3835))</f>
        <v/>
      </c>
      <c r="M3835">
        <f>IF($A3835="","",MAX(0,ROUNDUP(DASHBOARD!$F$3-$D3835,0)))</f>
        <v/>
      </c>
      <c r="N3835">
        <f>IF($A3835="","",$K3835+(5002-ROW())/10000)</f>
        <v/>
      </c>
    </row>
    <row r="3836">
      <c r="K3836">
        <f>IF($A3836="","",SUM($E3836:$J3836))</f>
        <v/>
      </c>
      <c r="M3836">
        <f>IF($A3836="","",MAX(0,ROUNDUP(DASHBOARD!$F$3-$D3836,0)))</f>
        <v/>
      </c>
      <c r="N3836">
        <f>IF($A3836="","",$K3836+(5002-ROW())/10000)</f>
        <v/>
      </c>
    </row>
    <row r="3837">
      <c r="K3837">
        <f>IF($A3837="","",SUM($E3837:$J3837))</f>
        <v/>
      </c>
      <c r="M3837">
        <f>IF($A3837="","",MAX(0,ROUNDUP(DASHBOARD!$F$3-$D3837,0)))</f>
        <v/>
      </c>
      <c r="N3837">
        <f>IF($A3837="","",$K3837+(5002-ROW())/10000)</f>
        <v/>
      </c>
    </row>
    <row r="3838">
      <c r="K3838">
        <f>IF($A3838="","",SUM($E3838:$J3838))</f>
        <v/>
      </c>
      <c r="M3838">
        <f>IF($A3838="","",MAX(0,ROUNDUP(DASHBOARD!$F$3-$D3838,0)))</f>
        <v/>
      </c>
      <c r="N3838">
        <f>IF($A3838="","",$K3838+(5002-ROW())/10000)</f>
        <v/>
      </c>
    </row>
    <row r="3839">
      <c r="K3839">
        <f>IF($A3839="","",SUM($E3839:$J3839))</f>
        <v/>
      </c>
      <c r="M3839">
        <f>IF($A3839="","",MAX(0,ROUNDUP(DASHBOARD!$F$3-$D3839,0)))</f>
        <v/>
      </c>
      <c r="N3839">
        <f>IF($A3839="","",$K3839+(5002-ROW())/10000)</f>
        <v/>
      </c>
    </row>
    <row r="3840">
      <c r="K3840">
        <f>IF($A3840="","",SUM($E3840:$J3840))</f>
        <v/>
      </c>
      <c r="M3840">
        <f>IF($A3840="","",MAX(0,ROUNDUP(DASHBOARD!$F$3-$D3840,0)))</f>
        <v/>
      </c>
      <c r="N3840">
        <f>IF($A3840="","",$K3840+(5002-ROW())/10000)</f>
        <v/>
      </c>
    </row>
    <row r="3841">
      <c r="K3841">
        <f>IF($A3841="","",SUM($E3841:$J3841))</f>
        <v/>
      </c>
      <c r="M3841">
        <f>IF($A3841="","",MAX(0,ROUNDUP(DASHBOARD!$F$3-$D3841,0)))</f>
        <v/>
      </c>
      <c r="N3841">
        <f>IF($A3841="","",$K3841+(5002-ROW())/10000)</f>
        <v/>
      </c>
    </row>
    <row r="3842">
      <c r="K3842">
        <f>IF($A3842="","",SUM($E3842:$J3842))</f>
        <v/>
      </c>
      <c r="M3842">
        <f>IF($A3842="","",MAX(0,ROUNDUP(DASHBOARD!$F$3-$D3842,0)))</f>
        <v/>
      </c>
      <c r="N3842">
        <f>IF($A3842="","",$K3842+(5002-ROW())/10000)</f>
        <v/>
      </c>
    </row>
    <row r="3843">
      <c r="K3843">
        <f>IF($A3843="","",SUM($E3843:$J3843))</f>
        <v/>
      </c>
      <c r="M3843">
        <f>IF($A3843="","",MAX(0,ROUNDUP(DASHBOARD!$F$3-$D3843,0)))</f>
        <v/>
      </c>
      <c r="N3843">
        <f>IF($A3843="","",$K3843+(5002-ROW())/10000)</f>
        <v/>
      </c>
    </row>
    <row r="3844">
      <c r="K3844">
        <f>IF($A3844="","",SUM($E3844:$J3844))</f>
        <v/>
      </c>
      <c r="M3844">
        <f>IF($A3844="","",MAX(0,ROUNDUP(DASHBOARD!$F$3-$D3844,0)))</f>
        <v/>
      </c>
      <c r="N3844">
        <f>IF($A3844="","",$K3844+(5002-ROW())/10000)</f>
        <v/>
      </c>
    </row>
    <row r="3845">
      <c r="K3845">
        <f>IF($A3845="","",SUM($E3845:$J3845))</f>
        <v/>
      </c>
      <c r="M3845">
        <f>IF($A3845="","",MAX(0,ROUNDUP(DASHBOARD!$F$3-$D3845,0)))</f>
        <v/>
      </c>
      <c r="N3845">
        <f>IF($A3845="","",$K3845+(5002-ROW())/10000)</f>
        <v/>
      </c>
    </row>
    <row r="3846">
      <c r="K3846">
        <f>IF($A3846="","",SUM($E3846:$J3846))</f>
        <v/>
      </c>
      <c r="M3846">
        <f>IF($A3846="","",MAX(0,ROUNDUP(DASHBOARD!$F$3-$D3846,0)))</f>
        <v/>
      </c>
      <c r="N3846">
        <f>IF($A3846="","",$K3846+(5002-ROW())/10000)</f>
        <v/>
      </c>
    </row>
    <row r="3847">
      <c r="K3847">
        <f>IF($A3847="","",SUM($E3847:$J3847))</f>
        <v/>
      </c>
      <c r="M3847">
        <f>IF($A3847="","",MAX(0,ROUNDUP(DASHBOARD!$F$3-$D3847,0)))</f>
        <v/>
      </c>
      <c r="N3847">
        <f>IF($A3847="","",$K3847+(5002-ROW())/10000)</f>
        <v/>
      </c>
    </row>
    <row r="3848">
      <c r="K3848">
        <f>IF($A3848="","",SUM($E3848:$J3848))</f>
        <v/>
      </c>
      <c r="M3848">
        <f>IF($A3848="","",MAX(0,ROUNDUP(DASHBOARD!$F$3-$D3848,0)))</f>
        <v/>
      </c>
      <c r="N3848">
        <f>IF($A3848="","",$K3848+(5002-ROW())/10000)</f>
        <v/>
      </c>
    </row>
    <row r="3849">
      <c r="K3849">
        <f>IF($A3849="","",SUM($E3849:$J3849))</f>
        <v/>
      </c>
      <c r="M3849">
        <f>IF($A3849="","",MAX(0,ROUNDUP(DASHBOARD!$F$3-$D3849,0)))</f>
        <v/>
      </c>
      <c r="N3849">
        <f>IF($A3849="","",$K3849+(5002-ROW())/10000)</f>
        <v/>
      </c>
    </row>
    <row r="3850">
      <c r="K3850">
        <f>IF($A3850="","",SUM($E3850:$J3850))</f>
        <v/>
      </c>
      <c r="M3850">
        <f>IF($A3850="","",MAX(0,ROUNDUP(DASHBOARD!$F$3-$D3850,0)))</f>
        <v/>
      </c>
      <c r="N3850">
        <f>IF($A3850="","",$K3850+(5002-ROW())/10000)</f>
        <v/>
      </c>
    </row>
    <row r="3851">
      <c r="K3851">
        <f>IF($A3851="","",SUM($E3851:$J3851))</f>
        <v/>
      </c>
      <c r="M3851">
        <f>IF($A3851="","",MAX(0,ROUNDUP(DASHBOARD!$F$3-$D3851,0)))</f>
        <v/>
      </c>
      <c r="N3851">
        <f>IF($A3851="","",$K3851+(5002-ROW())/10000)</f>
        <v/>
      </c>
    </row>
    <row r="3852">
      <c r="K3852">
        <f>IF($A3852="","",SUM($E3852:$J3852))</f>
        <v/>
      </c>
      <c r="M3852">
        <f>IF($A3852="","",MAX(0,ROUNDUP(DASHBOARD!$F$3-$D3852,0)))</f>
        <v/>
      </c>
      <c r="N3852">
        <f>IF($A3852="","",$K3852+(5002-ROW())/10000)</f>
        <v/>
      </c>
    </row>
    <row r="3853">
      <c r="K3853">
        <f>IF($A3853="","",SUM($E3853:$J3853))</f>
        <v/>
      </c>
      <c r="M3853">
        <f>IF($A3853="","",MAX(0,ROUNDUP(DASHBOARD!$F$3-$D3853,0)))</f>
        <v/>
      </c>
      <c r="N3853">
        <f>IF($A3853="","",$K3853+(5002-ROW())/10000)</f>
        <v/>
      </c>
    </row>
    <row r="3854">
      <c r="K3854">
        <f>IF($A3854="","",SUM($E3854:$J3854))</f>
        <v/>
      </c>
      <c r="M3854">
        <f>IF($A3854="","",MAX(0,ROUNDUP(DASHBOARD!$F$3-$D3854,0)))</f>
        <v/>
      </c>
      <c r="N3854">
        <f>IF($A3854="","",$K3854+(5002-ROW())/10000)</f>
        <v/>
      </c>
    </row>
    <row r="3855">
      <c r="K3855">
        <f>IF($A3855="","",SUM($E3855:$J3855))</f>
        <v/>
      </c>
      <c r="M3855">
        <f>IF($A3855="","",MAX(0,ROUNDUP(DASHBOARD!$F$3-$D3855,0)))</f>
        <v/>
      </c>
      <c r="N3855">
        <f>IF($A3855="","",$K3855+(5002-ROW())/10000)</f>
        <v/>
      </c>
    </row>
    <row r="3856">
      <c r="K3856">
        <f>IF($A3856="","",SUM($E3856:$J3856))</f>
        <v/>
      </c>
      <c r="M3856">
        <f>IF($A3856="","",MAX(0,ROUNDUP(DASHBOARD!$F$3-$D3856,0)))</f>
        <v/>
      </c>
      <c r="N3856">
        <f>IF($A3856="","",$K3856+(5002-ROW())/10000)</f>
        <v/>
      </c>
    </row>
    <row r="3857">
      <c r="K3857">
        <f>IF($A3857="","",SUM($E3857:$J3857))</f>
        <v/>
      </c>
      <c r="M3857">
        <f>IF($A3857="","",MAX(0,ROUNDUP(DASHBOARD!$F$3-$D3857,0)))</f>
        <v/>
      </c>
      <c r="N3857">
        <f>IF($A3857="","",$K3857+(5002-ROW())/10000)</f>
        <v/>
      </c>
    </row>
    <row r="3858">
      <c r="K3858">
        <f>IF($A3858="","",SUM($E3858:$J3858))</f>
        <v/>
      </c>
      <c r="M3858">
        <f>IF($A3858="","",MAX(0,ROUNDUP(DASHBOARD!$F$3-$D3858,0)))</f>
        <v/>
      </c>
      <c r="N3858">
        <f>IF($A3858="","",$K3858+(5002-ROW())/10000)</f>
        <v/>
      </c>
    </row>
    <row r="3859">
      <c r="K3859">
        <f>IF($A3859="","",SUM($E3859:$J3859))</f>
        <v/>
      </c>
      <c r="M3859">
        <f>IF($A3859="","",MAX(0,ROUNDUP(DASHBOARD!$F$3-$D3859,0)))</f>
        <v/>
      </c>
      <c r="N3859">
        <f>IF($A3859="","",$K3859+(5002-ROW())/10000)</f>
        <v/>
      </c>
    </row>
    <row r="3860">
      <c r="K3860">
        <f>IF($A3860="","",SUM($E3860:$J3860))</f>
        <v/>
      </c>
      <c r="M3860">
        <f>IF($A3860="","",MAX(0,ROUNDUP(DASHBOARD!$F$3-$D3860,0)))</f>
        <v/>
      </c>
      <c r="N3860">
        <f>IF($A3860="","",$K3860+(5002-ROW())/10000)</f>
        <v/>
      </c>
    </row>
    <row r="3861">
      <c r="K3861">
        <f>IF($A3861="","",SUM($E3861:$J3861))</f>
        <v/>
      </c>
      <c r="M3861">
        <f>IF($A3861="","",MAX(0,ROUNDUP(DASHBOARD!$F$3-$D3861,0)))</f>
        <v/>
      </c>
      <c r="N3861">
        <f>IF($A3861="","",$K3861+(5002-ROW())/10000)</f>
        <v/>
      </c>
    </row>
    <row r="3862">
      <c r="K3862">
        <f>IF($A3862="","",SUM($E3862:$J3862))</f>
        <v/>
      </c>
      <c r="M3862">
        <f>IF($A3862="","",MAX(0,ROUNDUP(DASHBOARD!$F$3-$D3862,0)))</f>
        <v/>
      </c>
      <c r="N3862">
        <f>IF($A3862="","",$K3862+(5002-ROW())/10000)</f>
        <v/>
      </c>
    </row>
    <row r="3863">
      <c r="K3863">
        <f>IF($A3863="","",SUM($E3863:$J3863))</f>
        <v/>
      </c>
      <c r="M3863">
        <f>IF($A3863="","",MAX(0,ROUNDUP(DASHBOARD!$F$3-$D3863,0)))</f>
        <v/>
      </c>
      <c r="N3863">
        <f>IF($A3863="","",$K3863+(5002-ROW())/10000)</f>
        <v/>
      </c>
    </row>
    <row r="3864">
      <c r="K3864">
        <f>IF($A3864="","",SUM($E3864:$J3864))</f>
        <v/>
      </c>
      <c r="M3864">
        <f>IF($A3864="","",MAX(0,ROUNDUP(DASHBOARD!$F$3-$D3864,0)))</f>
        <v/>
      </c>
      <c r="N3864">
        <f>IF($A3864="","",$K3864+(5002-ROW())/10000)</f>
        <v/>
      </c>
    </row>
    <row r="3865">
      <c r="K3865">
        <f>IF($A3865="","",SUM($E3865:$J3865))</f>
        <v/>
      </c>
      <c r="M3865">
        <f>IF($A3865="","",MAX(0,ROUNDUP(DASHBOARD!$F$3-$D3865,0)))</f>
        <v/>
      </c>
      <c r="N3865">
        <f>IF($A3865="","",$K3865+(5002-ROW())/10000)</f>
        <v/>
      </c>
    </row>
    <row r="3866">
      <c r="K3866">
        <f>IF($A3866="","",SUM($E3866:$J3866))</f>
        <v/>
      </c>
      <c r="M3866">
        <f>IF($A3866="","",MAX(0,ROUNDUP(DASHBOARD!$F$3-$D3866,0)))</f>
        <v/>
      </c>
      <c r="N3866">
        <f>IF($A3866="","",$K3866+(5002-ROW())/10000)</f>
        <v/>
      </c>
    </row>
    <row r="3867">
      <c r="K3867">
        <f>IF($A3867="","",SUM($E3867:$J3867))</f>
        <v/>
      </c>
      <c r="M3867">
        <f>IF($A3867="","",MAX(0,ROUNDUP(DASHBOARD!$F$3-$D3867,0)))</f>
        <v/>
      </c>
      <c r="N3867">
        <f>IF($A3867="","",$K3867+(5002-ROW())/10000)</f>
        <v/>
      </c>
    </row>
    <row r="3868">
      <c r="K3868">
        <f>IF($A3868="","",SUM($E3868:$J3868))</f>
        <v/>
      </c>
      <c r="M3868">
        <f>IF($A3868="","",MAX(0,ROUNDUP(DASHBOARD!$F$3-$D3868,0)))</f>
        <v/>
      </c>
      <c r="N3868">
        <f>IF($A3868="","",$K3868+(5002-ROW())/10000)</f>
        <v/>
      </c>
    </row>
    <row r="3869">
      <c r="K3869">
        <f>IF($A3869="","",SUM($E3869:$J3869))</f>
        <v/>
      </c>
      <c r="M3869">
        <f>IF($A3869="","",MAX(0,ROUNDUP(DASHBOARD!$F$3-$D3869,0)))</f>
        <v/>
      </c>
      <c r="N3869">
        <f>IF($A3869="","",$K3869+(5002-ROW())/10000)</f>
        <v/>
      </c>
    </row>
    <row r="3870">
      <c r="K3870">
        <f>IF($A3870="","",SUM($E3870:$J3870))</f>
        <v/>
      </c>
      <c r="M3870">
        <f>IF($A3870="","",MAX(0,ROUNDUP(DASHBOARD!$F$3-$D3870,0)))</f>
        <v/>
      </c>
      <c r="N3870">
        <f>IF($A3870="","",$K3870+(5002-ROW())/10000)</f>
        <v/>
      </c>
    </row>
    <row r="3871">
      <c r="K3871">
        <f>IF($A3871="","",SUM($E3871:$J3871))</f>
        <v/>
      </c>
      <c r="M3871">
        <f>IF($A3871="","",MAX(0,ROUNDUP(DASHBOARD!$F$3-$D3871,0)))</f>
        <v/>
      </c>
      <c r="N3871">
        <f>IF($A3871="","",$K3871+(5002-ROW())/10000)</f>
        <v/>
      </c>
    </row>
    <row r="3872">
      <c r="K3872">
        <f>IF($A3872="","",SUM($E3872:$J3872))</f>
        <v/>
      </c>
      <c r="M3872">
        <f>IF($A3872="","",MAX(0,ROUNDUP(DASHBOARD!$F$3-$D3872,0)))</f>
        <v/>
      </c>
      <c r="N3872">
        <f>IF($A3872="","",$K3872+(5002-ROW())/10000)</f>
        <v/>
      </c>
    </row>
    <row r="3873">
      <c r="K3873">
        <f>IF($A3873="","",SUM($E3873:$J3873))</f>
        <v/>
      </c>
      <c r="M3873">
        <f>IF($A3873="","",MAX(0,ROUNDUP(DASHBOARD!$F$3-$D3873,0)))</f>
        <v/>
      </c>
      <c r="N3873">
        <f>IF($A3873="","",$K3873+(5002-ROW())/10000)</f>
        <v/>
      </c>
    </row>
    <row r="3874">
      <c r="K3874">
        <f>IF($A3874="","",SUM($E3874:$J3874))</f>
        <v/>
      </c>
      <c r="M3874">
        <f>IF($A3874="","",MAX(0,ROUNDUP(DASHBOARD!$F$3-$D3874,0)))</f>
        <v/>
      </c>
      <c r="N3874">
        <f>IF($A3874="","",$K3874+(5002-ROW())/10000)</f>
        <v/>
      </c>
    </row>
    <row r="3875">
      <c r="K3875">
        <f>IF($A3875="","",SUM($E3875:$J3875))</f>
        <v/>
      </c>
      <c r="M3875">
        <f>IF($A3875="","",MAX(0,ROUNDUP(DASHBOARD!$F$3-$D3875,0)))</f>
        <v/>
      </c>
      <c r="N3875">
        <f>IF($A3875="","",$K3875+(5002-ROW())/10000)</f>
        <v/>
      </c>
    </row>
    <row r="3876">
      <c r="K3876">
        <f>IF($A3876="","",SUM($E3876:$J3876))</f>
        <v/>
      </c>
      <c r="M3876">
        <f>IF($A3876="","",MAX(0,ROUNDUP(DASHBOARD!$F$3-$D3876,0)))</f>
        <v/>
      </c>
      <c r="N3876">
        <f>IF($A3876="","",$K3876+(5002-ROW())/10000)</f>
        <v/>
      </c>
    </row>
    <row r="3877">
      <c r="K3877">
        <f>IF($A3877="","",SUM($E3877:$J3877))</f>
        <v/>
      </c>
      <c r="M3877">
        <f>IF($A3877="","",MAX(0,ROUNDUP(DASHBOARD!$F$3-$D3877,0)))</f>
        <v/>
      </c>
      <c r="N3877">
        <f>IF($A3877="","",$K3877+(5002-ROW())/10000)</f>
        <v/>
      </c>
    </row>
    <row r="3878">
      <c r="K3878">
        <f>IF($A3878="","",SUM($E3878:$J3878))</f>
        <v/>
      </c>
      <c r="M3878">
        <f>IF($A3878="","",MAX(0,ROUNDUP(DASHBOARD!$F$3-$D3878,0)))</f>
        <v/>
      </c>
      <c r="N3878">
        <f>IF($A3878="","",$K3878+(5002-ROW())/10000)</f>
        <v/>
      </c>
    </row>
    <row r="3879">
      <c r="K3879">
        <f>IF($A3879="","",SUM($E3879:$J3879))</f>
        <v/>
      </c>
      <c r="M3879">
        <f>IF($A3879="","",MAX(0,ROUNDUP(DASHBOARD!$F$3-$D3879,0)))</f>
        <v/>
      </c>
      <c r="N3879">
        <f>IF($A3879="","",$K3879+(5002-ROW())/10000)</f>
        <v/>
      </c>
    </row>
    <row r="3880">
      <c r="K3880">
        <f>IF($A3880="","",SUM($E3880:$J3880))</f>
        <v/>
      </c>
      <c r="M3880">
        <f>IF($A3880="","",MAX(0,ROUNDUP(DASHBOARD!$F$3-$D3880,0)))</f>
        <v/>
      </c>
      <c r="N3880">
        <f>IF($A3880="","",$K3880+(5002-ROW())/10000)</f>
        <v/>
      </c>
    </row>
    <row r="3881">
      <c r="K3881">
        <f>IF($A3881="","",SUM($E3881:$J3881))</f>
        <v/>
      </c>
      <c r="M3881">
        <f>IF($A3881="","",MAX(0,ROUNDUP(DASHBOARD!$F$3-$D3881,0)))</f>
        <v/>
      </c>
      <c r="N3881">
        <f>IF($A3881="","",$K3881+(5002-ROW())/10000)</f>
        <v/>
      </c>
    </row>
    <row r="3882">
      <c r="K3882">
        <f>IF($A3882="","",SUM($E3882:$J3882))</f>
        <v/>
      </c>
      <c r="M3882">
        <f>IF($A3882="","",MAX(0,ROUNDUP(DASHBOARD!$F$3-$D3882,0)))</f>
        <v/>
      </c>
      <c r="N3882">
        <f>IF($A3882="","",$K3882+(5002-ROW())/10000)</f>
        <v/>
      </c>
    </row>
    <row r="3883">
      <c r="K3883">
        <f>IF($A3883="","",SUM($E3883:$J3883))</f>
        <v/>
      </c>
      <c r="M3883">
        <f>IF($A3883="","",MAX(0,ROUNDUP(DASHBOARD!$F$3-$D3883,0)))</f>
        <v/>
      </c>
      <c r="N3883">
        <f>IF($A3883="","",$K3883+(5002-ROW())/10000)</f>
        <v/>
      </c>
    </row>
    <row r="3884">
      <c r="K3884">
        <f>IF($A3884="","",SUM($E3884:$J3884))</f>
        <v/>
      </c>
      <c r="M3884">
        <f>IF($A3884="","",MAX(0,ROUNDUP(DASHBOARD!$F$3-$D3884,0)))</f>
        <v/>
      </c>
      <c r="N3884">
        <f>IF($A3884="","",$K3884+(5002-ROW())/10000)</f>
        <v/>
      </c>
    </row>
    <row r="3885">
      <c r="K3885">
        <f>IF($A3885="","",SUM($E3885:$J3885))</f>
        <v/>
      </c>
      <c r="M3885">
        <f>IF($A3885="","",MAX(0,ROUNDUP(DASHBOARD!$F$3-$D3885,0)))</f>
        <v/>
      </c>
      <c r="N3885">
        <f>IF($A3885="","",$K3885+(5002-ROW())/10000)</f>
        <v/>
      </c>
    </row>
    <row r="3886">
      <c r="K3886">
        <f>IF($A3886="","",SUM($E3886:$J3886))</f>
        <v/>
      </c>
      <c r="M3886">
        <f>IF($A3886="","",MAX(0,ROUNDUP(DASHBOARD!$F$3-$D3886,0)))</f>
        <v/>
      </c>
      <c r="N3886">
        <f>IF($A3886="","",$K3886+(5002-ROW())/10000)</f>
        <v/>
      </c>
    </row>
    <row r="3887">
      <c r="K3887">
        <f>IF($A3887="","",SUM($E3887:$J3887))</f>
        <v/>
      </c>
      <c r="M3887">
        <f>IF($A3887="","",MAX(0,ROUNDUP(DASHBOARD!$F$3-$D3887,0)))</f>
        <v/>
      </c>
      <c r="N3887">
        <f>IF($A3887="","",$K3887+(5002-ROW())/10000)</f>
        <v/>
      </c>
    </row>
    <row r="3888">
      <c r="K3888">
        <f>IF($A3888="","",SUM($E3888:$J3888))</f>
        <v/>
      </c>
      <c r="M3888">
        <f>IF($A3888="","",MAX(0,ROUNDUP(DASHBOARD!$F$3-$D3888,0)))</f>
        <v/>
      </c>
      <c r="N3888">
        <f>IF($A3888="","",$K3888+(5002-ROW())/10000)</f>
        <v/>
      </c>
    </row>
    <row r="3889">
      <c r="K3889">
        <f>IF($A3889="","",SUM($E3889:$J3889))</f>
        <v/>
      </c>
      <c r="M3889">
        <f>IF($A3889="","",MAX(0,ROUNDUP(DASHBOARD!$F$3-$D3889,0)))</f>
        <v/>
      </c>
      <c r="N3889">
        <f>IF($A3889="","",$K3889+(5002-ROW())/10000)</f>
        <v/>
      </c>
    </row>
    <row r="3890">
      <c r="K3890">
        <f>IF($A3890="","",SUM($E3890:$J3890))</f>
        <v/>
      </c>
      <c r="M3890">
        <f>IF($A3890="","",MAX(0,ROUNDUP(DASHBOARD!$F$3-$D3890,0)))</f>
        <v/>
      </c>
      <c r="N3890">
        <f>IF($A3890="","",$K3890+(5002-ROW())/10000)</f>
        <v/>
      </c>
    </row>
    <row r="3891">
      <c r="K3891">
        <f>IF($A3891="","",SUM($E3891:$J3891))</f>
        <v/>
      </c>
      <c r="M3891">
        <f>IF($A3891="","",MAX(0,ROUNDUP(DASHBOARD!$F$3-$D3891,0)))</f>
        <v/>
      </c>
      <c r="N3891">
        <f>IF($A3891="","",$K3891+(5002-ROW())/10000)</f>
        <v/>
      </c>
    </row>
    <row r="3892">
      <c r="K3892">
        <f>IF($A3892="","",SUM($E3892:$J3892))</f>
        <v/>
      </c>
      <c r="M3892">
        <f>IF($A3892="","",MAX(0,ROUNDUP(DASHBOARD!$F$3-$D3892,0)))</f>
        <v/>
      </c>
      <c r="N3892">
        <f>IF($A3892="","",$K3892+(5002-ROW())/10000)</f>
        <v/>
      </c>
    </row>
    <row r="3893">
      <c r="K3893">
        <f>IF($A3893="","",SUM($E3893:$J3893))</f>
        <v/>
      </c>
      <c r="M3893">
        <f>IF($A3893="","",MAX(0,ROUNDUP(DASHBOARD!$F$3-$D3893,0)))</f>
        <v/>
      </c>
      <c r="N3893">
        <f>IF($A3893="","",$K3893+(5002-ROW())/10000)</f>
        <v/>
      </c>
    </row>
    <row r="3894">
      <c r="K3894">
        <f>IF($A3894="","",SUM($E3894:$J3894))</f>
        <v/>
      </c>
      <c r="M3894">
        <f>IF($A3894="","",MAX(0,ROUNDUP(DASHBOARD!$F$3-$D3894,0)))</f>
        <v/>
      </c>
      <c r="N3894">
        <f>IF($A3894="","",$K3894+(5002-ROW())/10000)</f>
        <v/>
      </c>
    </row>
    <row r="3895">
      <c r="K3895">
        <f>IF($A3895="","",SUM($E3895:$J3895))</f>
        <v/>
      </c>
      <c r="M3895">
        <f>IF($A3895="","",MAX(0,ROUNDUP(DASHBOARD!$F$3-$D3895,0)))</f>
        <v/>
      </c>
      <c r="N3895">
        <f>IF($A3895="","",$K3895+(5002-ROW())/10000)</f>
        <v/>
      </c>
    </row>
    <row r="3896">
      <c r="K3896">
        <f>IF($A3896="","",SUM($E3896:$J3896))</f>
        <v/>
      </c>
      <c r="M3896">
        <f>IF($A3896="","",MAX(0,ROUNDUP(DASHBOARD!$F$3-$D3896,0)))</f>
        <v/>
      </c>
      <c r="N3896">
        <f>IF($A3896="","",$K3896+(5002-ROW())/10000)</f>
        <v/>
      </c>
    </row>
    <row r="3897">
      <c r="K3897">
        <f>IF($A3897="","",SUM($E3897:$J3897))</f>
        <v/>
      </c>
      <c r="M3897">
        <f>IF($A3897="","",MAX(0,ROUNDUP(DASHBOARD!$F$3-$D3897,0)))</f>
        <v/>
      </c>
      <c r="N3897">
        <f>IF($A3897="","",$K3897+(5002-ROW())/10000)</f>
        <v/>
      </c>
    </row>
    <row r="3898">
      <c r="K3898">
        <f>IF($A3898="","",SUM($E3898:$J3898))</f>
        <v/>
      </c>
      <c r="M3898">
        <f>IF($A3898="","",MAX(0,ROUNDUP(DASHBOARD!$F$3-$D3898,0)))</f>
        <v/>
      </c>
      <c r="N3898">
        <f>IF($A3898="","",$K3898+(5002-ROW())/10000)</f>
        <v/>
      </c>
    </row>
    <row r="3899">
      <c r="K3899">
        <f>IF($A3899="","",SUM($E3899:$J3899))</f>
        <v/>
      </c>
      <c r="M3899">
        <f>IF($A3899="","",MAX(0,ROUNDUP(DASHBOARD!$F$3-$D3899,0)))</f>
        <v/>
      </c>
      <c r="N3899">
        <f>IF($A3899="","",$K3899+(5002-ROW())/10000)</f>
        <v/>
      </c>
    </row>
    <row r="3900">
      <c r="K3900">
        <f>IF($A3900="","",SUM($E3900:$J3900))</f>
        <v/>
      </c>
      <c r="M3900">
        <f>IF($A3900="","",MAX(0,ROUNDUP(DASHBOARD!$F$3-$D3900,0)))</f>
        <v/>
      </c>
      <c r="N3900">
        <f>IF($A3900="","",$K3900+(5002-ROW())/10000)</f>
        <v/>
      </c>
    </row>
    <row r="3901">
      <c r="K3901">
        <f>IF($A3901="","",SUM($E3901:$J3901))</f>
        <v/>
      </c>
      <c r="M3901">
        <f>IF($A3901="","",MAX(0,ROUNDUP(DASHBOARD!$F$3-$D3901,0)))</f>
        <v/>
      </c>
      <c r="N3901">
        <f>IF($A3901="","",$K3901+(5002-ROW())/10000)</f>
        <v/>
      </c>
    </row>
    <row r="3902">
      <c r="K3902">
        <f>IF($A3902="","",SUM($E3902:$J3902))</f>
        <v/>
      </c>
      <c r="M3902">
        <f>IF($A3902="","",MAX(0,ROUNDUP(DASHBOARD!$F$3-$D3902,0)))</f>
        <v/>
      </c>
      <c r="N3902">
        <f>IF($A3902="","",$K3902+(5002-ROW())/10000)</f>
        <v/>
      </c>
    </row>
    <row r="3903">
      <c r="K3903">
        <f>IF($A3903="","",SUM($E3903:$J3903))</f>
        <v/>
      </c>
      <c r="M3903">
        <f>IF($A3903="","",MAX(0,ROUNDUP(DASHBOARD!$F$3-$D3903,0)))</f>
        <v/>
      </c>
      <c r="N3903">
        <f>IF($A3903="","",$K3903+(5002-ROW())/10000)</f>
        <v/>
      </c>
    </row>
    <row r="3904">
      <c r="K3904">
        <f>IF($A3904="","",SUM($E3904:$J3904))</f>
        <v/>
      </c>
      <c r="M3904">
        <f>IF($A3904="","",MAX(0,ROUNDUP(DASHBOARD!$F$3-$D3904,0)))</f>
        <v/>
      </c>
      <c r="N3904">
        <f>IF($A3904="","",$K3904+(5002-ROW())/10000)</f>
        <v/>
      </c>
    </row>
    <row r="3905">
      <c r="K3905">
        <f>IF($A3905="","",SUM($E3905:$J3905))</f>
        <v/>
      </c>
      <c r="M3905">
        <f>IF($A3905="","",MAX(0,ROUNDUP(DASHBOARD!$F$3-$D3905,0)))</f>
        <v/>
      </c>
      <c r="N3905">
        <f>IF($A3905="","",$K3905+(5002-ROW())/10000)</f>
        <v/>
      </c>
    </row>
    <row r="3906">
      <c r="K3906">
        <f>IF($A3906="","",SUM($E3906:$J3906))</f>
        <v/>
      </c>
      <c r="M3906">
        <f>IF($A3906="","",MAX(0,ROUNDUP(DASHBOARD!$F$3-$D3906,0)))</f>
        <v/>
      </c>
      <c r="N3906">
        <f>IF($A3906="","",$K3906+(5002-ROW())/10000)</f>
        <v/>
      </c>
    </row>
    <row r="3907">
      <c r="K3907">
        <f>IF($A3907="","",SUM($E3907:$J3907))</f>
        <v/>
      </c>
      <c r="M3907">
        <f>IF($A3907="","",MAX(0,ROUNDUP(DASHBOARD!$F$3-$D3907,0)))</f>
        <v/>
      </c>
      <c r="N3907">
        <f>IF($A3907="","",$K3907+(5002-ROW())/10000)</f>
        <v/>
      </c>
    </row>
    <row r="3908">
      <c r="K3908">
        <f>IF($A3908="","",SUM($E3908:$J3908))</f>
        <v/>
      </c>
      <c r="M3908">
        <f>IF($A3908="","",MAX(0,ROUNDUP(DASHBOARD!$F$3-$D3908,0)))</f>
        <v/>
      </c>
      <c r="N3908">
        <f>IF($A3908="","",$K3908+(5002-ROW())/10000)</f>
        <v/>
      </c>
    </row>
    <row r="3909">
      <c r="K3909">
        <f>IF($A3909="","",SUM($E3909:$J3909))</f>
        <v/>
      </c>
      <c r="M3909">
        <f>IF($A3909="","",MAX(0,ROUNDUP(DASHBOARD!$F$3-$D3909,0)))</f>
        <v/>
      </c>
      <c r="N3909">
        <f>IF($A3909="","",$K3909+(5002-ROW())/10000)</f>
        <v/>
      </c>
    </row>
    <row r="3910">
      <c r="K3910">
        <f>IF($A3910="","",SUM($E3910:$J3910))</f>
        <v/>
      </c>
      <c r="M3910">
        <f>IF($A3910="","",MAX(0,ROUNDUP(DASHBOARD!$F$3-$D3910,0)))</f>
        <v/>
      </c>
      <c r="N3910">
        <f>IF($A3910="","",$K3910+(5002-ROW())/10000)</f>
        <v/>
      </c>
    </row>
    <row r="3911">
      <c r="K3911">
        <f>IF($A3911="","",SUM($E3911:$J3911))</f>
        <v/>
      </c>
      <c r="M3911">
        <f>IF($A3911="","",MAX(0,ROUNDUP(DASHBOARD!$F$3-$D3911,0)))</f>
        <v/>
      </c>
      <c r="N3911">
        <f>IF($A3911="","",$K3911+(5002-ROW())/10000)</f>
        <v/>
      </c>
    </row>
    <row r="3912">
      <c r="K3912">
        <f>IF($A3912="","",SUM($E3912:$J3912))</f>
        <v/>
      </c>
      <c r="M3912">
        <f>IF($A3912="","",MAX(0,ROUNDUP(DASHBOARD!$F$3-$D3912,0)))</f>
        <v/>
      </c>
      <c r="N3912">
        <f>IF($A3912="","",$K3912+(5002-ROW())/10000)</f>
        <v/>
      </c>
    </row>
    <row r="3913">
      <c r="K3913">
        <f>IF($A3913="","",SUM($E3913:$J3913))</f>
        <v/>
      </c>
      <c r="M3913">
        <f>IF($A3913="","",MAX(0,ROUNDUP(DASHBOARD!$F$3-$D3913,0)))</f>
        <v/>
      </c>
      <c r="N3913">
        <f>IF($A3913="","",$K3913+(5002-ROW())/10000)</f>
        <v/>
      </c>
    </row>
    <row r="3914">
      <c r="K3914">
        <f>IF($A3914="","",SUM($E3914:$J3914))</f>
        <v/>
      </c>
      <c r="M3914">
        <f>IF($A3914="","",MAX(0,ROUNDUP(DASHBOARD!$F$3-$D3914,0)))</f>
        <v/>
      </c>
      <c r="N3914">
        <f>IF($A3914="","",$K3914+(5002-ROW())/10000)</f>
        <v/>
      </c>
    </row>
    <row r="3915">
      <c r="K3915">
        <f>IF($A3915="","",SUM($E3915:$J3915))</f>
        <v/>
      </c>
      <c r="M3915">
        <f>IF($A3915="","",MAX(0,ROUNDUP(DASHBOARD!$F$3-$D3915,0)))</f>
        <v/>
      </c>
      <c r="N3915">
        <f>IF($A3915="","",$K3915+(5002-ROW())/10000)</f>
        <v/>
      </c>
    </row>
    <row r="3916">
      <c r="K3916">
        <f>IF($A3916="","",SUM($E3916:$J3916))</f>
        <v/>
      </c>
      <c r="M3916">
        <f>IF($A3916="","",MAX(0,ROUNDUP(DASHBOARD!$F$3-$D3916,0)))</f>
        <v/>
      </c>
      <c r="N3916">
        <f>IF($A3916="","",$K3916+(5002-ROW())/10000)</f>
        <v/>
      </c>
    </row>
    <row r="3917">
      <c r="K3917">
        <f>IF($A3917="","",SUM($E3917:$J3917))</f>
        <v/>
      </c>
      <c r="M3917">
        <f>IF($A3917="","",MAX(0,ROUNDUP(DASHBOARD!$F$3-$D3917,0)))</f>
        <v/>
      </c>
      <c r="N3917">
        <f>IF($A3917="","",$K3917+(5002-ROW())/10000)</f>
        <v/>
      </c>
    </row>
    <row r="3918">
      <c r="K3918">
        <f>IF($A3918="","",SUM($E3918:$J3918))</f>
        <v/>
      </c>
      <c r="M3918">
        <f>IF($A3918="","",MAX(0,ROUNDUP(DASHBOARD!$F$3-$D3918,0)))</f>
        <v/>
      </c>
      <c r="N3918">
        <f>IF($A3918="","",$K3918+(5002-ROW())/10000)</f>
        <v/>
      </c>
    </row>
    <row r="3919">
      <c r="K3919">
        <f>IF($A3919="","",SUM($E3919:$J3919))</f>
        <v/>
      </c>
      <c r="M3919">
        <f>IF($A3919="","",MAX(0,ROUNDUP(DASHBOARD!$F$3-$D3919,0)))</f>
        <v/>
      </c>
      <c r="N3919">
        <f>IF($A3919="","",$K3919+(5002-ROW())/10000)</f>
        <v/>
      </c>
    </row>
    <row r="3920">
      <c r="K3920">
        <f>IF($A3920="","",SUM($E3920:$J3920))</f>
        <v/>
      </c>
      <c r="M3920">
        <f>IF($A3920="","",MAX(0,ROUNDUP(DASHBOARD!$F$3-$D3920,0)))</f>
        <v/>
      </c>
      <c r="N3920">
        <f>IF($A3920="","",$K3920+(5002-ROW())/10000)</f>
        <v/>
      </c>
    </row>
    <row r="3921">
      <c r="K3921">
        <f>IF($A3921="","",SUM($E3921:$J3921))</f>
        <v/>
      </c>
      <c r="M3921">
        <f>IF($A3921="","",MAX(0,ROUNDUP(DASHBOARD!$F$3-$D3921,0)))</f>
        <v/>
      </c>
      <c r="N3921">
        <f>IF($A3921="","",$K3921+(5002-ROW())/10000)</f>
        <v/>
      </c>
    </row>
    <row r="3922">
      <c r="K3922">
        <f>IF($A3922="","",SUM($E3922:$J3922))</f>
        <v/>
      </c>
      <c r="M3922">
        <f>IF($A3922="","",MAX(0,ROUNDUP(DASHBOARD!$F$3-$D3922,0)))</f>
        <v/>
      </c>
      <c r="N3922">
        <f>IF($A3922="","",$K3922+(5002-ROW())/10000)</f>
        <v/>
      </c>
    </row>
    <row r="3923">
      <c r="K3923">
        <f>IF($A3923="","",SUM($E3923:$J3923))</f>
        <v/>
      </c>
      <c r="M3923">
        <f>IF($A3923="","",MAX(0,ROUNDUP(DASHBOARD!$F$3-$D3923,0)))</f>
        <v/>
      </c>
      <c r="N3923">
        <f>IF($A3923="","",$K3923+(5002-ROW())/10000)</f>
        <v/>
      </c>
    </row>
    <row r="3924">
      <c r="K3924">
        <f>IF($A3924="","",SUM($E3924:$J3924))</f>
        <v/>
      </c>
      <c r="M3924">
        <f>IF($A3924="","",MAX(0,ROUNDUP(DASHBOARD!$F$3-$D3924,0)))</f>
        <v/>
      </c>
      <c r="N3924">
        <f>IF($A3924="","",$K3924+(5002-ROW())/10000)</f>
        <v/>
      </c>
    </row>
    <row r="3925">
      <c r="K3925">
        <f>IF($A3925="","",SUM($E3925:$J3925))</f>
        <v/>
      </c>
      <c r="M3925">
        <f>IF($A3925="","",MAX(0,ROUNDUP(DASHBOARD!$F$3-$D3925,0)))</f>
        <v/>
      </c>
      <c r="N3925">
        <f>IF($A3925="","",$K3925+(5002-ROW())/10000)</f>
        <v/>
      </c>
    </row>
    <row r="3926">
      <c r="K3926">
        <f>IF($A3926="","",SUM($E3926:$J3926))</f>
        <v/>
      </c>
      <c r="M3926">
        <f>IF($A3926="","",MAX(0,ROUNDUP(DASHBOARD!$F$3-$D3926,0)))</f>
        <v/>
      </c>
      <c r="N3926">
        <f>IF($A3926="","",$K3926+(5002-ROW())/10000)</f>
        <v/>
      </c>
    </row>
    <row r="3927">
      <c r="K3927">
        <f>IF($A3927="","",SUM($E3927:$J3927))</f>
        <v/>
      </c>
      <c r="M3927">
        <f>IF($A3927="","",MAX(0,ROUNDUP(DASHBOARD!$F$3-$D3927,0)))</f>
        <v/>
      </c>
      <c r="N3927">
        <f>IF($A3927="","",$K3927+(5002-ROW())/10000)</f>
        <v/>
      </c>
    </row>
    <row r="3928">
      <c r="K3928">
        <f>IF($A3928="","",SUM($E3928:$J3928))</f>
        <v/>
      </c>
      <c r="M3928">
        <f>IF($A3928="","",MAX(0,ROUNDUP(DASHBOARD!$F$3-$D3928,0)))</f>
        <v/>
      </c>
      <c r="N3928">
        <f>IF($A3928="","",$K3928+(5002-ROW())/10000)</f>
        <v/>
      </c>
    </row>
    <row r="3929">
      <c r="K3929">
        <f>IF($A3929="","",SUM($E3929:$J3929))</f>
        <v/>
      </c>
      <c r="M3929">
        <f>IF($A3929="","",MAX(0,ROUNDUP(DASHBOARD!$F$3-$D3929,0)))</f>
        <v/>
      </c>
      <c r="N3929">
        <f>IF($A3929="","",$K3929+(5002-ROW())/10000)</f>
        <v/>
      </c>
    </row>
    <row r="3930">
      <c r="K3930">
        <f>IF($A3930="","",SUM($E3930:$J3930))</f>
        <v/>
      </c>
      <c r="M3930">
        <f>IF($A3930="","",MAX(0,ROUNDUP(DASHBOARD!$F$3-$D3930,0)))</f>
        <v/>
      </c>
      <c r="N3930">
        <f>IF($A3930="","",$K3930+(5002-ROW())/10000)</f>
        <v/>
      </c>
    </row>
    <row r="3931">
      <c r="K3931">
        <f>IF($A3931="","",SUM($E3931:$J3931))</f>
        <v/>
      </c>
      <c r="M3931">
        <f>IF($A3931="","",MAX(0,ROUNDUP(DASHBOARD!$F$3-$D3931,0)))</f>
        <v/>
      </c>
      <c r="N3931">
        <f>IF($A3931="","",$K3931+(5002-ROW())/10000)</f>
        <v/>
      </c>
    </row>
    <row r="3932">
      <c r="K3932">
        <f>IF($A3932="","",SUM($E3932:$J3932))</f>
        <v/>
      </c>
      <c r="M3932">
        <f>IF($A3932="","",MAX(0,ROUNDUP(DASHBOARD!$F$3-$D3932,0)))</f>
        <v/>
      </c>
      <c r="N3932">
        <f>IF($A3932="","",$K3932+(5002-ROW())/10000)</f>
        <v/>
      </c>
    </row>
    <row r="3933">
      <c r="K3933">
        <f>IF($A3933="","",SUM($E3933:$J3933))</f>
        <v/>
      </c>
      <c r="M3933">
        <f>IF($A3933="","",MAX(0,ROUNDUP(DASHBOARD!$F$3-$D3933,0)))</f>
        <v/>
      </c>
      <c r="N3933">
        <f>IF($A3933="","",$K3933+(5002-ROW())/10000)</f>
        <v/>
      </c>
    </row>
    <row r="3934">
      <c r="K3934">
        <f>IF($A3934="","",SUM($E3934:$J3934))</f>
        <v/>
      </c>
      <c r="M3934">
        <f>IF($A3934="","",MAX(0,ROUNDUP(DASHBOARD!$F$3-$D3934,0)))</f>
        <v/>
      </c>
      <c r="N3934">
        <f>IF($A3934="","",$K3934+(5002-ROW())/10000)</f>
        <v/>
      </c>
    </row>
    <row r="3935">
      <c r="K3935">
        <f>IF($A3935="","",SUM($E3935:$J3935))</f>
        <v/>
      </c>
      <c r="M3935">
        <f>IF($A3935="","",MAX(0,ROUNDUP(DASHBOARD!$F$3-$D3935,0)))</f>
        <v/>
      </c>
      <c r="N3935">
        <f>IF($A3935="","",$K3935+(5002-ROW())/10000)</f>
        <v/>
      </c>
    </row>
    <row r="3936">
      <c r="K3936">
        <f>IF($A3936="","",SUM($E3936:$J3936))</f>
        <v/>
      </c>
      <c r="M3936">
        <f>IF($A3936="","",MAX(0,ROUNDUP(DASHBOARD!$F$3-$D3936,0)))</f>
        <v/>
      </c>
      <c r="N3936">
        <f>IF($A3936="","",$K3936+(5002-ROW())/10000)</f>
        <v/>
      </c>
    </row>
    <row r="3937">
      <c r="K3937">
        <f>IF($A3937="","",SUM($E3937:$J3937))</f>
        <v/>
      </c>
      <c r="M3937">
        <f>IF($A3937="","",MAX(0,ROUNDUP(DASHBOARD!$F$3-$D3937,0)))</f>
        <v/>
      </c>
      <c r="N3937">
        <f>IF($A3937="","",$K3937+(5002-ROW())/10000)</f>
        <v/>
      </c>
    </row>
    <row r="3938">
      <c r="K3938">
        <f>IF($A3938="","",SUM($E3938:$J3938))</f>
        <v/>
      </c>
      <c r="M3938">
        <f>IF($A3938="","",MAX(0,ROUNDUP(DASHBOARD!$F$3-$D3938,0)))</f>
        <v/>
      </c>
      <c r="N3938">
        <f>IF($A3938="","",$K3938+(5002-ROW())/10000)</f>
        <v/>
      </c>
    </row>
    <row r="3939">
      <c r="K3939">
        <f>IF($A3939="","",SUM($E3939:$J3939))</f>
        <v/>
      </c>
      <c r="M3939">
        <f>IF($A3939="","",MAX(0,ROUNDUP(DASHBOARD!$F$3-$D3939,0)))</f>
        <v/>
      </c>
      <c r="N3939">
        <f>IF($A3939="","",$K3939+(5002-ROW())/10000)</f>
        <v/>
      </c>
    </row>
    <row r="3940">
      <c r="K3940">
        <f>IF($A3940="","",SUM($E3940:$J3940))</f>
        <v/>
      </c>
      <c r="M3940">
        <f>IF($A3940="","",MAX(0,ROUNDUP(DASHBOARD!$F$3-$D3940,0)))</f>
        <v/>
      </c>
      <c r="N3940">
        <f>IF($A3940="","",$K3940+(5002-ROW())/10000)</f>
        <v/>
      </c>
    </row>
    <row r="3941">
      <c r="K3941">
        <f>IF($A3941="","",SUM($E3941:$J3941))</f>
        <v/>
      </c>
      <c r="M3941">
        <f>IF($A3941="","",MAX(0,ROUNDUP(DASHBOARD!$F$3-$D3941,0)))</f>
        <v/>
      </c>
      <c r="N3941">
        <f>IF($A3941="","",$K3941+(5002-ROW())/10000)</f>
        <v/>
      </c>
    </row>
    <row r="3942">
      <c r="K3942">
        <f>IF($A3942="","",SUM($E3942:$J3942))</f>
        <v/>
      </c>
      <c r="M3942">
        <f>IF($A3942="","",MAX(0,ROUNDUP(DASHBOARD!$F$3-$D3942,0)))</f>
        <v/>
      </c>
      <c r="N3942">
        <f>IF($A3942="","",$K3942+(5002-ROW())/10000)</f>
        <v/>
      </c>
    </row>
    <row r="3943">
      <c r="K3943">
        <f>IF($A3943="","",SUM($E3943:$J3943))</f>
        <v/>
      </c>
      <c r="M3943">
        <f>IF($A3943="","",MAX(0,ROUNDUP(DASHBOARD!$F$3-$D3943,0)))</f>
        <v/>
      </c>
      <c r="N3943">
        <f>IF($A3943="","",$K3943+(5002-ROW())/10000)</f>
        <v/>
      </c>
    </row>
    <row r="3944">
      <c r="K3944">
        <f>IF($A3944="","",SUM($E3944:$J3944))</f>
        <v/>
      </c>
      <c r="M3944">
        <f>IF($A3944="","",MAX(0,ROUNDUP(DASHBOARD!$F$3-$D3944,0)))</f>
        <v/>
      </c>
      <c r="N3944">
        <f>IF($A3944="","",$K3944+(5002-ROW())/10000)</f>
        <v/>
      </c>
    </row>
    <row r="3945">
      <c r="K3945">
        <f>IF($A3945="","",SUM($E3945:$J3945))</f>
        <v/>
      </c>
      <c r="M3945">
        <f>IF($A3945="","",MAX(0,ROUNDUP(DASHBOARD!$F$3-$D3945,0)))</f>
        <v/>
      </c>
      <c r="N3945">
        <f>IF($A3945="","",$K3945+(5002-ROW())/10000)</f>
        <v/>
      </c>
    </row>
    <row r="3946">
      <c r="K3946">
        <f>IF($A3946="","",SUM($E3946:$J3946))</f>
        <v/>
      </c>
      <c r="M3946">
        <f>IF($A3946="","",MAX(0,ROUNDUP(DASHBOARD!$F$3-$D3946,0)))</f>
        <v/>
      </c>
      <c r="N3946">
        <f>IF($A3946="","",$K3946+(5002-ROW())/10000)</f>
        <v/>
      </c>
    </row>
    <row r="3947">
      <c r="K3947">
        <f>IF($A3947="","",SUM($E3947:$J3947))</f>
        <v/>
      </c>
      <c r="M3947">
        <f>IF($A3947="","",MAX(0,ROUNDUP(DASHBOARD!$F$3-$D3947,0)))</f>
        <v/>
      </c>
      <c r="N3947">
        <f>IF($A3947="","",$K3947+(5002-ROW())/10000)</f>
        <v/>
      </c>
    </row>
    <row r="3948">
      <c r="K3948">
        <f>IF($A3948="","",SUM($E3948:$J3948))</f>
        <v/>
      </c>
      <c r="M3948">
        <f>IF($A3948="","",MAX(0,ROUNDUP(DASHBOARD!$F$3-$D3948,0)))</f>
        <v/>
      </c>
      <c r="N3948">
        <f>IF($A3948="","",$K3948+(5002-ROW())/10000)</f>
        <v/>
      </c>
    </row>
    <row r="3949">
      <c r="K3949">
        <f>IF($A3949="","",SUM($E3949:$J3949))</f>
        <v/>
      </c>
      <c r="M3949">
        <f>IF($A3949="","",MAX(0,ROUNDUP(DASHBOARD!$F$3-$D3949,0)))</f>
        <v/>
      </c>
      <c r="N3949">
        <f>IF($A3949="","",$K3949+(5002-ROW())/10000)</f>
        <v/>
      </c>
    </row>
    <row r="3950">
      <c r="K3950">
        <f>IF($A3950="","",SUM($E3950:$J3950))</f>
        <v/>
      </c>
      <c r="M3950">
        <f>IF($A3950="","",MAX(0,ROUNDUP(DASHBOARD!$F$3-$D3950,0)))</f>
        <v/>
      </c>
      <c r="N3950">
        <f>IF($A3950="","",$K3950+(5002-ROW())/10000)</f>
        <v/>
      </c>
    </row>
    <row r="3951">
      <c r="K3951">
        <f>IF($A3951="","",SUM($E3951:$J3951))</f>
        <v/>
      </c>
      <c r="M3951">
        <f>IF($A3951="","",MAX(0,ROUNDUP(DASHBOARD!$F$3-$D3951,0)))</f>
        <v/>
      </c>
      <c r="N3951">
        <f>IF($A3951="","",$K3951+(5002-ROW())/10000)</f>
        <v/>
      </c>
    </row>
    <row r="3952">
      <c r="K3952">
        <f>IF($A3952="","",SUM($E3952:$J3952))</f>
        <v/>
      </c>
      <c r="M3952">
        <f>IF($A3952="","",MAX(0,ROUNDUP(DASHBOARD!$F$3-$D3952,0)))</f>
        <v/>
      </c>
      <c r="N3952">
        <f>IF($A3952="","",$K3952+(5002-ROW())/10000)</f>
        <v/>
      </c>
    </row>
    <row r="3953">
      <c r="K3953">
        <f>IF($A3953="","",SUM($E3953:$J3953))</f>
        <v/>
      </c>
      <c r="M3953">
        <f>IF($A3953="","",MAX(0,ROUNDUP(DASHBOARD!$F$3-$D3953,0)))</f>
        <v/>
      </c>
      <c r="N3953">
        <f>IF($A3953="","",$K3953+(5002-ROW())/10000)</f>
        <v/>
      </c>
    </row>
    <row r="3954">
      <c r="K3954">
        <f>IF($A3954="","",SUM($E3954:$J3954))</f>
        <v/>
      </c>
      <c r="M3954">
        <f>IF($A3954="","",MAX(0,ROUNDUP(DASHBOARD!$F$3-$D3954,0)))</f>
        <v/>
      </c>
      <c r="N3954">
        <f>IF($A3954="","",$K3954+(5002-ROW())/10000)</f>
        <v/>
      </c>
    </row>
    <row r="3955">
      <c r="K3955">
        <f>IF($A3955="","",SUM($E3955:$J3955))</f>
        <v/>
      </c>
      <c r="M3955">
        <f>IF($A3955="","",MAX(0,ROUNDUP(DASHBOARD!$F$3-$D3955,0)))</f>
        <v/>
      </c>
      <c r="N3955">
        <f>IF($A3955="","",$K3955+(5002-ROW())/10000)</f>
        <v/>
      </c>
    </row>
    <row r="3956">
      <c r="K3956">
        <f>IF($A3956="","",SUM($E3956:$J3956))</f>
        <v/>
      </c>
      <c r="M3956">
        <f>IF($A3956="","",MAX(0,ROUNDUP(DASHBOARD!$F$3-$D3956,0)))</f>
        <v/>
      </c>
      <c r="N3956">
        <f>IF($A3956="","",$K3956+(5002-ROW())/10000)</f>
        <v/>
      </c>
    </row>
    <row r="3957">
      <c r="K3957">
        <f>IF($A3957="","",SUM($E3957:$J3957))</f>
        <v/>
      </c>
      <c r="M3957">
        <f>IF($A3957="","",MAX(0,ROUNDUP(DASHBOARD!$F$3-$D3957,0)))</f>
        <v/>
      </c>
      <c r="N3957">
        <f>IF($A3957="","",$K3957+(5002-ROW())/10000)</f>
        <v/>
      </c>
    </row>
    <row r="3958">
      <c r="K3958">
        <f>IF($A3958="","",SUM($E3958:$J3958))</f>
        <v/>
      </c>
      <c r="M3958">
        <f>IF($A3958="","",MAX(0,ROUNDUP(DASHBOARD!$F$3-$D3958,0)))</f>
        <v/>
      </c>
      <c r="N3958">
        <f>IF($A3958="","",$K3958+(5002-ROW())/10000)</f>
        <v/>
      </c>
    </row>
    <row r="3959">
      <c r="K3959">
        <f>IF($A3959="","",SUM($E3959:$J3959))</f>
        <v/>
      </c>
      <c r="M3959">
        <f>IF($A3959="","",MAX(0,ROUNDUP(DASHBOARD!$F$3-$D3959,0)))</f>
        <v/>
      </c>
      <c r="N3959">
        <f>IF($A3959="","",$K3959+(5002-ROW())/10000)</f>
        <v/>
      </c>
    </row>
    <row r="3960">
      <c r="K3960">
        <f>IF($A3960="","",SUM($E3960:$J3960))</f>
        <v/>
      </c>
      <c r="M3960">
        <f>IF($A3960="","",MAX(0,ROUNDUP(DASHBOARD!$F$3-$D3960,0)))</f>
        <v/>
      </c>
      <c r="N3960">
        <f>IF($A3960="","",$K3960+(5002-ROW())/10000)</f>
        <v/>
      </c>
    </row>
    <row r="3961">
      <c r="K3961">
        <f>IF($A3961="","",SUM($E3961:$J3961))</f>
        <v/>
      </c>
      <c r="M3961">
        <f>IF($A3961="","",MAX(0,ROUNDUP(DASHBOARD!$F$3-$D3961,0)))</f>
        <v/>
      </c>
      <c r="N3961">
        <f>IF($A3961="","",$K3961+(5002-ROW())/10000)</f>
        <v/>
      </c>
    </row>
    <row r="3962">
      <c r="K3962">
        <f>IF($A3962="","",SUM($E3962:$J3962))</f>
        <v/>
      </c>
      <c r="M3962">
        <f>IF($A3962="","",MAX(0,ROUNDUP(DASHBOARD!$F$3-$D3962,0)))</f>
        <v/>
      </c>
      <c r="N3962">
        <f>IF($A3962="","",$K3962+(5002-ROW())/10000)</f>
        <v/>
      </c>
    </row>
    <row r="3963">
      <c r="K3963">
        <f>IF($A3963="","",SUM($E3963:$J3963))</f>
        <v/>
      </c>
      <c r="M3963">
        <f>IF($A3963="","",MAX(0,ROUNDUP(DASHBOARD!$F$3-$D3963,0)))</f>
        <v/>
      </c>
      <c r="N3963">
        <f>IF($A3963="","",$K3963+(5002-ROW())/10000)</f>
        <v/>
      </c>
    </row>
    <row r="3964">
      <c r="K3964">
        <f>IF($A3964="","",SUM($E3964:$J3964))</f>
        <v/>
      </c>
      <c r="M3964">
        <f>IF($A3964="","",MAX(0,ROUNDUP(DASHBOARD!$F$3-$D3964,0)))</f>
        <v/>
      </c>
      <c r="N3964">
        <f>IF($A3964="","",$K3964+(5002-ROW())/10000)</f>
        <v/>
      </c>
    </row>
    <row r="3965">
      <c r="K3965">
        <f>IF($A3965="","",SUM($E3965:$J3965))</f>
        <v/>
      </c>
      <c r="M3965">
        <f>IF($A3965="","",MAX(0,ROUNDUP(DASHBOARD!$F$3-$D3965,0)))</f>
        <v/>
      </c>
      <c r="N3965">
        <f>IF($A3965="","",$K3965+(5002-ROW())/10000)</f>
        <v/>
      </c>
    </row>
    <row r="3966">
      <c r="K3966">
        <f>IF($A3966="","",SUM($E3966:$J3966))</f>
        <v/>
      </c>
      <c r="M3966">
        <f>IF($A3966="","",MAX(0,ROUNDUP(DASHBOARD!$F$3-$D3966,0)))</f>
        <v/>
      </c>
      <c r="N3966">
        <f>IF($A3966="","",$K3966+(5002-ROW())/10000)</f>
        <v/>
      </c>
    </row>
    <row r="3967">
      <c r="K3967">
        <f>IF($A3967="","",SUM($E3967:$J3967))</f>
        <v/>
      </c>
      <c r="M3967">
        <f>IF($A3967="","",MAX(0,ROUNDUP(DASHBOARD!$F$3-$D3967,0)))</f>
        <v/>
      </c>
      <c r="N3967">
        <f>IF($A3967="","",$K3967+(5002-ROW())/10000)</f>
        <v/>
      </c>
    </row>
    <row r="3968">
      <c r="K3968">
        <f>IF($A3968="","",SUM($E3968:$J3968))</f>
        <v/>
      </c>
      <c r="M3968">
        <f>IF($A3968="","",MAX(0,ROUNDUP(DASHBOARD!$F$3-$D3968,0)))</f>
        <v/>
      </c>
      <c r="N3968">
        <f>IF($A3968="","",$K3968+(5002-ROW())/10000)</f>
        <v/>
      </c>
    </row>
    <row r="3969">
      <c r="K3969">
        <f>IF($A3969="","",SUM($E3969:$J3969))</f>
        <v/>
      </c>
      <c r="M3969">
        <f>IF($A3969="","",MAX(0,ROUNDUP(DASHBOARD!$F$3-$D3969,0)))</f>
        <v/>
      </c>
      <c r="N3969">
        <f>IF($A3969="","",$K3969+(5002-ROW())/10000)</f>
        <v/>
      </c>
    </row>
    <row r="3970">
      <c r="K3970">
        <f>IF($A3970="","",SUM($E3970:$J3970))</f>
        <v/>
      </c>
      <c r="M3970">
        <f>IF($A3970="","",MAX(0,ROUNDUP(DASHBOARD!$F$3-$D3970,0)))</f>
        <v/>
      </c>
      <c r="N3970">
        <f>IF($A3970="","",$K3970+(5002-ROW())/10000)</f>
        <v/>
      </c>
    </row>
    <row r="3971">
      <c r="K3971">
        <f>IF($A3971="","",SUM($E3971:$J3971))</f>
        <v/>
      </c>
      <c r="M3971">
        <f>IF($A3971="","",MAX(0,ROUNDUP(DASHBOARD!$F$3-$D3971,0)))</f>
        <v/>
      </c>
      <c r="N3971">
        <f>IF($A3971="","",$K3971+(5002-ROW())/10000)</f>
        <v/>
      </c>
    </row>
    <row r="3972">
      <c r="K3972">
        <f>IF($A3972="","",SUM($E3972:$J3972))</f>
        <v/>
      </c>
      <c r="M3972">
        <f>IF($A3972="","",MAX(0,ROUNDUP(DASHBOARD!$F$3-$D3972,0)))</f>
        <v/>
      </c>
      <c r="N3972">
        <f>IF($A3972="","",$K3972+(5002-ROW())/10000)</f>
        <v/>
      </c>
    </row>
    <row r="3973">
      <c r="K3973">
        <f>IF($A3973="","",SUM($E3973:$J3973))</f>
        <v/>
      </c>
      <c r="M3973">
        <f>IF($A3973="","",MAX(0,ROUNDUP(DASHBOARD!$F$3-$D3973,0)))</f>
        <v/>
      </c>
      <c r="N3973">
        <f>IF($A3973="","",$K3973+(5002-ROW())/10000)</f>
        <v/>
      </c>
    </row>
    <row r="3974">
      <c r="K3974">
        <f>IF($A3974="","",SUM($E3974:$J3974))</f>
        <v/>
      </c>
      <c r="M3974">
        <f>IF($A3974="","",MAX(0,ROUNDUP(DASHBOARD!$F$3-$D3974,0)))</f>
        <v/>
      </c>
      <c r="N3974">
        <f>IF($A3974="","",$K3974+(5002-ROW())/10000)</f>
        <v/>
      </c>
    </row>
    <row r="3975">
      <c r="K3975">
        <f>IF($A3975="","",SUM($E3975:$J3975))</f>
        <v/>
      </c>
      <c r="M3975">
        <f>IF($A3975="","",MAX(0,ROUNDUP(DASHBOARD!$F$3-$D3975,0)))</f>
        <v/>
      </c>
      <c r="N3975">
        <f>IF($A3975="","",$K3975+(5002-ROW())/10000)</f>
        <v/>
      </c>
    </row>
    <row r="3976">
      <c r="K3976">
        <f>IF($A3976="","",SUM($E3976:$J3976))</f>
        <v/>
      </c>
      <c r="M3976">
        <f>IF($A3976="","",MAX(0,ROUNDUP(DASHBOARD!$F$3-$D3976,0)))</f>
        <v/>
      </c>
      <c r="N3976">
        <f>IF($A3976="","",$K3976+(5002-ROW())/10000)</f>
        <v/>
      </c>
    </row>
    <row r="3977">
      <c r="K3977">
        <f>IF($A3977="","",SUM($E3977:$J3977))</f>
        <v/>
      </c>
      <c r="M3977">
        <f>IF($A3977="","",MAX(0,ROUNDUP(DASHBOARD!$F$3-$D3977,0)))</f>
        <v/>
      </c>
      <c r="N3977">
        <f>IF($A3977="","",$K3977+(5002-ROW())/10000)</f>
        <v/>
      </c>
    </row>
    <row r="3978">
      <c r="K3978">
        <f>IF($A3978="","",SUM($E3978:$J3978))</f>
        <v/>
      </c>
      <c r="M3978">
        <f>IF($A3978="","",MAX(0,ROUNDUP(DASHBOARD!$F$3-$D3978,0)))</f>
        <v/>
      </c>
      <c r="N3978">
        <f>IF($A3978="","",$K3978+(5002-ROW())/10000)</f>
        <v/>
      </c>
    </row>
    <row r="3979">
      <c r="K3979">
        <f>IF($A3979="","",SUM($E3979:$J3979))</f>
        <v/>
      </c>
      <c r="M3979">
        <f>IF($A3979="","",MAX(0,ROUNDUP(DASHBOARD!$F$3-$D3979,0)))</f>
        <v/>
      </c>
      <c r="N3979">
        <f>IF($A3979="","",$K3979+(5002-ROW())/10000)</f>
        <v/>
      </c>
    </row>
    <row r="3980">
      <c r="K3980">
        <f>IF($A3980="","",SUM($E3980:$J3980))</f>
        <v/>
      </c>
      <c r="M3980">
        <f>IF($A3980="","",MAX(0,ROUNDUP(DASHBOARD!$F$3-$D3980,0)))</f>
        <v/>
      </c>
      <c r="N3980">
        <f>IF($A3980="","",$K3980+(5002-ROW())/10000)</f>
        <v/>
      </c>
    </row>
    <row r="3981">
      <c r="K3981">
        <f>IF($A3981="","",SUM($E3981:$J3981))</f>
        <v/>
      </c>
      <c r="M3981">
        <f>IF($A3981="","",MAX(0,ROUNDUP(DASHBOARD!$F$3-$D3981,0)))</f>
        <v/>
      </c>
      <c r="N3981">
        <f>IF($A3981="","",$K3981+(5002-ROW())/10000)</f>
        <v/>
      </c>
    </row>
    <row r="3982">
      <c r="K3982">
        <f>IF($A3982="","",SUM($E3982:$J3982))</f>
        <v/>
      </c>
      <c r="M3982">
        <f>IF($A3982="","",MAX(0,ROUNDUP(DASHBOARD!$F$3-$D3982,0)))</f>
        <v/>
      </c>
      <c r="N3982">
        <f>IF($A3982="","",$K3982+(5002-ROW())/10000)</f>
        <v/>
      </c>
    </row>
    <row r="3983">
      <c r="K3983">
        <f>IF($A3983="","",SUM($E3983:$J3983))</f>
        <v/>
      </c>
      <c r="M3983">
        <f>IF($A3983="","",MAX(0,ROUNDUP(DASHBOARD!$F$3-$D3983,0)))</f>
        <v/>
      </c>
      <c r="N3983">
        <f>IF($A3983="","",$K3983+(5002-ROW())/10000)</f>
        <v/>
      </c>
    </row>
    <row r="3984">
      <c r="K3984">
        <f>IF($A3984="","",SUM($E3984:$J3984))</f>
        <v/>
      </c>
      <c r="M3984">
        <f>IF($A3984="","",MAX(0,ROUNDUP(DASHBOARD!$F$3-$D3984,0)))</f>
        <v/>
      </c>
      <c r="N3984">
        <f>IF($A3984="","",$K3984+(5002-ROW())/10000)</f>
        <v/>
      </c>
    </row>
    <row r="3985">
      <c r="K3985">
        <f>IF($A3985="","",SUM($E3985:$J3985))</f>
        <v/>
      </c>
      <c r="M3985">
        <f>IF($A3985="","",MAX(0,ROUNDUP(DASHBOARD!$F$3-$D3985,0)))</f>
        <v/>
      </c>
      <c r="N3985">
        <f>IF($A3985="","",$K3985+(5002-ROW())/10000)</f>
        <v/>
      </c>
    </row>
    <row r="3986">
      <c r="K3986">
        <f>IF($A3986="","",SUM($E3986:$J3986))</f>
        <v/>
      </c>
      <c r="M3986">
        <f>IF($A3986="","",MAX(0,ROUNDUP(DASHBOARD!$F$3-$D3986,0)))</f>
        <v/>
      </c>
      <c r="N3986">
        <f>IF($A3986="","",$K3986+(5002-ROW())/10000)</f>
        <v/>
      </c>
    </row>
    <row r="3987">
      <c r="K3987">
        <f>IF($A3987="","",SUM($E3987:$J3987))</f>
        <v/>
      </c>
      <c r="M3987">
        <f>IF($A3987="","",MAX(0,ROUNDUP(DASHBOARD!$F$3-$D3987,0)))</f>
        <v/>
      </c>
      <c r="N3987">
        <f>IF($A3987="","",$K3987+(5002-ROW())/10000)</f>
        <v/>
      </c>
    </row>
    <row r="3988">
      <c r="K3988">
        <f>IF($A3988="","",SUM($E3988:$J3988))</f>
        <v/>
      </c>
      <c r="M3988">
        <f>IF($A3988="","",MAX(0,ROUNDUP(DASHBOARD!$F$3-$D3988,0)))</f>
        <v/>
      </c>
      <c r="N3988">
        <f>IF($A3988="","",$K3988+(5002-ROW())/10000)</f>
        <v/>
      </c>
    </row>
    <row r="3989">
      <c r="K3989">
        <f>IF($A3989="","",SUM($E3989:$J3989))</f>
        <v/>
      </c>
      <c r="M3989">
        <f>IF($A3989="","",MAX(0,ROUNDUP(DASHBOARD!$F$3-$D3989,0)))</f>
        <v/>
      </c>
      <c r="N3989">
        <f>IF($A3989="","",$K3989+(5002-ROW())/10000)</f>
        <v/>
      </c>
    </row>
    <row r="3990">
      <c r="K3990">
        <f>IF($A3990="","",SUM($E3990:$J3990))</f>
        <v/>
      </c>
      <c r="M3990">
        <f>IF($A3990="","",MAX(0,ROUNDUP(DASHBOARD!$F$3-$D3990,0)))</f>
        <v/>
      </c>
      <c r="N3990">
        <f>IF($A3990="","",$K3990+(5002-ROW())/10000)</f>
        <v/>
      </c>
    </row>
    <row r="3991">
      <c r="K3991">
        <f>IF($A3991="","",SUM($E3991:$J3991))</f>
        <v/>
      </c>
      <c r="M3991">
        <f>IF($A3991="","",MAX(0,ROUNDUP(DASHBOARD!$F$3-$D3991,0)))</f>
        <v/>
      </c>
      <c r="N3991">
        <f>IF($A3991="","",$K3991+(5002-ROW())/10000)</f>
        <v/>
      </c>
    </row>
    <row r="3992">
      <c r="K3992">
        <f>IF($A3992="","",SUM($E3992:$J3992))</f>
        <v/>
      </c>
      <c r="M3992">
        <f>IF($A3992="","",MAX(0,ROUNDUP(DASHBOARD!$F$3-$D3992,0)))</f>
        <v/>
      </c>
      <c r="N3992">
        <f>IF($A3992="","",$K3992+(5002-ROW())/10000)</f>
        <v/>
      </c>
    </row>
    <row r="3993">
      <c r="K3993">
        <f>IF($A3993="","",SUM($E3993:$J3993))</f>
        <v/>
      </c>
      <c r="M3993">
        <f>IF($A3993="","",MAX(0,ROUNDUP(DASHBOARD!$F$3-$D3993,0)))</f>
        <v/>
      </c>
      <c r="N3993">
        <f>IF($A3993="","",$K3993+(5002-ROW())/10000)</f>
        <v/>
      </c>
    </row>
    <row r="3994">
      <c r="K3994">
        <f>IF($A3994="","",SUM($E3994:$J3994))</f>
        <v/>
      </c>
      <c r="M3994">
        <f>IF($A3994="","",MAX(0,ROUNDUP(DASHBOARD!$F$3-$D3994,0)))</f>
        <v/>
      </c>
      <c r="N3994">
        <f>IF($A3994="","",$K3994+(5002-ROW())/10000)</f>
        <v/>
      </c>
    </row>
    <row r="3995">
      <c r="K3995">
        <f>IF($A3995="","",SUM($E3995:$J3995))</f>
        <v/>
      </c>
      <c r="M3995">
        <f>IF($A3995="","",MAX(0,ROUNDUP(DASHBOARD!$F$3-$D3995,0)))</f>
        <v/>
      </c>
      <c r="N3995">
        <f>IF($A3995="","",$K3995+(5002-ROW())/10000)</f>
        <v/>
      </c>
    </row>
    <row r="3996">
      <c r="K3996">
        <f>IF($A3996="","",SUM($E3996:$J3996))</f>
        <v/>
      </c>
      <c r="M3996">
        <f>IF($A3996="","",MAX(0,ROUNDUP(DASHBOARD!$F$3-$D3996,0)))</f>
        <v/>
      </c>
      <c r="N3996">
        <f>IF($A3996="","",$K3996+(5002-ROW())/10000)</f>
        <v/>
      </c>
    </row>
    <row r="3997">
      <c r="K3997">
        <f>IF($A3997="","",SUM($E3997:$J3997))</f>
        <v/>
      </c>
      <c r="M3997">
        <f>IF($A3997="","",MAX(0,ROUNDUP(DASHBOARD!$F$3-$D3997,0)))</f>
        <v/>
      </c>
      <c r="N3997">
        <f>IF($A3997="","",$K3997+(5002-ROW())/10000)</f>
        <v/>
      </c>
    </row>
    <row r="3998">
      <c r="K3998">
        <f>IF($A3998="","",SUM($E3998:$J3998))</f>
        <v/>
      </c>
      <c r="M3998">
        <f>IF($A3998="","",MAX(0,ROUNDUP(DASHBOARD!$F$3-$D3998,0)))</f>
        <v/>
      </c>
      <c r="N3998">
        <f>IF($A3998="","",$K3998+(5002-ROW())/10000)</f>
        <v/>
      </c>
    </row>
    <row r="3999">
      <c r="K3999">
        <f>IF($A3999="","",SUM($E3999:$J3999))</f>
        <v/>
      </c>
      <c r="M3999">
        <f>IF($A3999="","",MAX(0,ROUNDUP(DASHBOARD!$F$3-$D3999,0)))</f>
        <v/>
      </c>
      <c r="N3999">
        <f>IF($A3999="","",$K3999+(5002-ROW())/10000)</f>
        <v/>
      </c>
    </row>
    <row r="4000">
      <c r="K4000">
        <f>IF($A4000="","",SUM($E4000:$J4000))</f>
        <v/>
      </c>
      <c r="M4000">
        <f>IF($A4000="","",MAX(0,ROUNDUP(DASHBOARD!$F$3-$D4000,0)))</f>
        <v/>
      </c>
      <c r="N4000">
        <f>IF($A4000="","",$K4000+(5002-ROW())/10000)</f>
        <v/>
      </c>
    </row>
    <row r="4001">
      <c r="K4001">
        <f>IF($A4001="","",SUM($E4001:$J4001))</f>
        <v/>
      </c>
      <c r="M4001">
        <f>IF($A4001="","",MAX(0,ROUNDUP(DASHBOARD!$F$3-$D4001,0)))</f>
        <v/>
      </c>
      <c r="N4001">
        <f>IF($A4001="","",$K4001+(5002-ROW())/10000)</f>
        <v/>
      </c>
    </row>
    <row r="4002">
      <c r="K4002">
        <f>IF($A4002="","",SUM($E4002:$J4002))</f>
        <v/>
      </c>
      <c r="M4002">
        <f>IF($A4002="","",MAX(0,ROUNDUP(DASHBOARD!$F$3-$D4002,0)))</f>
        <v/>
      </c>
      <c r="N4002">
        <f>IF($A4002="","",$K4002+(5002-ROW())/10000)</f>
        <v/>
      </c>
    </row>
    <row r="4003">
      <c r="K4003">
        <f>IF($A4003="","",SUM($E4003:$J4003))</f>
        <v/>
      </c>
      <c r="M4003">
        <f>IF($A4003="","",MAX(0,ROUNDUP(DASHBOARD!$F$3-$D4003,0)))</f>
        <v/>
      </c>
      <c r="N4003">
        <f>IF($A4003="","",$K4003+(5002-ROW())/10000)</f>
        <v/>
      </c>
    </row>
    <row r="4004">
      <c r="K4004">
        <f>IF($A4004="","",SUM($E4004:$J4004))</f>
        <v/>
      </c>
      <c r="M4004">
        <f>IF($A4004="","",MAX(0,ROUNDUP(DASHBOARD!$F$3-$D4004,0)))</f>
        <v/>
      </c>
      <c r="N4004">
        <f>IF($A4004="","",$K4004+(5002-ROW())/10000)</f>
        <v/>
      </c>
    </row>
    <row r="4005">
      <c r="K4005">
        <f>IF($A4005="","",SUM($E4005:$J4005))</f>
        <v/>
      </c>
      <c r="M4005">
        <f>IF($A4005="","",MAX(0,ROUNDUP(DASHBOARD!$F$3-$D4005,0)))</f>
        <v/>
      </c>
      <c r="N4005">
        <f>IF($A4005="","",$K4005+(5002-ROW())/10000)</f>
        <v/>
      </c>
    </row>
    <row r="4006">
      <c r="K4006">
        <f>IF($A4006="","",SUM($E4006:$J4006))</f>
        <v/>
      </c>
      <c r="M4006">
        <f>IF($A4006="","",MAX(0,ROUNDUP(DASHBOARD!$F$3-$D4006,0)))</f>
        <v/>
      </c>
      <c r="N4006">
        <f>IF($A4006="","",$K4006+(5002-ROW())/10000)</f>
        <v/>
      </c>
    </row>
    <row r="4007">
      <c r="K4007">
        <f>IF($A4007="","",SUM($E4007:$J4007))</f>
        <v/>
      </c>
      <c r="M4007">
        <f>IF($A4007="","",MAX(0,ROUNDUP(DASHBOARD!$F$3-$D4007,0)))</f>
        <v/>
      </c>
      <c r="N4007">
        <f>IF($A4007="","",$K4007+(5002-ROW())/10000)</f>
        <v/>
      </c>
    </row>
    <row r="4008">
      <c r="K4008">
        <f>IF($A4008="","",SUM($E4008:$J4008))</f>
        <v/>
      </c>
      <c r="M4008">
        <f>IF($A4008="","",MAX(0,ROUNDUP(DASHBOARD!$F$3-$D4008,0)))</f>
        <v/>
      </c>
      <c r="N4008">
        <f>IF($A4008="","",$K4008+(5002-ROW())/10000)</f>
        <v/>
      </c>
    </row>
    <row r="4009">
      <c r="K4009">
        <f>IF($A4009="","",SUM($E4009:$J4009))</f>
        <v/>
      </c>
      <c r="M4009">
        <f>IF($A4009="","",MAX(0,ROUNDUP(DASHBOARD!$F$3-$D4009,0)))</f>
        <v/>
      </c>
      <c r="N4009">
        <f>IF($A4009="","",$K4009+(5002-ROW())/10000)</f>
        <v/>
      </c>
    </row>
    <row r="4010">
      <c r="K4010">
        <f>IF($A4010="","",SUM($E4010:$J4010))</f>
        <v/>
      </c>
      <c r="M4010">
        <f>IF($A4010="","",MAX(0,ROUNDUP(DASHBOARD!$F$3-$D4010,0)))</f>
        <v/>
      </c>
      <c r="N4010">
        <f>IF($A4010="","",$K4010+(5002-ROW())/10000)</f>
        <v/>
      </c>
    </row>
    <row r="4011">
      <c r="K4011">
        <f>IF($A4011="","",SUM($E4011:$J4011))</f>
        <v/>
      </c>
      <c r="M4011">
        <f>IF($A4011="","",MAX(0,ROUNDUP(DASHBOARD!$F$3-$D4011,0)))</f>
        <v/>
      </c>
      <c r="N4011">
        <f>IF($A4011="","",$K4011+(5002-ROW())/10000)</f>
        <v/>
      </c>
    </row>
    <row r="4012">
      <c r="K4012">
        <f>IF($A4012="","",SUM($E4012:$J4012))</f>
        <v/>
      </c>
      <c r="M4012">
        <f>IF($A4012="","",MAX(0,ROUNDUP(DASHBOARD!$F$3-$D4012,0)))</f>
        <v/>
      </c>
      <c r="N4012">
        <f>IF($A4012="","",$K4012+(5002-ROW())/10000)</f>
        <v/>
      </c>
    </row>
    <row r="4013">
      <c r="K4013">
        <f>IF($A4013="","",SUM($E4013:$J4013))</f>
        <v/>
      </c>
      <c r="M4013">
        <f>IF($A4013="","",MAX(0,ROUNDUP(DASHBOARD!$F$3-$D4013,0)))</f>
        <v/>
      </c>
      <c r="N4013">
        <f>IF($A4013="","",$K4013+(5002-ROW())/10000)</f>
        <v/>
      </c>
    </row>
    <row r="4014">
      <c r="K4014">
        <f>IF($A4014="","",SUM($E4014:$J4014))</f>
        <v/>
      </c>
      <c r="M4014">
        <f>IF($A4014="","",MAX(0,ROUNDUP(DASHBOARD!$F$3-$D4014,0)))</f>
        <v/>
      </c>
      <c r="N4014">
        <f>IF($A4014="","",$K4014+(5002-ROW())/10000)</f>
        <v/>
      </c>
    </row>
    <row r="4015">
      <c r="K4015">
        <f>IF($A4015="","",SUM($E4015:$J4015))</f>
        <v/>
      </c>
      <c r="M4015">
        <f>IF($A4015="","",MAX(0,ROUNDUP(DASHBOARD!$F$3-$D4015,0)))</f>
        <v/>
      </c>
      <c r="N4015">
        <f>IF($A4015="","",$K4015+(5002-ROW())/10000)</f>
        <v/>
      </c>
    </row>
    <row r="4016">
      <c r="K4016">
        <f>IF($A4016="","",SUM($E4016:$J4016))</f>
        <v/>
      </c>
      <c r="M4016">
        <f>IF($A4016="","",MAX(0,ROUNDUP(DASHBOARD!$F$3-$D4016,0)))</f>
        <v/>
      </c>
      <c r="N4016">
        <f>IF($A4016="","",$K4016+(5002-ROW())/10000)</f>
        <v/>
      </c>
    </row>
    <row r="4017">
      <c r="K4017">
        <f>IF($A4017="","",SUM($E4017:$J4017))</f>
        <v/>
      </c>
      <c r="M4017">
        <f>IF($A4017="","",MAX(0,ROUNDUP(DASHBOARD!$F$3-$D4017,0)))</f>
        <v/>
      </c>
      <c r="N4017">
        <f>IF($A4017="","",$K4017+(5002-ROW())/10000)</f>
        <v/>
      </c>
    </row>
    <row r="4018">
      <c r="K4018">
        <f>IF($A4018="","",SUM($E4018:$J4018))</f>
        <v/>
      </c>
      <c r="M4018">
        <f>IF($A4018="","",MAX(0,ROUNDUP(DASHBOARD!$F$3-$D4018,0)))</f>
        <v/>
      </c>
      <c r="N4018">
        <f>IF($A4018="","",$K4018+(5002-ROW())/10000)</f>
        <v/>
      </c>
    </row>
    <row r="4019">
      <c r="K4019">
        <f>IF($A4019="","",SUM($E4019:$J4019))</f>
        <v/>
      </c>
      <c r="M4019">
        <f>IF($A4019="","",MAX(0,ROUNDUP(DASHBOARD!$F$3-$D4019,0)))</f>
        <v/>
      </c>
      <c r="N4019">
        <f>IF($A4019="","",$K4019+(5002-ROW())/10000)</f>
        <v/>
      </c>
    </row>
    <row r="4020">
      <c r="K4020">
        <f>IF($A4020="","",SUM($E4020:$J4020))</f>
        <v/>
      </c>
      <c r="M4020">
        <f>IF($A4020="","",MAX(0,ROUNDUP(DASHBOARD!$F$3-$D4020,0)))</f>
        <v/>
      </c>
      <c r="N4020">
        <f>IF($A4020="","",$K4020+(5002-ROW())/10000)</f>
        <v/>
      </c>
    </row>
    <row r="4021">
      <c r="K4021">
        <f>IF($A4021="","",SUM($E4021:$J4021))</f>
        <v/>
      </c>
      <c r="M4021">
        <f>IF($A4021="","",MAX(0,ROUNDUP(DASHBOARD!$F$3-$D4021,0)))</f>
        <v/>
      </c>
      <c r="N4021">
        <f>IF($A4021="","",$K4021+(5002-ROW())/10000)</f>
        <v/>
      </c>
    </row>
    <row r="4022">
      <c r="K4022">
        <f>IF($A4022="","",SUM($E4022:$J4022))</f>
        <v/>
      </c>
      <c r="M4022">
        <f>IF($A4022="","",MAX(0,ROUNDUP(DASHBOARD!$F$3-$D4022,0)))</f>
        <v/>
      </c>
      <c r="N4022">
        <f>IF($A4022="","",$K4022+(5002-ROW())/10000)</f>
        <v/>
      </c>
    </row>
    <row r="4023">
      <c r="K4023">
        <f>IF($A4023="","",SUM($E4023:$J4023))</f>
        <v/>
      </c>
      <c r="M4023">
        <f>IF($A4023="","",MAX(0,ROUNDUP(DASHBOARD!$F$3-$D4023,0)))</f>
        <v/>
      </c>
      <c r="N4023">
        <f>IF($A4023="","",$K4023+(5002-ROW())/10000)</f>
        <v/>
      </c>
    </row>
    <row r="4024">
      <c r="K4024">
        <f>IF($A4024="","",SUM($E4024:$J4024))</f>
        <v/>
      </c>
      <c r="M4024">
        <f>IF($A4024="","",MAX(0,ROUNDUP(DASHBOARD!$F$3-$D4024,0)))</f>
        <v/>
      </c>
      <c r="N4024">
        <f>IF($A4024="","",$K4024+(5002-ROW())/10000)</f>
        <v/>
      </c>
    </row>
    <row r="4025">
      <c r="K4025">
        <f>IF($A4025="","",SUM($E4025:$J4025))</f>
        <v/>
      </c>
      <c r="M4025">
        <f>IF($A4025="","",MAX(0,ROUNDUP(DASHBOARD!$F$3-$D4025,0)))</f>
        <v/>
      </c>
      <c r="N4025">
        <f>IF($A4025="","",$K4025+(5002-ROW())/10000)</f>
        <v/>
      </c>
    </row>
    <row r="4026">
      <c r="K4026">
        <f>IF($A4026="","",SUM($E4026:$J4026))</f>
        <v/>
      </c>
      <c r="M4026">
        <f>IF($A4026="","",MAX(0,ROUNDUP(DASHBOARD!$F$3-$D4026,0)))</f>
        <v/>
      </c>
      <c r="N4026">
        <f>IF($A4026="","",$K4026+(5002-ROW())/10000)</f>
        <v/>
      </c>
    </row>
    <row r="4027">
      <c r="K4027">
        <f>IF($A4027="","",SUM($E4027:$J4027))</f>
        <v/>
      </c>
      <c r="M4027">
        <f>IF($A4027="","",MAX(0,ROUNDUP(DASHBOARD!$F$3-$D4027,0)))</f>
        <v/>
      </c>
      <c r="N4027">
        <f>IF($A4027="","",$K4027+(5002-ROW())/10000)</f>
        <v/>
      </c>
    </row>
    <row r="4028">
      <c r="K4028">
        <f>IF($A4028="","",SUM($E4028:$J4028))</f>
        <v/>
      </c>
      <c r="M4028">
        <f>IF($A4028="","",MAX(0,ROUNDUP(DASHBOARD!$F$3-$D4028,0)))</f>
        <v/>
      </c>
      <c r="N4028">
        <f>IF($A4028="","",$K4028+(5002-ROW())/10000)</f>
        <v/>
      </c>
    </row>
    <row r="4029">
      <c r="K4029">
        <f>IF($A4029="","",SUM($E4029:$J4029))</f>
        <v/>
      </c>
      <c r="M4029">
        <f>IF($A4029="","",MAX(0,ROUNDUP(DASHBOARD!$F$3-$D4029,0)))</f>
        <v/>
      </c>
      <c r="N4029">
        <f>IF($A4029="","",$K4029+(5002-ROW())/10000)</f>
        <v/>
      </c>
    </row>
    <row r="4030">
      <c r="K4030">
        <f>IF($A4030="","",SUM($E4030:$J4030))</f>
        <v/>
      </c>
      <c r="M4030">
        <f>IF($A4030="","",MAX(0,ROUNDUP(DASHBOARD!$F$3-$D4030,0)))</f>
        <v/>
      </c>
      <c r="N4030">
        <f>IF($A4030="","",$K4030+(5002-ROW())/10000)</f>
        <v/>
      </c>
    </row>
    <row r="4031">
      <c r="K4031">
        <f>IF($A4031="","",SUM($E4031:$J4031))</f>
        <v/>
      </c>
      <c r="M4031">
        <f>IF($A4031="","",MAX(0,ROUNDUP(DASHBOARD!$F$3-$D4031,0)))</f>
        <v/>
      </c>
      <c r="N4031">
        <f>IF($A4031="","",$K4031+(5002-ROW())/10000)</f>
        <v/>
      </c>
    </row>
    <row r="4032">
      <c r="K4032">
        <f>IF($A4032="","",SUM($E4032:$J4032))</f>
        <v/>
      </c>
      <c r="M4032">
        <f>IF($A4032="","",MAX(0,ROUNDUP(DASHBOARD!$F$3-$D4032,0)))</f>
        <v/>
      </c>
      <c r="N4032">
        <f>IF($A4032="","",$K4032+(5002-ROW())/10000)</f>
        <v/>
      </c>
    </row>
    <row r="4033">
      <c r="K4033">
        <f>IF($A4033="","",SUM($E4033:$J4033))</f>
        <v/>
      </c>
      <c r="M4033">
        <f>IF($A4033="","",MAX(0,ROUNDUP(DASHBOARD!$F$3-$D4033,0)))</f>
        <v/>
      </c>
      <c r="N4033">
        <f>IF($A4033="","",$K4033+(5002-ROW())/10000)</f>
        <v/>
      </c>
    </row>
    <row r="4034">
      <c r="K4034">
        <f>IF($A4034="","",SUM($E4034:$J4034))</f>
        <v/>
      </c>
      <c r="M4034">
        <f>IF($A4034="","",MAX(0,ROUNDUP(DASHBOARD!$F$3-$D4034,0)))</f>
        <v/>
      </c>
      <c r="N4034">
        <f>IF($A4034="","",$K4034+(5002-ROW())/10000)</f>
        <v/>
      </c>
    </row>
    <row r="4035">
      <c r="K4035">
        <f>IF($A4035="","",SUM($E4035:$J4035))</f>
        <v/>
      </c>
      <c r="M4035">
        <f>IF($A4035="","",MAX(0,ROUNDUP(DASHBOARD!$F$3-$D4035,0)))</f>
        <v/>
      </c>
      <c r="N4035">
        <f>IF($A4035="","",$K4035+(5002-ROW())/10000)</f>
        <v/>
      </c>
    </row>
    <row r="4036">
      <c r="K4036">
        <f>IF($A4036="","",SUM($E4036:$J4036))</f>
        <v/>
      </c>
      <c r="M4036">
        <f>IF($A4036="","",MAX(0,ROUNDUP(DASHBOARD!$F$3-$D4036,0)))</f>
        <v/>
      </c>
      <c r="N4036">
        <f>IF($A4036="","",$K4036+(5002-ROW())/10000)</f>
        <v/>
      </c>
    </row>
    <row r="4037">
      <c r="K4037">
        <f>IF($A4037="","",SUM($E4037:$J4037))</f>
        <v/>
      </c>
      <c r="M4037">
        <f>IF($A4037="","",MAX(0,ROUNDUP(DASHBOARD!$F$3-$D4037,0)))</f>
        <v/>
      </c>
      <c r="N4037">
        <f>IF($A4037="","",$K4037+(5002-ROW())/10000)</f>
        <v/>
      </c>
    </row>
    <row r="4038">
      <c r="K4038">
        <f>IF($A4038="","",SUM($E4038:$J4038))</f>
        <v/>
      </c>
      <c r="M4038">
        <f>IF($A4038="","",MAX(0,ROUNDUP(DASHBOARD!$F$3-$D4038,0)))</f>
        <v/>
      </c>
      <c r="N4038">
        <f>IF($A4038="","",$K4038+(5002-ROW())/10000)</f>
        <v/>
      </c>
    </row>
    <row r="4039">
      <c r="K4039">
        <f>IF($A4039="","",SUM($E4039:$J4039))</f>
        <v/>
      </c>
      <c r="M4039">
        <f>IF($A4039="","",MAX(0,ROUNDUP(DASHBOARD!$F$3-$D4039,0)))</f>
        <v/>
      </c>
      <c r="N4039">
        <f>IF($A4039="","",$K4039+(5002-ROW())/10000)</f>
        <v/>
      </c>
    </row>
    <row r="4040">
      <c r="K4040">
        <f>IF($A4040="","",SUM($E4040:$J4040))</f>
        <v/>
      </c>
      <c r="M4040">
        <f>IF($A4040="","",MAX(0,ROUNDUP(DASHBOARD!$F$3-$D4040,0)))</f>
        <v/>
      </c>
      <c r="N4040">
        <f>IF($A4040="","",$K4040+(5002-ROW())/10000)</f>
        <v/>
      </c>
    </row>
    <row r="4041">
      <c r="K4041">
        <f>IF($A4041="","",SUM($E4041:$J4041))</f>
        <v/>
      </c>
      <c r="M4041">
        <f>IF($A4041="","",MAX(0,ROUNDUP(DASHBOARD!$F$3-$D4041,0)))</f>
        <v/>
      </c>
      <c r="N4041">
        <f>IF($A4041="","",$K4041+(5002-ROW())/10000)</f>
        <v/>
      </c>
    </row>
    <row r="4042">
      <c r="K4042">
        <f>IF($A4042="","",SUM($E4042:$J4042))</f>
        <v/>
      </c>
      <c r="M4042">
        <f>IF($A4042="","",MAX(0,ROUNDUP(DASHBOARD!$F$3-$D4042,0)))</f>
        <v/>
      </c>
      <c r="N4042">
        <f>IF($A4042="","",$K4042+(5002-ROW())/10000)</f>
        <v/>
      </c>
    </row>
    <row r="4043">
      <c r="K4043">
        <f>IF($A4043="","",SUM($E4043:$J4043))</f>
        <v/>
      </c>
      <c r="M4043">
        <f>IF($A4043="","",MAX(0,ROUNDUP(DASHBOARD!$F$3-$D4043,0)))</f>
        <v/>
      </c>
      <c r="N4043">
        <f>IF($A4043="","",$K4043+(5002-ROW())/10000)</f>
        <v/>
      </c>
    </row>
    <row r="4044">
      <c r="K4044">
        <f>IF($A4044="","",SUM($E4044:$J4044))</f>
        <v/>
      </c>
      <c r="M4044">
        <f>IF($A4044="","",MAX(0,ROUNDUP(DASHBOARD!$F$3-$D4044,0)))</f>
        <v/>
      </c>
      <c r="N4044">
        <f>IF($A4044="","",$K4044+(5002-ROW())/10000)</f>
        <v/>
      </c>
    </row>
    <row r="4045">
      <c r="K4045">
        <f>IF($A4045="","",SUM($E4045:$J4045))</f>
        <v/>
      </c>
      <c r="M4045">
        <f>IF($A4045="","",MAX(0,ROUNDUP(DASHBOARD!$F$3-$D4045,0)))</f>
        <v/>
      </c>
      <c r="N4045">
        <f>IF($A4045="","",$K4045+(5002-ROW())/10000)</f>
        <v/>
      </c>
    </row>
    <row r="4046">
      <c r="K4046">
        <f>IF($A4046="","",SUM($E4046:$J4046))</f>
        <v/>
      </c>
      <c r="M4046">
        <f>IF($A4046="","",MAX(0,ROUNDUP(DASHBOARD!$F$3-$D4046,0)))</f>
        <v/>
      </c>
      <c r="N4046">
        <f>IF($A4046="","",$K4046+(5002-ROW())/10000)</f>
        <v/>
      </c>
    </row>
    <row r="4047">
      <c r="K4047">
        <f>IF($A4047="","",SUM($E4047:$J4047))</f>
        <v/>
      </c>
      <c r="M4047">
        <f>IF($A4047="","",MAX(0,ROUNDUP(DASHBOARD!$F$3-$D4047,0)))</f>
        <v/>
      </c>
      <c r="N4047">
        <f>IF($A4047="","",$K4047+(5002-ROW())/10000)</f>
        <v/>
      </c>
    </row>
    <row r="4048">
      <c r="K4048">
        <f>IF($A4048="","",SUM($E4048:$J4048))</f>
        <v/>
      </c>
      <c r="M4048">
        <f>IF($A4048="","",MAX(0,ROUNDUP(DASHBOARD!$F$3-$D4048,0)))</f>
        <v/>
      </c>
      <c r="N4048">
        <f>IF($A4048="","",$K4048+(5002-ROW())/10000)</f>
        <v/>
      </c>
    </row>
    <row r="4049">
      <c r="K4049">
        <f>IF($A4049="","",SUM($E4049:$J4049))</f>
        <v/>
      </c>
      <c r="M4049">
        <f>IF($A4049="","",MAX(0,ROUNDUP(DASHBOARD!$F$3-$D4049,0)))</f>
        <v/>
      </c>
      <c r="N4049">
        <f>IF($A4049="","",$K4049+(5002-ROW())/10000)</f>
        <v/>
      </c>
    </row>
    <row r="4050">
      <c r="K4050">
        <f>IF($A4050="","",SUM($E4050:$J4050))</f>
        <v/>
      </c>
      <c r="M4050">
        <f>IF($A4050="","",MAX(0,ROUNDUP(DASHBOARD!$F$3-$D4050,0)))</f>
        <v/>
      </c>
      <c r="N4050">
        <f>IF($A4050="","",$K4050+(5002-ROW())/10000)</f>
        <v/>
      </c>
    </row>
    <row r="4051">
      <c r="K4051">
        <f>IF($A4051="","",SUM($E4051:$J4051))</f>
        <v/>
      </c>
      <c r="M4051">
        <f>IF($A4051="","",MAX(0,ROUNDUP(DASHBOARD!$F$3-$D4051,0)))</f>
        <v/>
      </c>
      <c r="N4051">
        <f>IF($A4051="","",$K4051+(5002-ROW())/10000)</f>
        <v/>
      </c>
    </row>
    <row r="4052">
      <c r="K4052">
        <f>IF($A4052="","",SUM($E4052:$J4052))</f>
        <v/>
      </c>
      <c r="M4052">
        <f>IF($A4052="","",MAX(0,ROUNDUP(DASHBOARD!$F$3-$D4052,0)))</f>
        <v/>
      </c>
      <c r="N4052">
        <f>IF($A4052="","",$K4052+(5002-ROW())/10000)</f>
        <v/>
      </c>
    </row>
    <row r="4053">
      <c r="K4053">
        <f>IF($A4053="","",SUM($E4053:$J4053))</f>
        <v/>
      </c>
      <c r="M4053">
        <f>IF($A4053="","",MAX(0,ROUNDUP(DASHBOARD!$F$3-$D4053,0)))</f>
        <v/>
      </c>
      <c r="N4053">
        <f>IF($A4053="","",$K4053+(5002-ROW())/10000)</f>
        <v/>
      </c>
    </row>
    <row r="4054">
      <c r="K4054">
        <f>IF($A4054="","",SUM($E4054:$J4054))</f>
        <v/>
      </c>
      <c r="M4054">
        <f>IF($A4054="","",MAX(0,ROUNDUP(DASHBOARD!$F$3-$D4054,0)))</f>
        <v/>
      </c>
      <c r="N4054">
        <f>IF($A4054="","",$K4054+(5002-ROW())/10000)</f>
        <v/>
      </c>
    </row>
    <row r="4055">
      <c r="K4055">
        <f>IF($A4055="","",SUM($E4055:$J4055))</f>
        <v/>
      </c>
      <c r="M4055">
        <f>IF($A4055="","",MAX(0,ROUNDUP(DASHBOARD!$F$3-$D4055,0)))</f>
        <v/>
      </c>
      <c r="N4055">
        <f>IF($A4055="","",$K4055+(5002-ROW())/10000)</f>
        <v/>
      </c>
    </row>
    <row r="4056">
      <c r="K4056">
        <f>IF($A4056="","",SUM($E4056:$J4056))</f>
        <v/>
      </c>
      <c r="M4056">
        <f>IF($A4056="","",MAX(0,ROUNDUP(DASHBOARD!$F$3-$D4056,0)))</f>
        <v/>
      </c>
      <c r="N4056">
        <f>IF($A4056="","",$K4056+(5002-ROW())/10000)</f>
        <v/>
      </c>
    </row>
    <row r="4057">
      <c r="K4057">
        <f>IF($A4057="","",SUM($E4057:$J4057))</f>
        <v/>
      </c>
      <c r="M4057">
        <f>IF($A4057="","",MAX(0,ROUNDUP(DASHBOARD!$F$3-$D4057,0)))</f>
        <v/>
      </c>
      <c r="N4057">
        <f>IF($A4057="","",$K4057+(5002-ROW())/10000)</f>
        <v/>
      </c>
    </row>
    <row r="4058">
      <c r="K4058">
        <f>IF($A4058="","",SUM($E4058:$J4058))</f>
        <v/>
      </c>
      <c r="M4058">
        <f>IF($A4058="","",MAX(0,ROUNDUP(DASHBOARD!$F$3-$D4058,0)))</f>
        <v/>
      </c>
      <c r="N4058">
        <f>IF($A4058="","",$K4058+(5002-ROW())/10000)</f>
        <v/>
      </c>
    </row>
    <row r="4059">
      <c r="K4059">
        <f>IF($A4059="","",SUM($E4059:$J4059))</f>
        <v/>
      </c>
      <c r="M4059">
        <f>IF($A4059="","",MAX(0,ROUNDUP(DASHBOARD!$F$3-$D4059,0)))</f>
        <v/>
      </c>
      <c r="N4059">
        <f>IF($A4059="","",$K4059+(5002-ROW())/10000)</f>
        <v/>
      </c>
    </row>
    <row r="4060">
      <c r="K4060">
        <f>IF($A4060="","",SUM($E4060:$J4060))</f>
        <v/>
      </c>
      <c r="M4060">
        <f>IF($A4060="","",MAX(0,ROUNDUP(DASHBOARD!$F$3-$D4060,0)))</f>
        <v/>
      </c>
      <c r="N4060">
        <f>IF($A4060="","",$K4060+(5002-ROW())/10000)</f>
        <v/>
      </c>
    </row>
    <row r="4061">
      <c r="K4061">
        <f>IF($A4061="","",SUM($E4061:$J4061))</f>
        <v/>
      </c>
      <c r="M4061">
        <f>IF($A4061="","",MAX(0,ROUNDUP(DASHBOARD!$F$3-$D4061,0)))</f>
        <v/>
      </c>
      <c r="N4061">
        <f>IF($A4061="","",$K4061+(5002-ROW())/10000)</f>
        <v/>
      </c>
    </row>
    <row r="4062">
      <c r="K4062">
        <f>IF($A4062="","",SUM($E4062:$J4062))</f>
        <v/>
      </c>
      <c r="M4062">
        <f>IF($A4062="","",MAX(0,ROUNDUP(DASHBOARD!$F$3-$D4062,0)))</f>
        <v/>
      </c>
      <c r="N4062">
        <f>IF($A4062="","",$K4062+(5002-ROW())/10000)</f>
        <v/>
      </c>
    </row>
    <row r="4063">
      <c r="K4063">
        <f>IF($A4063="","",SUM($E4063:$J4063))</f>
        <v/>
      </c>
      <c r="M4063">
        <f>IF($A4063="","",MAX(0,ROUNDUP(DASHBOARD!$F$3-$D4063,0)))</f>
        <v/>
      </c>
      <c r="N4063">
        <f>IF($A4063="","",$K4063+(5002-ROW())/10000)</f>
        <v/>
      </c>
    </row>
    <row r="4064">
      <c r="K4064">
        <f>IF($A4064="","",SUM($E4064:$J4064))</f>
        <v/>
      </c>
      <c r="M4064">
        <f>IF($A4064="","",MAX(0,ROUNDUP(DASHBOARD!$F$3-$D4064,0)))</f>
        <v/>
      </c>
      <c r="N4064">
        <f>IF($A4064="","",$K4064+(5002-ROW())/10000)</f>
        <v/>
      </c>
    </row>
    <row r="4065">
      <c r="K4065">
        <f>IF($A4065="","",SUM($E4065:$J4065))</f>
        <v/>
      </c>
      <c r="M4065">
        <f>IF($A4065="","",MAX(0,ROUNDUP(DASHBOARD!$F$3-$D4065,0)))</f>
        <v/>
      </c>
      <c r="N4065">
        <f>IF($A4065="","",$K4065+(5002-ROW())/10000)</f>
        <v/>
      </c>
    </row>
    <row r="4066">
      <c r="K4066">
        <f>IF($A4066="","",SUM($E4066:$J4066))</f>
        <v/>
      </c>
      <c r="M4066">
        <f>IF($A4066="","",MAX(0,ROUNDUP(DASHBOARD!$F$3-$D4066,0)))</f>
        <v/>
      </c>
      <c r="N4066">
        <f>IF($A4066="","",$K4066+(5002-ROW())/10000)</f>
        <v/>
      </c>
    </row>
    <row r="4067">
      <c r="K4067">
        <f>IF($A4067="","",SUM($E4067:$J4067))</f>
        <v/>
      </c>
      <c r="M4067">
        <f>IF($A4067="","",MAX(0,ROUNDUP(DASHBOARD!$F$3-$D4067,0)))</f>
        <v/>
      </c>
      <c r="N4067">
        <f>IF($A4067="","",$K4067+(5002-ROW())/10000)</f>
        <v/>
      </c>
    </row>
    <row r="4068">
      <c r="K4068">
        <f>IF($A4068="","",SUM($E4068:$J4068))</f>
        <v/>
      </c>
      <c r="M4068">
        <f>IF($A4068="","",MAX(0,ROUNDUP(DASHBOARD!$F$3-$D4068,0)))</f>
        <v/>
      </c>
      <c r="N4068">
        <f>IF($A4068="","",$K4068+(5002-ROW())/10000)</f>
        <v/>
      </c>
    </row>
    <row r="4069">
      <c r="K4069">
        <f>IF($A4069="","",SUM($E4069:$J4069))</f>
        <v/>
      </c>
      <c r="M4069">
        <f>IF($A4069="","",MAX(0,ROUNDUP(DASHBOARD!$F$3-$D4069,0)))</f>
        <v/>
      </c>
      <c r="N4069">
        <f>IF($A4069="","",$K4069+(5002-ROW())/10000)</f>
        <v/>
      </c>
    </row>
    <row r="4070">
      <c r="K4070">
        <f>IF($A4070="","",SUM($E4070:$J4070))</f>
        <v/>
      </c>
      <c r="M4070">
        <f>IF($A4070="","",MAX(0,ROUNDUP(DASHBOARD!$F$3-$D4070,0)))</f>
        <v/>
      </c>
      <c r="N4070">
        <f>IF($A4070="","",$K4070+(5002-ROW())/10000)</f>
        <v/>
      </c>
    </row>
    <row r="4071">
      <c r="K4071">
        <f>IF($A4071="","",SUM($E4071:$J4071))</f>
        <v/>
      </c>
      <c r="M4071">
        <f>IF($A4071="","",MAX(0,ROUNDUP(DASHBOARD!$F$3-$D4071,0)))</f>
        <v/>
      </c>
      <c r="N4071">
        <f>IF($A4071="","",$K4071+(5002-ROW())/10000)</f>
        <v/>
      </c>
    </row>
    <row r="4072">
      <c r="K4072">
        <f>IF($A4072="","",SUM($E4072:$J4072))</f>
        <v/>
      </c>
      <c r="M4072">
        <f>IF($A4072="","",MAX(0,ROUNDUP(DASHBOARD!$F$3-$D4072,0)))</f>
        <v/>
      </c>
      <c r="N4072">
        <f>IF($A4072="","",$K4072+(5002-ROW())/10000)</f>
        <v/>
      </c>
    </row>
    <row r="4073">
      <c r="K4073">
        <f>IF($A4073="","",SUM($E4073:$J4073))</f>
        <v/>
      </c>
      <c r="M4073">
        <f>IF($A4073="","",MAX(0,ROUNDUP(DASHBOARD!$F$3-$D4073,0)))</f>
        <v/>
      </c>
      <c r="N4073">
        <f>IF($A4073="","",$K4073+(5002-ROW())/10000)</f>
        <v/>
      </c>
    </row>
    <row r="4074">
      <c r="K4074">
        <f>IF($A4074="","",SUM($E4074:$J4074))</f>
        <v/>
      </c>
      <c r="M4074">
        <f>IF($A4074="","",MAX(0,ROUNDUP(DASHBOARD!$F$3-$D4074,0)))</f>
        <v/>
      </c>
      <c r="N4074">
        <f>IF($A4074="","",$K4074+(5002-ROW())/10000)</f>
        <v/>
      </c>
    </row>
    <row r="4075">
      <c r="K4075">
        <f>IF($A4075="","",SUM($E4075:$J4075))</f>
        <v/>
      </c>
      <c r="M4075">
        <f>IF($A4075="","",MAX(0,ROUNDUP(DASHBOARD!$F$3-$D4075,0)))</f>
        <v/>
      </c>
      <c r="N4075">
        <f>IF($A4075="","",$K4075+(5002-ROW())/10000)</f>
        <v/>
      </c>
    </row>
    <row r="4076">
      <c r="K4076">
        <f>IF($A4076="","",SUM($E4076:$J4076))</f>
        <v/>
      </c>
      <c r="M4076">
        <f>IF($A4076="","",MAX(0,ROUNDUP(DASHBOARD!$F$3-$D4076,0)))</f>
        <v/>
      </c>
      <c r="N4076">
        <f>IF($A4076="","",$K4076+(5002-ROW())/10000)</f>
        <v/>
      </c>
    </row>
    <row r="4077">
      <c r="K4077">
        <f>IF($A4077="","",SUM($E4077:$J4077))</f>
        <v/>
      </c>
      <c r="M4077">
        <f>IF($A4077="","",MAX(0,ROUNDUP(DASHBOARD!$F$3-$D4077,0)))</f>
        <v/>
      </c>
      <c r="N4077">
        <f>IF($A4077="","",$K4077+(5002-ROW())/10000)</f>
        <v/>
      </c>
    </row>
    <row r="4078">
      <c r="K4078">
        <f>IF($A4078="","",SUM($E4078:$J4078))</f>
        <v/>
      </c>
      <c r="M4078">
        <f>IF($A4078="","",MAX(0,ROUNDUP(DASHBOARD!$F$3-$D4078,0)))</f>
        <v/>
      </c>
      <c r="N4078">
        <f>IF($A4078="","",$K4078+(5002-ROW())/10000)</f>
        <v/>
      </c>
    </row>
    <row r="4079">
      <c r="K4079">
        <f>IF($A4079="","",SUM($E4079:$J4079))</f>
        <v/>
      </c>
      <c r="M4079">
        <f>IF($A4079="","",MAX(0,ROUNDUP(DASHBOARD!$F$3-$D4079,0)))</f>
        <v/>
      </c>
      <c r="N4079">
        <f>IF($A4079="","",$K4079+(5002-ROW())/10000)</f>
        <v/>
      </c>
    </row>
    <row r="4080">
      <c r="K4080">
        <f>IF($A4080="","",SUM($E4080:$J4080))</f>
        <v/>
      </c>
      <c r="M4080">
        <f>IF($A4080="","",MAX(0,ROUNDUP(DASHBOARD!$F$3-$D4080,0)))</f>
        <v/>
      </c>
      <c r="N4080">
        <f>IF($A4080="","",$K4080+(5002-ROW())/10000)</f>
        <v/>
      </c>
    </row>
    <row r="4081">
      <c r="K4081">
        <f>IF($A4081="","",SUM($E4081:$J4081))</f>
        <v/>
      </c>
      <c r="M4081">
        <f>IF($A4081="","",MAX(0,ROUNDUP(DASHBOARD!$F$3-$D4081,0)))</f>
        <v/>
      </c>
      <c r="N4081">
        <f>IF($A4081="","",$K4081+(5002-ROW())/10000)</f>
        <v/>
      </c>
    </row>
    <row r="4082">
      <c r="K4082">
        <f>IF($A4082="","",SUM($E4082:$J4082))</f>
        <v/>
      </c>
      <c r="M4082">
        <f>IF($A4082="","",MAX(0,ROUNDUP(DASHBOARD!$F$3-$D4082,0)))</f>
        <v/>
      </c>
      <c r="N4082">
        <f>IF($A4082="","",$K4082+(5002-ROW())/10000)</f>
        <v/>
      </c>
    </row>
    <row r="4083">
      <c r="K4083">
        <f>IF($A4083="","",SUM($E4083:$J4083))</f>
        <v/>
      </c>
      <c r="M4083">
        <f>IF($A4083="","",MAX(0,ROUNDUP(DASHBOARD!$F$3-$D4083,0)))</f>
        <v/>
      </c>
      <c r="N4083">
        <f>IF($A4083="","",$K4083+(5002-ROW())/10000)</f>
        <v/>
      </c>
    </row>
    <row r="4084">
      <c r="K4084">
        <f>IF($A4084="","",SUM($E4084:$J4084))</f>
        <v/>
      </c>
      <c r="M4084">
        <f>IF($A4084="","",MAX(0,ROUNDUP(DASHBOARD!$F$3-$D4084,0)))</f>
        <v/>
      </c>
      <c r="N4084">
        <f>IF($A4084="","",$K4084+(5002-ROW())/10000)</f>
        <v/>
      </c>
    </row>
    <row r="4085">
      <c r="K4085">
        <f>IF($A4085="","",SUM($E4085:$J4085))</f>
        <v/>
      </c>
      <c r="M4085">
        <f>IF($A4085="","",MAX(0,ROUNDUP(DASHBOARD!$F$3-$D4085,0)))</f>
        <v/>
      </c>
      <c r="N4085">
        <f>IF($A4085="","",$K4085+(5002-ROW())/10000)</f>
        <v/>
      </c>
    </row>
    <row r="4086">
      <c r="K4086">
        <f>IF($A4086="","",SUM($E4086:$J4086))</f>
        <v/>
      </c>
      <c r="M4086">
        <f>IF($A4086="","",MAX(0,ROUNDUP(DASHBOARD!$F$3-$D4086,0)))</f>
        <v/>
      </c>
      <c r="N4086">
        <f>IF($A4086="","",$K4086+(5002-ROW())/10000)</f>
        <v/>
      </c>
    </row>
    <row r="4087">
      <c r="K4087">
        <f>IF($A4087="","",SUM($E4087:$J4087))</f>
        <v/>
      </c>
      <c r="M4087">
        <f>IF($A4087="","",MAX(0,ROUNDUP(DASHBOARD!$F$3-$D4087,0)))</f>
        <v/>
      </c>
      <c r="N4087">
        <f>IF($A4087="","",$K4087+(5002-ROW())/10000)</f>
        <v/>
      </c>
    </row>
    <row r="4088">
      <c r="K4088">
        <f>IF($A4088="","",SUM($E4088:$J4088))</f>
        <v/>
      </c>
      <c r="M4088">
        <f>IF($A4088="","",MAX(0,ROUNDUP(DASHBOARD!$F$3-$D4088,0)))</f>
        <v/>
      </c>
      <c r="N4088">
        <f>IF($A4088="","",$K4088+(5002-ROW())/10000)</f>
        <v/>
      </c>
    </row>
    <row r="4089">
      <c r="K4089">
        <f>IF($A4089="","",SUM($E4089:$J4089))</f>
        <v/>
      </c>
      <c r="M4089">
        <f>IF($A4089="","",MAX(0,ROUNDUP(DASHBOARD!$F$3-$D4089,0)))</f>
        <v/>
      </c>
      <c r="N4089">
        <f>IF($A4089="","",$K4089+(5002-ROW())/10000)</f>
        <v/>
      </c>
    </row>
    <row r="4090">
      <c r="K4090">
        <f>IF($A4090="","",SUM($E4090:$J4090))</f>
        <v/>
      </c>
      <c r="M4090">
        <f>IF($A4090="","",MAX(0,ROUNDUP(DASHBOARD!$F$3-$D4090,0)))</f>
        <v/>
      </c>
      <c r="N4090">
        <f>IF($A4090="","",$K4090+(5002-ROW())/10000)</f>
        <v/>
      </c>
    </row>
    <row r="4091">
      <c r="K4091">
        <f>IF($A4091="","",SUM($E4091:$J4091))</f>
        <v/>
      </c>
      <c r="M4091">
        <f>IF($A4091="","",MAX(0,ROUNDUP(DASHBOARD!$F$3-$D4091,0)))</f>
        <v/>
      </c>
      <c r="N4091">
        <f>IF($A4091="","",$K4091+(5002-ROW())/10000)</f>
        <v/>
      </c>
    </row>
    <row r="4092">
      <c r="K4092">
        <f>IF($A4092="","",SUM($E4092:$J4092))</f>
        <v/>
      </c>
      <c r="M4092">
        <f>IF($A4092="","",MAX(0,ROUNDUP(DASHBOARD!$F$3-$D4092,0)))</f>
        <v/>
      </c>
      <c r="N4092">
        <f>IF($A4092="","",$K4092+(5002-ROW())/10000)</f>
        <v/>
      </c>
    </row>
    <row r="4093">
      <c r="K4093">
        <f>IF($A4093="","",SUM($E4093:$J4093))</f>
        <v/>
      </c>
      <c r="M4093">
        <f>IF($A4093="","",MAX(0,ROUNDUP(DASHBOARD!$F$3-$D4093,0)))</f>
        <v/>
      </c>
      <c r="N4093">
        <f>IF($A4093="","",$K4093+(5002-ROW())/10000)</f>
        <v/>
      </c>
    </row>
    <row r="4094">
      <c r="K4094">
        <f>IF($A4094="","",SUM($E4094:$J4094))</f>
        <v/>
      </c>
      <c r="M4094">
        <f>IF($A4094="","",MAX(0,ROUNDUP(DASHBOARD!$F$3-$D4094,0)))</f>
        <v/>
      </c>
      <c r="N4094">
        <f>IF($A4094="","",$K4094+(5002-ROW())/10000)</f>
        <v/>
      </c>
    </row>
    <row r="4095">
      <c r="K4095">
        <f>IF($A4095="","",SUM($E4095:$J4095))</f>
        <v/>
      </c>
      <c r="M4095">
        <f>IF($A4095="","",MAX(0,ROUNDUP(DASHBOARD!$F$3-$D4095,0)))</f>
        <v/>
      </c>
      <c r="N4095">
        <f>IF($A4095="","",$K4095+(5002-ROW())/10000)</f>
        <v/>
      </c>
    </row>
    <row r="4096">
      <c r="K4096">
        <f>IF($A4096="","",SUM($E4096:$J4096))</f>
        <v/>
      </c>
      <c r="M4096">
        <f>IF($A4096="","",MAX(0,ROUNDUP(DASHBOARD!$F$3-$D4096,0)))</f>
        <v/>
      </c>
      <c r="N4096">
        <f>IF($A4096="","",$K4096+(5002-ROW())/10000)</f>
        <v/>
      </c>
    </row>
    <row r="4097">
      <c r="K4097">
        <f>IF($A4097="","",SUM($E4097:$J4097))</f>
        <v/>
      </c>
      <c r="M4097">
        <f>IF($A4097="","",MAX(0,ROUNDUP(DASHBOARD!$F$3-$D4097,0)))</f>
        <v/>
      </c>
      <c r="N4097">
        <f>IF($A4097="","",$K4097+(5002-ROW())/10000)</f>
        <v/>
      </c>
    </row>
    <row r="4098">
      <c r="K4098">
        <f>IF($A4098="","",SUM($E4098:$J4098))</f>
        <v/>
      </c>
      <c r="M4098">
        <f>IF($A4098="","",MAX(0,ROUNDUP(DASHBOARD!$F$3-$D4098,0)))</f>
        <v/>
      </c>
      <c r="N4098">
        <f>IF($A4098="","",$K4098+(5002-ROW())/10000)</f>
        <v/>
      </c>
    </row>
    <row r="4099">
      <c r="K4099">
        <f>IF($A4099="","",SUM($E4099:$J4099))</f>
        <v/>
      </c>
      <c r="M4099">
        <f>IF($A4099="","",MAX(0,ROUNDUP(DASHBOARD!$F$3-$D4099,0)))</f>
        <v/>
      </c>
      <c r="N4099">
        <f>IF($A4099="","",$K4099+(5002-ROW())/10000)</f>
        <v/>
      </c>
    </row>
    <row r="4100">
      <c r="K4100">
        <f>IF($A4100="","",SUM($E4100:$J4100))</f>
        <v/>
      </c>
      <c r="M4100">
        <f>IF($A4100="","",MAX(0,ROUNDUP(DASHBOARD!$F$3-$D4100,0)))</f>
        <v/>
      </c>
      <c r="N4100">
        <f>IF($A4100="","",$K4100+(5002-ROW())/10000)</f>
        <v/>
      </c>
    </row>
    <row r="4101">
      <c r="K4101">
        <f>IF($A4101="","",SUM($E4101:$J4101))</f>
        <v/>
      </c>
      <c r="M4101">
        <f>IF($A4101="","",MAX(0,ROUNDUP(DASHBOARD!$F$3-$D4101,0)))</f>
        <v/>
      </c>
      <c r="N4101">
        <f>IF($A4101="","",$K4101+(5002-ROW())/10000)</f>
        <v/>
      </c>
    </row>
    <row r="4102">
      <c r="K4102">
        <f>IF($A4102="","",SUM($E4102:$J4102))</f>
        <v/>
      </c>
      <c r="M4102">
        <f>IF($A4102="","",MAX(0,ROUNDUP(DASHBOARD!$F$3-$D4102,0)))</f>
        <v/>
      </c>
      <c r="N4102">
        <f>IF($A4102="","",$K4102+(5002-ROW())/10000)</f>
        <v/>
      </c>
    </row>
    <row r="4103">
      <c r="K4103">
        <f>IF($A4103="","",SUM($E4103:$J4103))</f>
        <v/>
      </c>
      <c r="M4103">
        <f>IF($A4103="","",MAX(0,ROUNDUP(DASHBOARD!$F$3-$D4103,0)))</f>
        <v/>
      </c>
      <c r="N4103">
        <f>IF($A4103="","",$K4103+(5002-ROW())/10000)</f>
        <v/>
      </c>
    </row>
    <row r="4104">
      <c r="K4104">
        <f>IF($A4104="","",SUM($E4104:$J4104))</f>
        <v/>
      </c>
      <c r="M4104">
        <f>IF($A4104="","",MAX(0,ROUNDUP(DASHBOARD!$F$3-$D4104,0)))</f>
        <v/>
      </c>
      <c r="N4104">
        <f>IF($A4104="","",$K4104+(5002-ROW())/10000)</f>
        <v/>
      </c>
    </row>
    <row r="4105">
      <c r="K4105">
        <f>IF($A4105="","",SUM($E4105:$J4105))</f>
        <v/>
      </c>
      <c r="M4105">
        <f>IF($A4105="","",MAX(0,ROUNDUP(DASHBOARD!$F$3-$D4105,0)))</f>
        <v/>
      </c>
      <c r="N4105">
        <f>IF($A4105="","",$K4105+(5002-ROW())/10000)</f>
        <v/>
      </c>
    </row>
    <row r="4106">
      <c r="K4106">
        <f>IF($A4106="","",SUM($E4106:$J4106))</f>
        <v/>
      </c>
      <c r="M4106">
        <f>IF($A4106="","",MAX(0,ROUNDUP(DASHBOARD!$F$3-$D4106,0)))</f>
        <v/>
      </c>
      <c r="N4106">
        <f>IF($A4106="","",$K4106+(5002-ROW())/10000)</f>
        <v/>
      </c>
    </row>
    <row r="4107">
      <c r="K4107">
        <f>IF($A4107="","",SUM($E4107:$J4107))</f>
        <v/>
      </c>
      <c r="M4107">
        <f>IF($A4107="","",MAX(0,ROUNDUP(DASHBOARD!$F$3-$D4107,0)))</f>
        <v/>
      </c>
      <c r="N4107">
        <f>IF($A4107="","",$K4107+(5002-ROW())/10000)</f>
        <v/>
      </c>
    </row>
    <row r="4108">
      <c r="K4108">
        <f>IF($A4108="","",SUM($E4108:$J4108))</f>
        <v/>
      </c>
      <c r="M4108">
        <f>IF($A4108="","",MAX(0,ROUNDUP(DASHBOARD!$F$3-$D4108,0)))</f>
        <v/>
      </c>
      <c r="N4108">
        <f>IF($A4108="","",$K4108+(5002-ROW())/10000)</f>
        <v/>
      </c>
    </row>
    <row r="4109">
      <c r="K4109">
        <f>IF($A4109="","",SUM($E4109:$J4109))</f>
        <v/>
      </c>
      <c r="M4109">
        <f>IF($A4109="","",MAX(0,ROUNDUP(DASHBOARD!$F$3-$D4109,0)))</f>
        <v/>
      </c>
      <c r="N4109">
        <f>IF($A4109="","",$K4109+(5002-ROW())/10000)</f>
        <v/>
      </c>
    </row>
    <row r="4110">
      <c r="K4110">
        <f>IF($A4110="","",SUM($E4110:$J4110))</f>
        <v/>
      </c>
      <c r="M4110">
        <f>IF($A4110="","",MAX(0,ROUNDUP(DASHBOARD!$F$3-$D4110,0)))</f>
        <v/>
      </c>
      <c r="N4110">
        <f>IF($A4110="","",$K4110+(5002-ROW())/10000)</f>
        <v/>
      </c>
    </row>
    <row r="4111">
      <c r="K4111">
        <f>IF($A4111="","",SUM($E4111:$J4111))</f>
        <v/>
      </c>
      <c r="M4111">
        <f>IF($A4111="","",MAX(0,ROUNDUP(DASHBOARD!$F$3-$D4111,0)))</f>
        <v/>
      </c>
      <c r="N4111">
        <f>IF($A4111="","",$K4111+(5002-ROW())/10000)</f>
        <v/>
      </c>
    </row>
    <row r="4112">
      <c r="K4112">
        <f>IF($A4112="","",SUM($E4112:$J4112))</f>
        <v/>
      </c>
      <c r="M4112">
        <f>IF($A4112="","",MAX(0,ROUNDUP(DASHBOARD!$F$3-$D4112,0)))</f>
        <v/>
      </c>
      <c r="N4112">
        <f>IF($A4112="","",$K4112+(5002-ROW())/10000)</f>
        <v/>
      </c>
    </row>
    <row r="4113">
      <c r="K4113">
        <f>IF($A4113="","",SUM($E4113:$J4113))</f>
        <v/>
      </c>
      <c r="M4113">
        <f>IF($A4113="","",MAX(0,ROUNDUP(DASHBOARD!$F$3-$D4113,0)))</f>
        <v/>
      </c>
      <c r="N4113">
        <f>IF($A4113="","",$K4113+(5002-ROW())/10000)</f>
        <v/>
      </c>
    </row>
    <row r="4114">
      <c r="K4114">
        <f>IF($A4114="","",SUM($E4114:$J4114))</f>
        <v/>
      </c>
      <c r="M4114">
        <f>IF($A4114="","",MAX(0,ROUNDUP(DASHBOARD!$F$3-$D4114,0)))</f>
        <v/>
      </c>
      <c r="N4114">
        <f>IF($A4114="","",$K4114+(5002-ROW())/10000)</f>
        <v/>
      </c>
    </row>
    <row r="4115">
      <c r="K4115">
        <f>IF($A4115="","",SUM($E4115:$J4115))</f>
        <v/>
      </c>
      <c r="M4115">
        <f>IF($A4115="","",MAX(0,ROUNDUP(DASHBOARD!$F$3-$D4115,0)))</f>
        <v/>
      </c>
      <c r="N4115">
        <f>IF($A4115="","",$K4115+(5002-ROW())/10000)</f>
        <v/>
      </c>
    </row>
    <row r="4116">
      <c r="K4116">
        <f>IF($A4116="","",SUM($E4116:$J4116))</f>
        <v/>
      </c>
      <c r="M4116">
        <f>IF($A4116="","",MAX(0,ROUNDUP(DASHBOARD!$F$3-$D4116,0)))</f>
        <v/>
      </c>
      <c r="N4116">
        <f>IF($A4116="","",$K4116+(5002-ROW())/10000)</f>
        <v/>
      </c>
    </row>
    <row r="4117">
      <c r="K4117">
        <f>IF($A4117="","",SUM($E4117:$J4117))</f>
        <v/>
      </c>
      <c r="M4117">
        <f>IF($A4117="","",MAX(0,ROUNDUP(DASHBOARD!$F$3-$D4117,0)))</f>
        <v/>
      </c>
      <c r="N4117">
        <f>IF($A4117="","",$K4117+(5002-ROW())/10000)</f>
        <v/>
      </c>
    </row>
    <row r="4118">
      <c r="K4118">
        <f>IF($A4118="","",SUM($E4118:$J4118))</f>
        <v/>
      </c>
      <c r="M4118">
        <f>IF($A4118="","",MAX(0,ROUNDUP(DASHBOARD!$F$3-$D4118,0)))</f>
        <v/>
      </c>
      <c r="N4118">
        <f>IF($A4118="","",$K4118+(5002-ROW())/10000)</f>
        <v/>
      </c>
    </row>
    <row r="4119">
      <c r="K4119">
        <f>IF($A4119="","",SUM($E4119:$J4119))</f>
        <v/>
      </c>
      <c r="M4119">
        <f>IF($A4119="","",MAX(0,ROUNDUP(DASHBOARD!$F$3-$D4119,0)))</f>
        <v/>
      </c>
      <c r="N4119">
        <f>IF($A4119="","",$K4119+(5002-ROW())/10000)</f>
        <v/>
      </c>
    </row>
    <row r="4120">
      <c r="K4120">
        <f>IF($A4120="","",SUM($E4120:$J4120))</f>
        <v/>
      </c>
      <c r="M4120">
        <f>IF($A4120="","",MAX(0,ROUNDUP(DASHBOARD!$F$3-$D4120,0)))</f>
        <v/>
      </c>
      <c r="N4120">
        <f>IF($A4120="","",$K4120+(5002-ROW())/10000)</f>
        <v/>
      </c>
    </row>
    <row r="4121">
      <c r="K4121">
        <f>IF($A4121="","",SUM($E4121:$J4121))</f>
        <v/>
      </c>
      <c r="M4121">
        <f>IF($A4121="","",MAX(0,ROUNDUP(DASHBOARD!$F$3-$D4121,0)))</f>
        <v/>
      </c>
      <c r="N4121">
        <f>IF($A4121="","",$K4121+(5002-ROW())/10000)</f>
        <v/>
      </c>
    </row>
    <row r="4122">
      <c r="K4122">
        <f>IF($A4122="","",SUM($E4122:$J4122))</f>
        <v/>
      </c>
      <c r="M4122">
        <f>IF($A4122="","",MAX(0,ROUNDUP(DASHBOARD!$F$3-$D4122,0)))</f>
        <v/>
      </c>
      <c r="N4122">
        <f>IF($A4122="","",$K4122+(5002-ROW())/10000)</f>
        <v/>
      </c>
    </row>
    <row r="4123">
      <c r="K4123">
        <f>IF($A4123="","",SUM($E4123:$J4123))</f>
        <v/>
      </c>
      <c r="M4123">
        <f>IF($A4123="","",MAX(0,ROUNDUP(DASHBOARD!$F$3-$D4123,0)))</f>
        <v/>
      </c>
      <c r="N4123">
        <f>IF($A4123="","",$K4123+(5002-ROW())/10000)</f>
        <v/>
      </c>
    </row>
    <row r="4124">
      <c r="K4124">
        <f>IF($A4124="","",SUM($E4124:$J4124))</f>
        <v/>
      </c>
      <c r="M4124">
        <f>IF($A4124="","",MAX(0,ROUNDUP(DASHBOARD!$F$3-$D4124,0)))</f>
        <v/>
      </c>
      <c r="N4124">
        <f>IF($A4124="","",$K4124+(5002-ROW())/10000)</f>
        <v/>
      </c>
    </row>
    <row r="4125">
      <c r="K4125">
        <f>IF($A4125="","",SUM($E4125:$J4125))</f>
        <v/>
      </c>
      <c r="M4125">
        <f>IF($A4125="","",MAX(0,ROUNDUP(DASHBOARD!$F$3-$D4125,0)))</f>
        <v/>
      </c>
      <c r="N4125">
        <f>IF($A4125="","",$K4125+(5002-ROW())/10000)</f>
        <v/>
      </c>
    </row>
    <row r="4126">
      <c r="K4126">
        <f>IF($A4126="","",SUM($E4126:$J4126))</f>
        <v/>
      </c>
      <c r="M4126">
        <f>IF($A4126="","",MAX(0,ROUNDUP(DASHBOARD!$F$3-$D4126,0)))</f>
        <v/>
      </c>
      <c r="N4126">
        <f>IF($A4126="","",$K4126+(5002-ROW())/10000)</f>
        <v/>
      </c>
    </row>
    <row r="4127">
      <c r="K4127">
        <f>IF($A4127="","",SUM($E4127:$J4127))</f>
        <v/>
      </c>
      <c r="M4127">
        <f>IF($A4127="","",MAX(0,ROUNDUP(DASHBOARD!$F$3-$D4127,0)))</f>
        <v/>
      </c>
      <c r="N4127">
        <f>IF($A4127="","",$K4127+(5002-ROW())/10000)</f>
        <v/>
      </c>
    </row>
    <row r="4128">
      <c r="K4128">
        <f>IF($A4128="","",SUM($E4128:$J4128))</f>
        <v/>
      </c>
      <c r="M4128">
        <f>IF($A4128="","",MAX(0,ROUNDUP(DASHBOARD!$F$3-$D4128,0)))</f>
        <v/>
      </c>
      <c r="N4128">
        <f>IF($A4128="","",$K4128+(5002-ROW())/10000)</f>
        <v/>
      </c>
    </row>
    <row r="4129">
      <c r="K4129">
        <f>IF($A4129="","",SUM($E4129:$J4129))</f>
        <v/>
      </c>
      <c r="M4129">
        <f>IF($A4129="","",MAX(0,ROUNDUP(DASHBOARD!$F$3-$D4129,0)))</f>
        <v/>
      </c>
      <c r="N4129">
        <f>IF($A4129="","",$K4129+(5002-ROW())/10000)</f>
        <v/>
      </c>
    </row>
    <row r="4130">
      <c r="K4130">
        <f>IF($A4130="","",SUM($E4130:$J4130))</f>
        <v/>
      </c>
      <c r="M4130">
        <f>IF($A4130="","",MAX(0,ROUNDUP(DASHBOARD!$F$3-$D4130,0)))</f>
        <v/>
      </c>
      <c r="N4130">
        <f>IF($A4130="","",$K4130+(5002-ROW())/10000)</f>
        <v/>
      </c>
    </row>
    <row r="4131">
      <c r="K4131">
        <f>IF($A4131="","",SUM($E4131:$J4131))</f>
        <v/>
      </c>
      <c r="M4131">
        <f>IF($A4131="","",MAX(0,ROUNDUP(DASHBOARD!$F$3-$D4131,0)))</f>
        <v/>
      </c>
      <c r="N4131">
        <f>IF($A4131="","",$K4131+(5002-ROW())/10000)</f>
        <v/>
      </c>
    </row>
    <row r="4132">
      <c r="K4132">
        <f>IF($A4132="","",SUM($E4132:$J4132))</f>
        <v/>
      </c>
      <c r="M4132">
        <f>IF($A4132="","",MAX(0,ROUNDUP(DASHBOARD!$F$3-$D4132,0)))</f>
        <v/>
      </c>
      <c r="N4132">
        <f>IF($A4132="","",$K4132+(5002-ROW())/10000)</f>
        <v/>
      </c>
    </row>
    <row r="4133">
      <c r="K4133">
        <f>IF($A4133="","",SUM($E4133:$J4133))</f>
        <v/>
      </c>
      <c r="M4133">
        <f>IF($A4133="","",MAX(0,ROUNDUP(DASHBOARD!$F$3-$D4133,0)))</f>
        <v/>
      </c>
      <c r="N4133">
        <f>IF($A4133="","",$K4133+(5002-ROW())/10000)</f>
        <v/>
      </c>
    </row>
    <row r="4134">
      <c r="K4134">
        <f>IF($A4134="","",SUM($E4134:$J4134))</f>
        <v/>
      </c>
      <c r="M4134">
        <f>IF($A4134="","",MAX(0,ROUNDUP(DASHBOARD!$F$3-$D4134,0)))</f>
        <v/>
      </c>
      <c r="N4134">
        <f>IF($A4134="","",$K4134+(5002-ROW())/10000)</f>
        <v/>
      </c>
    </row>
    <row r="4135">
      <c r="K4135">
        <f>IF($A4135="","",SUM($E4135:$J4135))</f>
        <v/>
      </c>
      <c r="M4135">
        <f>IF($A4135="","",MAX(0,ROUNDUP(DASHBOARD!$F$3-$D4135,0)))</f>
        <v/>
      </c>
      <c r="N4135">
        <f>IF($A4135="","",$K4135+(5002-ROW())/10000)</f>
        <v/>
      </c>
    </row>
    <row r="4136">
      <c r="K4136">
        <f>IF($A4136="","",SUM($E4136:$J4136))</f>
        <v/>
      </c>
      <c r="M4136">
        <f>IF($A4136="","",MAX(0,ROUNDUP(DASHBOARD!$F$3-$D4136,0)))</f>
        <v/>
      </c>
      <c r="N4136">
        <f>IF($A4136="","",$K4136+(5002-ROW())/10000)</f>
        <v/>
      </c>
    </row>
    <row r="4137">
      <c r="K4137">
        <f>IF($A4137="","",SUM($E4137:$J4137))</f>
        <v/>
      </c>
      <c r="M4137">
        <f>IF($A4137="","",MAX(0,ROUNDUP(DASHBOARD!$F$3-$D4137,0)))</f>
        <v/>
      </c>
      <c r="N4137">
        <f>IF($A4137="","",$K4137+(5002-ROW())/10000)</f>
        <v/>
      </c>
    </row>
    <row r="4138">
      <c r="K4138">
        <f>IF($A4138="","",SUM($E4138:$J4138))</f>
        <v/>
      </c>
      <c r="M4138">
        <f>IF($A4138="","",MAX(0,ROUNDUP(DASHBOARD!$F$3-$D4138,0)))</f>
        <v/>
      </c>
      <c r="N4138">
        <f>IF($A4138="","",$K4138+(5002-ROW())/10000)</f>
        <v/>
      </c>
    </row>
    <row r="4139">
      <c r="K4139">
        <f>IF($A4139="","",SUM($E4139:$J4139))</f>
        <v/>
      </c>
      <c r="M4139">
        <f>IF($A4139="","",MAX(0,ROUNDUP(DASHBOARD!$F$3-$D4139,0)))</f>
        <v/>
      </c>
      <c r="N4139">
        <f>IF($A4139="","",$K4139+(5002-ROW())/10000)</f>
        <v/>
      </c>
    </row>
    <row r="4140">
      <c r="K4140">
        <f>IF($A4140="","",SUM($E4140:$J4140))</f>
        <v/>
      </c>
      <c r="M4140">
        <f>IF($A4140="","",MAX(0,ROUNDUP(DASHBOARD!$F$3-$D4140,0)))</f>
        <v/>
      </c>
      <c r="N4140">
        <f>IF($A4140="","",$K4140+(5002-ROW())/10000)</f>
        <v/>
      </c>
    </row>
    <row r="4141">
      <c r="K4141">
        <f>IF($A4141="","",SUM($E4141:$J4141))</f>
        <v/>
      </c>
      <c r="M4141">
        <f>IF($A4141="","",MAX(0,ROUNDUP(DASHBOARD!$F$3-$D4141,0)))</f>
        <v/>
      </c>
      <c r="N4141">
        <f>IF($A4141="","",$K4141+(5002-ROW())/10000)</f>
        <v/>
      </c>
    </row>
    <row r="4142">
      <c r="K4142">
        <f>IF($A4142="","",SUM($E4142:$J4142))</f>
        <v/>
      </c>
      <c r="M4142">
        <f>IF($A4142="","",MAX(0,ROUNDUP(DASHBOARD!$F$3-$D4142,0)))</f>
        <v/>
      </c>
      <c r="N4142">
        <f>IF($A4142="","",$K4142+(5002-ROW())/10000)</f>
        <v/>
      </c>
    </row>
    <row r="4143">
      <c r="K4143">
        <f>IF($A4143="","",SUM($E4143:$J4143))</f>
        <v/>
      </c>
      <c r="M4143">
        <f>IF($A4143="","",MAX(0,ROUNDUP(DASHBOARD!$F$3-$D4143,0)))</f>
        <v/>
      </c>
      <c r="N4143">
        <f>IF($A4143="","",$K4143+(5002-ROW())/10000)</f>
        <v/>
      </c>
    </row>
    <row r="4144">
      <c r="K4144">
        <f>IF($A4144="","",SUM($E4144:$J4144))</f>
        <v/>
      </c>
      <c r="M4144">
        <f>IF($A4144="","",MAX(0,ROUNDUP(DASHBOARD!$F$3-$D4144,0)))</f>
        <v/>
      </c>
      <c r="N4144">
        <f>IF($A4144="","",$K4144+(5002-ROW())/10000)</f>
        <v/>
      </c>
    </row>
    <row r="4145">
      <c r="K4145">
        <f>IF($A4145="","",SUM($E4145:$J4145))</f>
        <v/>
      </c>
      <c r="M4145">
        <f>IF($A4145="","",MAX(0,ROUNDUP(DASHBOARD!$F$3-$D4145,0)))</f>
        <v/>
      </c>
      <c r="N4145">
        <f>IF($A4145="","",$K4145+(5002-ROW())/10000)</f>
        <v/>
      </c>
    </row>
    <row r="4146">
      <c r="K4146">
        <f>IF($A4146="","",SUM($E4146:$J4146))</f>
        <v/>
      </c>
      <c r="M4146">
        <f>IF($A4146="","",MAX(0,ROUNDUP(DASHBOARD!$F$3-$D4146,0)))</f>
        <v/>
      </c>
      <c r="N4146">
        <f>IF($A4146="","",$K4146+(5002-ROW())/10000)</f>
        <v/>
      </c>
    </row>
    <row r="4147">
      <c r="K4147">
        <f>IF($A4147="","",SUM($E4147:$J4147))</f>
        <v/>
      </c>
      <c r="M4147">
        <f>IF($A4147="","",MAX(0,ROUNDUP(DASHBOARD!$F$3-$D4147,0)))</f>
        <v/>
      </c>
      <c r="N4147">
        <f>IF($A4147="","",$K4147+(5002-ROW())/10000)</f>
        <v/>
      </c>
    </row>
    <row r="4148">
      <c r="K4148">
        <f>IF($A4148="","",SUM($E4148:$J4148))</f>
        <v/>
      </c>
      <c r="M4148">
        <f>IF($A4148="","",MAX(0,ROUNDUP(DASHBOARD!$F$3-$D4148,0)))</f>
        <v/>
      </c>
      <c r="N4148">
        <f>IF($A4148="","",$K4148+(5002-ROW())/10000)</f>
        <v/>
      </c>
    </row>
    <row r="4149">
      <c r="K4149">
        <f>IF($A4149="","",SUM($E4149:$J4149))</f>
        <v/>
      </c>
      <c r="M4149">
        <f>IF($A4149="","",MAX(0,ROUNDUP(DASHBOARD!$F$3-$D4149,0)))</f>
        <v/>
      </c>
      <c r="N4149">
        <f>IF($A4149="","",$K4149+(5002-ROW())/10000)</f>
        <v/>
      </c>
    </row>
    <row r="4150">
      <c r="K4150">
        <f>IF($A4150="","",SUM($E4150:$J4150))</f>
        <v/>
      </c>
      <c r="M4150">
        <f>IF($A4150="","",MAX(0,ROUNDUP(DASHBOARD!$F$3-$D4150,0)))</f>
        <v/>
      </c>
      <c r="N4150">
        <f>IF($A4150="","",$K4150+(5002-ROW())/10000)</f>
        <v/>
      </c>
    </row>
    <row r="4151">
      <c r="K4151">
        <f>IF($A4151="","",SUM($E4151:$J4151))</f>
        <v/>
      </c>
      <c r="M4151">
        <f>IF($A4151="","",MAX(0,ROUNDUP(DASHBOARD!$F$3-$D4151,0)))</f>
        <v/>
      </c>
      <c r="N4151">
        <f>IF($A4151="","",$K4151+(5002-ROW())/10000)</f>
        <v/>
      </c>
    </row>
    <row r="4152">
      <c r="K4152">
        <f>IF($A4152="","",SUM($E4152:$J4152))</f>
        <v/>
      </c>
      <c r="M4152">
        <f>IF($A4152="","",MAX(0,ROUNDUP(DASHBOARD!$F$3-$D4152,0)))</f>
        <v/>
      </c>
      <c r="N4152">
        <f>IF($A4152="","",$K4152+(5002-ROW())/10000)</f>
        <v/>
      </c>
    </row>
    <row r="4153">
      <c r="K4153">
        <f>IF($A4153="","",SUM($E4153:$J4153))</f>
        <v/>
      </c>
      <c r="M4153">
        <f>IF($A4153="","",MAX(0,ROUNDUP(DASHBOARD!$F$3-$D4153,0)))</f>
        <v/>
      </c>
      <c r="N4153">
        <f>IF($A4153="","",$K4153+(5002-ROW())/10000)</f>
        <v/>
      </c>
    </row>
    <row r="4154">
      <c r="K4154">
        <f>IF($A4154="","",SUM($E4154:$J4154))</f>
        <v/>
      </c>
      <c r="M4154">
        <f>IF($A4154="","",MAX(0,ROUNDUP(DASHBOARD!$F$3-$D4154,0)))</f>
        <v/>
      </c>
      <c r="N4154">
        <f>IF($A4154="","",$K4154+(5002-ROW())/10000)</f>
        <v/>
      </c>
    </row>
    <row r="4155">
      <c r="K4155">
        <f>IF($A4155="","",SUM($E4155:$J4155))</f>
        <v/>
      </c>
      <c r="M4155">
        <f>IF($A4155="","",MAX(0,ROUNDUP(DASHBOARD!$F$3-$D4155,0)))</f>
        <v/>
      </c>
      <c r="N4155">
        <f>IF($A4155="","",$K4155+(5002-ROW())/10000)</f>
        <v/>
      </c>
    </row>
    <row r="4156">
      <c r="K4156">
        <f>IF($A4156="","",SUM($E4156:$J4156))</f>
        <v/>
      </c>
      <c r="M4156">
        <f>IF($A4156="","",MAX(0,ROUNDUP(DASHBOARD!$F$3-$D4156,0)))</f>
        <v/>
      </c>
      <c r="N4156">
        <f>IF($A4156="","",$K4156+(5002-ROW())/10000)</f>
        <v/>
      </c>
    </row>
    <row r="4157">
      <c r="K4157">
        <f>IF($A4157="","",SUM($E4157:$J4157))</f>
        <v/>
      </c>
      <c r="M4157">
        <f>IF($A4157="","",MAX(0,ROUNDUP(DASHBOARD!$F$3-$D4157,0)))</f>
        <v/>
      </c>
      <c r="N4157">
        <f>IF($A4157="","",$K4157+(5002-ROW())/10000)</f>
        <v/>
      </c>
    </row>
    <row r="4158">
      <c r="K4158">
        <f>IF($A4158="","",SUM($E4158:$J4158))</f>
        <v/>
      </c>
      <c r="M4158">
        <f>IF($A4158="","",MAX(0,ROUNDUP(DASHBOARD!$F$3-$D4158,0)))</f>
        <v/>
      </c>
      <c r="N4158">
        <f>IF($A4158="","",$K4158+(5002-ROW())/10000)</f>
        <v/>
      </c>
    </row>
    <row r="4159">
      <c r="K4159">
        <f>IF($A4159="","",SUM($E4159:$J4159))</f>
        <v/>
      </c>
      <c r="M4159">
        <f>IF($A4159="","",MAX(0,ROUNDUP(DASHBOARD!$F$3-$D4159,0)))</f>
        <v/>
      </c>
      <c r="N4159">
        <f>IF($A4159="","",$K4159+(5002-ROW())/10000)</f>
        <v/>
      </c>
    </row>
    <row r="4160">
      <c r="K4160">
        <f>IF($A4160="","",SUM($E4160:$J4160))</f>
        <v/>
      </c>
      <c r="M4160">
        <f>IF($A4160="","",MAX(0,ROUNDUP(DASHBOARD!$F$3-$D4160,0)))</f>
        <v/>
      </c>
      <c r="N4160">
        <f>IF($A4160="","",$K4160+(5002-ROW())/10000)</f>
        <v/>
      </c>
    </row>
    <row r="4161">
      <c r="K4161">
        <f>IF($A4161="","",SUM($E4161:$J4161))</f>
        <v/>
      </c>
      <c r="M4161">
        <f>IF($A4161="","",MAX(0,ROUNDUP(DASHBOARD!$F$3-$D4161,0)))</f>
        <v/>
      </c>
      <c r="N4161">
        <f>IF($A4161="","",$K4161+(5002-ROW())/10000)</f>
        <v/>
      </c>
    </row>
    <row r="4162">
      <c r="K4162">
        <f>IF($A4162="","",SUM($E4162:$J4162))</f>
        <v/>
      </c>
      <c r="M4162">
        <f>IF($A4162="","",MAX(0,ROUNDUP(DASHBOARD!$F$3-$D4162,0)))</f>
        <v/>
      </c>
      <c r="N4162">
        <f>IF($A4162="","",$K4162+(5002-ROW())/10000)</f>
        <v/>
      </c>
    </row>
    <row r="4163">
      <c r="K4163">
        <f>IF($A4163="","",SUM($E4163:$J4163))</f>
        <v/>
      </c>
      <c r="M4163">
        <f>IF($A4163="","",MAX(0,ROUNDUP(DASHBOARD!$F$3-$D4163,0)))</f>
        <v/>
      </c>
      <c r="N4163">
        <f>IF($A4163="","",$K4163+(5002-ROW())/10000)</f>
        <v/>
      </c>
    </row>
    <row r="4164">
      <c r="K4164">
        <f>IF($A4164="","",SUM($E4164:$J4164))</f>
        <v/>
      </c>
      <c r="M4164">
        <f>IF($A4164="","",MAX(0,ROUNDUP(DASHBOARD!$F$3-$D4164,0)))</f>
        <v/>
      </c>
      <c r="N4164">
        <f>IF($A4164="","",$K4164+(5002-ROW())/10000)</f>
        <v/>
      </c>
    </row>
    <row r="4165">
      <c r="K4165">
        <f>IF($A4165="","",SUM($E4165:$J4165))</f>
        <v/>
      </c>
      <c r="M4165">
        <f>IF($A4165="","",MAX(0,ROUNDUP(DASHBOARD!$F$3-$D4165,0)))</f>
        <v/>
      </c>
      <c r="N4165">
        <f>IF($A4165="","",$K4165+(5002-ROW())/10000)</f>
        <v/>
      </c>
    </row>
    <row r="4166">
      <c r="K4166">
        <f>IF($A4166="","",SUM($E4166:$J4166))</f>
        <v/>
      </c>
      <c r="M4166">
        <f>IF($A4166="","",MAX(0,ROUNDUP(DASHBOARD!$F$3-$D4166,0)))</f>
        <v/>
      </c>
      <c r="N4166">
        <f>IF($A4166="","",$K4166+(5002-ROW())/10000)</f>
        <v/>
      </c>
    </row>
    <row r="4167">
      <c r="K4167">
        <f>IF($A4167="","",SUM($E4167:$J4167))</f>
        <v/>
      </c>
      <c r="M4167">
        <f>IF($A4167="","",MAX(0,ROUNDUP(DASHBOARD!$F$3-$D4167,0)))</f>
        <v/>
      </c>
      <c r="N4167">
        <f>IF($A4167="","",$K4167+(5002-ROW())/10000)</f>
        <v/>
      </c>
    </row>
    <row r="4168">
      <c r="K4168">
        <f>IF($A4168="","",SUM($E4168:$J4168))</f>
        <v/>
      </c>
      <c r="M4168">
        <f>IF($A4168="","",MAX(0,ROUNDUP(DASHBOARD!$F$3-$D4168,0)))</f>
        <v/>
      </c>
      <c r="N4168">
        <f>IF($A4168="","",$K4168+(5002-ROW())/10000)</f>
        <v/>
      </c>
    </row>
    <row r="4169">
      <c r="K4169">
        <f>IF($A4169="","",SUM($E4169:$J4169))</f>
        <v/>
      </c>
      <c r="M4169">
        <f>IF($A4169="","",MAX(0,ROUNDUP(DASHBOARD!$F$3-$D4169,0)))</f>
        <v/>
      </c>
      <c r="N4169">
        <f>IF($A4169="","",$K4169+(5002-ROW())/10000)</f>
        <v/>
      </c>
    </row>
    <row r="4170">
      <c r="K4170">
        <f>IF($A4170="","",SUM($E4170:$J4170))</f>
        <v/>
      </c>
      <c r="M4170">
        <f>IF($A4170="","",MAX(0,ROUNDUP(DASHBOARD!$F$3-$D4170,0)))</f>
        <v/>
      </c>
      <c r="N4170">
        <f>IF($A4170="","",$K4170+(5002-ROW())/10000)</f>
        <v/>
      </c>
    </row>
    <row r="4171">
      <c r="K4171">
        <f>IF($A4171="","",SUM($E4171:$J4171))</f>
        <v/>
      </c>
      <c r="M4171">
        <f>IF($A4171="","",MAX(0,ROUNDUP(DASHBOARD!$F$3-$D4171,0)))</f>
        <v/>
      </c>
      <c r="N4171">
        <f>IF($A4171="","",$K4171+(5002-ROW())/10000)</f>
        <v/>
      </c>
    </row>
    <row r="4172">
      <c r="K4172">
        <f>IF($A4172="","",SUM($E4172:$J4172))</f>
        <v/>
      </c>
      <c r="M4172">
        <f>IF($A4172="","",MAX(0,ROUNDUP(DASHBOARD!$F$3-$D4172,0)))</f>
        <v/>
      </c>
      <c r="N4172">
        <f>IF($A4172="","",$K4172+(5002-ROW())/10000)</f>
        <v/>
      </c>
    </row>
    <row r="4173">
      <c r="K4173">
        <f>IF($A4173="","",SUM($E4173:$J4173))</f>
        <v/>
      </c>
      <c r="M4173">
        <f>IF($A4173="","",MAX(0,ROUNDUP(DASHBOARD!$F$3-$D4173,0)))</f>
        <v/>
      </c>
      <c r="N4173">
        <f>IF($A4173="","",$K4173+(5002-ROW())/10000)</f>
        <v/>
      </c>
    </row>
    <row r="4174">
      <c r="K4174">
        <f>IF($A4174="","",SUM($E4174:$J4174))</f>
        <v/>
      </c>
      <c r="M4174">
        <f>IF($A4174="","",MAX(0,ROUNDUP(DASHBOARD!$F$3-$D4174,0)))</f>
        <v/>
      </c>
      <c r="N4174">
        <f>IF($A4174="","",$K4174+(5002-ROW())/10000)</f>
        <v/>
      </c>
    </row>
    <row r="4175">
      <c r="K4175">
        <f>IF($A4175="","",SUM($E4175:$J4175))</f>
        <v/>
      </c>
      <c r="M4175">
        <f>IF($A4175="","",MAX(0,ROUNDUP(DASHBOARD!$F$3-$D4175,0)))</f>
        <v/>
      </c>
      <c r="N4175">
        <f>IF($A4175="","",$K4175+(5002-ROW())/10000)</f>
        <v/>
      </c>
    </row>
    <row r="4176">
      <c r="K4176">
        <f>IF($A4176="","",SUM($E4176:$J4176))</f>
        <v/>
      </c>
      <c r="M4176">
        <f>IF($A4176="","",MAX(0,ROUNDUP(DASHBOARD!$F$3-$D4176,0)))</f>
        <v/>
      </c>
      <c r="N4176">
        <f>IF($A4176="","",$K4176+(5002-ROW())/10000)</f>
        <v/>
      </c>
    </row>
    <row r="4177">
      <c r="K4177">
        <f>IF($A4177="","",SUM($E4177:$J4177))</f>
        <v/>
      </c>
      <c r="M4177">
        <f>IF($A4177="","",MAX(0,ROUNDUP(DASHBOARD!$F$3-$D4177,0)))</f>
        <v/>
      </c>
      <c r="N4177">
        <f>IF($A4177="","",$K4177+(5002-ROW())/10000)</f>
        <v/>
      </c>
    </row>
    <row r="4178">
      <c r="K4178">
        <f>IF($A4178="","",SUM($E4178:$J4178))</f>
        <v/>
      </c>
      <c r="M4178">
        <f>IF($A4178="","",MAX(0,ROUNDUP(DASHBOARD!$F$3-$D4178,0)))</f>
        <v/>
      </c>
      <c r="N4178">
        <f>IF($A4178="","",$K4178+(5002-ROW())/10000)</f>
        <v/>
      </c>
    </row>
    <row r="4179">
      <c r="K4179">
        <f>IF($A4179="","",SUM($E4179:$J4179))</f>
        <v/>
      </c>
      <c r="M4179">
        <f>IF($A4179="","",MAX(0,ROUNDUP(DASHBOARD!$F$3-$D4179,0)))</f>
        <v/>
      </c>
      <c r="N4179">
        <f>IF($A4179="","",$K4179+(5002-ROW())/10000)</f>
        <v/>
      </c>
    </row>
    <row r="4180">
      <c r="K4180">
        <f>IF($A4180="","",SUM($E4180:$J4180))</f>
        <v/>
      </c>
      <c r="M4180">
        <f>IF($A4180="","",MAX(0,ROUNDUP(DASHBOARD!$F$3-$D4180,0)))</f>
        <v/>
      </c>
      <c r="N4180">
        <f>IF($A4180="","",$K4180+(5002-ROW())/10000)</f>
        <v/>
      </c>
    </row>
    <row r="4181">
      <c r="K4181">
        <f>IF($A4181="","",SUM($E4181:$J4181))</f>
        <v/>
      </c>
      <c r="M4181">
        <f>IF($A4181="","",MAX(0,ROUNDUP(DASHBOARD!$F$3-$D4181,0)))</f>
        <v/>
      </c>
      <c r="N4181">
        <f>IF($A4181="","",$K4181+(5002-ROW())/10000)</f>
        <v/>
      </c>
    </row>
    <row r="4182">
      <c r="K4182">
        <f>IF($A4182="","",SUM($E4182:$J4182))</f>
        <v/>
      </c>
      <c r="M4182">
        <f>IF($A4182="","",MAX(0,ROUNDUP(DASHBOARD!$F$3-$D4182,0)))</f>
        <v/>
      </c>
      <c r="N4182">
        <f>IF($A4182="","",$K4182+(5002-ROW())/10000)</f>
        <v/>
      </c>
    </row>
    <row r="4183">
      <c r="K4183">
        <f>IF($A4183="","",SUM($E4183:$J4183))</f>
        <v/>
      </c>
      <c r="M4183">
        <f>IF($A4183="","",MAX(0,ROUNDUP(DASHBOARD!$F$3-$D4183,0)))</f>
        <v/>
      </c>
      <c r="N4183">
        <f>IF($A4183="","",$K4183+(5002-ROW())/10000)</f>
        <v/>
      </c>
    </row>
    <row r="4184">
      <c r="K4184">
        <f>IF($A4184="","",SUM($E4184:$J4184))</f>
        <v/>
      </c>
      <c r="M4184">
        <f>IF($A4184="","",MAX(0,ROUNDUP(DASHBOARD!$F$3-$D4184,0)))</f>
        <v/>
      </c>
      <c r="N4184">
        <f>IF($A4184="","",$K4184+(5002-ROW())/10000)</f>
        <v/>
      </c>
    </row>
    <row r="4185">
      <c r="K4185">
        <f>IF($A4185="","",SUM($E4185:$J4185))</f>
        <v/>
      </c>
      <c r="M4185">
        <f>IF($A4185="","",MAX(0,ROUNDUP(DASHBOARD!$F$3-$D4185,0)))</f>
        <v/>
      </c>
      <c r="N4185">
        <f>IF($A4185="","",$K4185+(5002-ROW())/10000)</f>
        <v/>
      </c>
    </row>
    <row r="4186">
      <c r="K4186">
        <f>IF($A4186="","",SUM($E4186:$J4186))</f>
        <v/>
      </c>
      <c r="M4186">
        <f>IF($A4186="","",MAX(0,ROUNDUP(DASHBOARD!$F$3-$D4186,0)))</f>
        <v/>
      </c>
      <c r="N4186">
        <f>IF($A4186="","",$K4186+(5002-ROW())/10000)</f>
        <v/>
      </c>
    </row>
    <row r="4187">
      <c r="K4187">
        <f>IF($A4187="","",SUM($E4187:$J4187))</f>
        <v/>
      </c>
      <c r="M4187">
        <f>IF($A4187="","",MAX(0,ROUNDUP(DASHBOARD!$F$3-$D4187,0)))</f>
        <v/>
      </c>
      <c r="N4187">
        <f>IF($A4187="","",$K4187+(5002-ROW())/10000)</f>
        <v/>
      </c>
    </row>
    <row r="4188">
      <c r="K4188">
        <f>IF($A4188="","",SUM($E4188:$J4188))</f>
        <v/>
      </c>
      <c r="M4188">
        <f>IF($A4188="","",MAX(0,ROUNDUP(DASHBOARD!$F$3-$D4188,0)))</f>
        <v/>
      </c>
      <c r="N4188">
        <f>IF($A4188="","",$K4188+(5002-ROW())/10000)</f>
        <v/>
      </c>
    </row>
    <row r="4189">
      <c r="K4189">
        <f>IF($A4189="","",SUM($E4189:$J4189))</f>
        <v/>
      </c>
      <c r="M4189">
        <f>IF($A4189="","",MAX(0,ROUNDUP(DASHBOARD!$F$3-$D4189,0)))</f>
        <v/>
      </c>
      <c r="N4189">
        <f>IF($A4189="","",$K4189+(5002-ROW())/10000)</f>
        <v/>
      </c>
    </row>
    <row r="4190">
      <c r="K4190">
        <f>IF($A4190="","",SUM($E4190:$J4190))</f>
        <v/>
      </c>
      <c r="M4190">
        <f>IF($A4190="","",MAX(0,ROUNDUP(DASHBOARD!$F$3-$D4190,0)))</f>
        <v/>
      </c>
      <c r="N4190">
        <f>IF($A4190="","",$K4190+(5002-ROW())/10000)</f>
        <v/>
      </c>
    </row>
    <row r="4191">
      <c r="K4191">
        <f>IF($A4191="","",SUM($E4191:$J4191))</f>
        <v/>
      </c>
      <c r="M4191">
        <f>IF($A4191="","",MAX(0,ROUNDUP(DASHBOARD!$F$3-$D4191,0)))</f>
        <v/>
      </c>
      <c r="N4191">
        <f>IF($A4191="","",$K4191+(5002-ROW())/10000)</f>
        <v/>
      </c>
    </row>
    <row r="4192">
      <c r="K4192">
        <f>IF($A4192="","",SUM($E4192:$J4192))</f>
        <v/>
      </c>
      <c r="M4192">
        <f>IF($A4192="","",MAX(0,ROUNDUP(DASHBOARD!$F$3-$D4192,0)))</f>
        <v/>
      </c>
      <c r="N4192">
        <f>IF($A4192="","",$K4192+(5002-ROW())/10000)</f>
        <v/>
      </c>
    </row>
    <row r="4193">
      <c r="K4193">
        <f>IF($A4193="","",SUM($E4193:$J4193))</f>
        <v/>
      </c>
      <c r="M4193">
        <f>IF($A4193="","",MAX(0,ROUNDUP(DASHBOARD!$F$3-$D4193,0)))</f>
        <v/>
      </c>
      <c r="N4193">
        <f>IF($A4193="","",$K4193+(5002-ROW())/10000)</f>
        <v/>
      </c>
    </row>
    <row r="4194">
      <c r="K4194">
        <f>IF($A4194="","",SUM($E4194:$J4194))</f>
        <v/>
      </c>
      <c r="M4194">
        <f>IF($A4194="","",MAX(0,ROUNDUP(DASHBOARD!$F$3-$D4194,0)))</f>
        <v/>
      </c>
      <c r="N4194">
        <f>IF($A4194="","",$K4194+(5002-ROW())/10000)</f>
        <v/>
      </c>
    </row>
    <row r="4195">
      <c r="K4195">
        <f>IF($A4195="","",SUM($E4195:$J4195))</f>
        <v/>
      </c>
      <c r="M4195">
        <f>IF($A4195="","",MAX(0,ROUNDUP(DASHBOARD!$F$3-$D4195,0)))</f>
        <v/>
      </c>
      <c r="N4195">
        <f>IF($A4195="","",$K4195+(5002-ROW())/10000)</f>
        <v/>
      </c>
    </row>
    <row r="4196">
      <c r="K4196">
        <f>IF($A4196="","",SUM($E4196:$J4196))</f>
        <v/>
      </c>
      <c r="M4196">
        <f>IF($A4196="","",MAX(0,ROUNDUP(DASHBOARD!$F$3-$D4196,0)))</f>
        <v/>
      </c>
      <c r="N4196">
        <f>IF($A4196="","",$K4196+(5002-ROW())/10000)</f>
        <v/>
      </c>
    </row>
    <row r="4197">
      <c r="K4197">
        <f>IF($A4197="","",SUM($E4197:$J4197))</f>
        <v/>
      </c>
      <c r="M4197">
        <f>IF($A4197="","",MAX(0,ROUNDUP(DASHBOARD!$F$3-$D4197,0)))</f>
        <v/>
      </c>
      <c r="N4197">
        <f>IF($A4197="","",$K4197+(5002-ROW())/10000)</f>
        <v/>
      </c>
    </row>
    <row r="4198">
      <c r="K4198">
        <f>IF($A4198="","",SUM($E4198:$J4198))</f>
        <v/>
      </c>
      <c r="M4198">
        <f>IF($A4198="","",MAX(0,ROUNDUP(DASHBOARD!$F$3-$D4198,0)))</f>
        <v/>
      </c>
      <c r="N4198">
        <f>IF($A4198="","",$K4198+(5002-ROW())/10000)</f>
        <v/>
      </c>
    </row>
    <row r="4199">
      <c r="K4199">
        <f>IF($A4199="","",SUM($E4199:$J4199))</f>
        <v/>
      </c>
      <c r="M4199">
        <f>IF($A4199="","",MAX(0,ROUNDUP(DASHBOARD!$F$3-$D4199,0)))</f>
        <v/>
      </c>
      <c r="N4199">
        <f>IF($A4199="","",$K4199+(5002-ROW())/10000)</f>
        <v/>
      </c>
    </row>
    <row r="4200">
      <c r="K4200">
        <f>IF($A4200="","",SUM($E4200:$J4200))</f>
        <v/>
      </c>
      <c r="M4200">
        <f>IF($A4200="","",MAX(0,ROUNDUP(DASHBOARD!$F$3-$D4200,0)))</f>
        <v/>
      </c>
      <c r="N4200">
        <f>IF($A4200="","",$K4200+(5002-ROW())/10000)</f>
        <v/>
      </c>
    </row>
    <row r="4201">
      <c r="K4201">
        <f>IF($A4201="","",SUM($E4201:$J4201))</f>
        <v/>
      </c>
      <c r="M4201">
        <f>IF($A4201="","",MAX(0,ROUNDUP(DASHBOARD!$F$3-$D4201,0)))</f>
        <v/>
      </c>
      <c r="N4201">
        <f>IF($A4201="","",$K4201+(5002-ROW())/10000)</f>
        <v/>
      </c>
    </row>
    <row r="4202">
      <c r="K4202">
        <f>IF($A4202="","",SUM($E4202:$J4202))</f>
        <v/>
      </c>
      <c r="M4202">
        <f>IF($A4202="","",MAX(0,ROUNDUP(DASHBOARD!$F$3-$D4202,0)))</f>
        <v/>
      </c>
      <c r="N4202">
        <f>IF($A4202="","",$K4202+(5002-ROW())/10000)</f>
        <v/>
      </c>
    </row>
    <row r="4203">
      <c r="K4203">
        <f>IF($A4203="","",SUM($E4203:$J4203))</f>
        <v/>
      </c>
      <c r="M4203">
        <f>IF($A4203="","",MAX(0,ROUNDUP(DASHBOARD!$F$3-$D4203,0)))</f>
        <v/>
      </c>
      <c r="N4203">
        <f>IF($A4203="","",$K4203+(5002-ROW())/10000)</f>
        <v/>
      </c>
    </row>
    <row r="4204">
      <c r="K4204">
        <f>IF($A4204="","",SUM($E4204:$J4204))</f>
        <v/>
      </c>
      <c r="M4204">
        <f>IF($A4204="","",MAX(0,ROUNDUP(DASHBOARD!$F$3-$D4204,0)))</f>
        <v/>
      </c>
      <c r="N4204">
        <f>IF($A4204="","",$K4204+(5002-ROW())/10000)</f>
        <v/>
      </c>
    </row>
    <row r="4205">
      <c r="K4205">
        <f>IF($A4205="","",SUM($E4205:$J4205))</f>
        <v/>
      </c>
      <c r="M4205">
        <f>IF($A4205="","",MAX(0,ROUNDUP(DASHBOARD!$F$3-$D4205,0)))</f>
        <v/>
      </c>
      <c r="N4205">
        <f>IF($A4205="","",$K4205+(5002-ROW())/10000)</f>
        <v/>
      </c>
    </row>
    <row r="4206">
      <c r="K4206">
        <f>IF($A4206="","",SUM($E4206:$J4206))</f>
        <v/>
      </c>
      <c r="M4206">
        <f>IF($A4206="","",MAX(0,ROUNDUP(DASHBOARD!$F$3-$D4206,0)))</f>
        <v/>
      </c>
      <c r="N4206">
        <f>IF($A4206="","",$K4206+(5002-ROW())/10000)</f>
        <v/>
      </c>
    </row>
    <row r="4207">
      <c r="K4207">
        <f>IF($A4207="","",SUM($E4207:$J4207))</f>
        <v/>
      </c>
      <c r="M4207">
        <f>IF($A4207="","",MAX(0,ROUNDUP(DASHBOARD!$F$3-$D4207,0)))</f>
        <v/>
      </c>
      <c r="N4207">
        <f>IF($A4207="","",$K4207+(5002-ROW())/10000)</f>
        <v/>
      </c>
    </row>
    <row r="4208">
      <c r="K4208">
        <f>IF($A4208="","",SUM($E4208:$J4208))</f>
        <v/>
      </c>
      <c r="M4208">
        <f>IF($A4208="","",MAX(0,ROUNDUP(DASHBOARD!$F$3-$D4208,0)))</f>
        <v/>
      </c>
      <c r="N4208">
        <f>IF($A4208="","",$K4208+(5002-ROW())/10000)</f>
        <v/>
      </c>
    </row>
    <row r="4209">
      <c r="K4209">
        <f>IF($A4209="","",SUM($E4209:$J4209))</f>
        <v/>
      </c>
      <c r="M4209">
        <f>IF($A4209="","",MAX(0,ROUNDUP(DASHBOARD!$F$3-$D4209,0)))</f>
        <v/>
      </c>
      <c r="N4209">
        <f>IF($A4209="","",$K4209+(5002-ROW())/10000)</f>
        <v/>
      </c>
    </row>
    <row r="4210">
      <c r="K4210">
        <f>IF($A4210="","",SUM($E4210:$J4210))</f>
        <v/>
      </c>
      <c r="M4210">
        <f>IF($A4210="","",MAX(0,ROUNDUP(DASHBOARD!$F$3-$D4210,0)))</f>
        <v/>
      </c>
      <c r="N4210">
        <f>IF($A4210="","",$K4210+(5002-ROW())/10000)</f>
        <v/>
      </c>
    </row>
    <row r="4211">
      <c r="K4211">
        <f>IF($A4211="","",SUM($E4211:$J4211))</f>
        <v/>
      </c>
      <c r="M4211">
        <f>IF($A4211="","",MAX(0,ROUNDUP(DASHBOARD!$F$3-$D4211,0)))</f>
        <v/>
      </c>
      <c r="N4211">
        <f>IF($A4211="","",$K4211+(5002-ROW())/10000)</f>
        <v/>
      </c>
    </row>
    <row r="4212">
      <c r="K4212">
        <f>IF($A4212="","",SUM($E4212:$J4212))</f>
        <v/>
      </c>
      <c r="M4212">
        <f>IF($A4212="","",MAX(0,ROUNDUP(DASHBOARD!$F$3-$D4212,0)))</f>
        <v/>
      </c>
      <c r="N4212">
        <f>IF($A4212="","",$K4212+(5002-ROW())/10000)</f>
        <v/>
      </c>
    </row>
    <row r="4213">
      <c r="K4213">
        <f>IF($A4213="","",SUM($E4213:$J4213))</f>
        <v/>
      </c>
      <c r="M4213">
        <f>IF($A4213="","",MAX(0,ROUNDUP(DASHBOARD!$F$3-$D4213,0)))</f>
        <v/>
      </c>
      <c r="N4213">
        <f>IF($A4213="","",$K4213+(5002-ROW())/10000)</f>
        <v/>
      </c>
    </row>
    <row r="4214">
      <c r="K4214">
        <f>IF($A4214="","",SUM($E4214:$J4214))</f>
        <v/>
      </c>
      <c r="M4214">
        <f>IF($A4214="","",MAX(0,ROUNDUP(DASHBOARD!$F$3-$D4214,0)))</f>
        <v/>
      </c>
      <c r="N4214">
        <f>IF($A4214="","",$K4214+(5002-ROW())/10000)</f>
        <v/>
      </c>
    </row>
    <row r="4215">
      <c r="K4215">
        <f>IF($A4215="","",SUM($E4215:$J4215))</f>
        <v/>
      </c>
      <c r="M4215">
        <f>IF($A4215="","",MAX(0,ROUNDUP(DASHBOARD!$F$3-$D4215,0)))</f>
        <v/>
      </c>
      <c r="N4215">
        <f>IF($A4215="","",$K4215+(5002-ROW())/10000)</f>
        <v/>
      </c>
    </row>
    <row r="4216">
      <c r="K4216">
        <f>IF($A4216="","",SUM($E4216:$J4216))</f>
        <v/>
      </c>
      <c r="M4216">
        <f>IF($A4216="","",MAX(0,ROUNDUP(DASHBOARD!$F$3-$D4216,0)))</f>
        <v/>
      </c>
      <c r="N4216">
        <f>IF($A4216="","",$K4216+(5002-ROW())/10000)</f>
        <v/>
      </c>
    </row>
    <row r="4217">
      <c r="K4217">
        <f>IF($A4217="","",SUM($E4217:$J4217))</f>
        <v/>
      </c>
      <c r="M4217">
        <f>IF($A4217="","",MAX(0,ROUNDUP(DASHBOARD!$F$3-$D4217,0)))</f>
        <v/>
      </c>
      <c r="N4217">
        <f>IF($A4217="","",$K4217+(5002-ROW())/10000)</f>
        <v/>
      </c>
    </row>
    <row r="4218">
      <c r="K4218">
        <f>IF($A4218="","",SUM($E4218:$J4218))</f>
        <v/>
      </c>
      <c r="M4218">
        <f>IF($A4218="","",MAX(0,ROUNDUP(DASHBOARD!$F$3-$D4218,0)))</f>
        <v/>
      </c>
      <c r="N4218">
        <f>IF($A4218="","",$K4218+(5002-ROW())/10000)</f>
        <v/>
      </c>
    </row>
    <row r="4219">
      <c r="K4219">
        <f>IF($A4219="","",SUM($E4219:$J4219))</f>
        <v/>
      </c>
      <c r="M4219">
        <f>IF($A4219="","",MAX(0,ROUNDUP(DASHBOARD!$F$3-$D4219,0)))</f>
        <v/>
      </c>
      <c r="N4219">
        <f>IF($A4219="","",$K4219+(5002-ROW())/10000)</f>
        <v/>
      </c>
    </row>
    <row r="4220">
      <c r="K4220">
        <f>IF($A4220="","",SUM($E4220:$J4220))</f>
        <v/>
      </c>
      <c r="M4220">
        <f>IF($A4220="","",MAX(0,ROUNDUP(DASHBOARD!$F$3-$D4220,0)))</f>
        <v/>
      </c>
      <c r="N4220">
        <f>IF($A4220="","",$K4220+(5002-ROW())/10000)</f>
        <v/>
      </c>
    </row>
    <row r="4221">
      <c r="K4221">
        <f>IF($A4221="","",SUM($E4221:$J4221))</f>
        <v/>
      </c>
      <c r="M4221">
        <f>IF($A4221="","",MAX(0,ROUNDUP(DASHBOARD!$F$3-$D4221,0)))</f>
        <v/>
      </c>
      <c r="N4221">
        <f>IF($A4221="","",$K4221+(5002-ROW())/10000)</f>
        <v/>
      </c>
    </row>
    <row r="4222">
      <c r="K4222">
        <f>IF($A4222="","",SUM($E4222:$J4222))</f>
        <v/>
      </c>
      <c r="M4222">
        <f>IF($A4222="","",MAX(0,ROUNDUP(DASHBOARD!$F$3-$D4222,0)))</f>
        <v/>
      </c>
      <c r="N4222">
        <f>IF($A4222="","",$K4222+(5002-ROW())/10000)</f>
        <v/>
      </c>
    </row>
    <row r="4223">
      <c r="K4223">
        <f>IF($A4223="","",SUM($E4223:$J4223))</f>
        <v/>
      </c>
      <c r="M4223">
        <f>IF($A4223="","",MAX(0,ROUNDUP(DASHBOARD!$F$3-$D4223,0)))</f>
        <v/>
      </c>
      <c r="N4223">
        <f>IF($A4223="","",$K4223+(5002-ROW())/10000)</f>
        <v/>
      </c>
    </row>
    <row r="4224">
      <c r="K4224">
        <f>IF($A4224="","",SUM($E4224:$J4224))</f>
        <v/>
      </c>
      <c r="M4224">
        <f>IF($A4224="","",MAX(0,ROUNDUP(DASHBOARD!$F$3-$D4224,0)))</f>
        <v/>
      </c>
      <c r="N4224">
        <f>IF($A4224="","",$K4224+(5002-ROW())/10000)</f>
        <v/>
      </c>
    </row>
    <row r="4225">
      <c r="K4225">
        <f>IF($A4225="","",SUM($E4225:$J4225))</f>
        <v/>
      </c>
      <c r="M4225">
        <f>IF($A4225="","",MAX(0,ROUNDUP(DASHBOARD!$F$3-$D4225,0)))</f>
        <v/>
      </c>
      <c r="N4225">
        <f>IF($A4225="","",$K4225+(5002-ROW())/10000)</f>
        <v/>
      </c>
    </row>
    <row r="4226">
      <c r="K4226">
        <f>IF($A4226="","",SUM($E4226:$J4226))</f>
        <v/>
      </c>
      <c r="M4226">
        <f>IF($A4226="","",MAX(0,ROUNDUP(DASHBOARD!$F$3-$D4226,0)))</f>
        <v/>
      </c>
      <c r="N4226">
        <f>IF($A4226="","",$K4226+(5002-ROW())/10000)</f>
        <v/>
      </c>
    </row>
    <row r="4227">
      <c r="K4227">
        <f>IF($A4227="","",SUM($E4227:$J4227))</f>
        <v/>
      </c>
      <c r="M4227">
        <f>IF($A4227="","",MAX(0,ROUNDUP(DASHBOARD!$F$3-$D4227,0)))</f>
        <v/>
      </c>
      <c r="N4227">
        <f>IF($A4227="","",$K4227+(5002-ROW())/10000)</f>
        <v/>
      </c>
    </row>
    <row r="4228">
      <c r="K4228">
        <f>IF($A4228="","",SUM($E4228:$J4228))</f>
        <v/>
      </c>
      <c r="M4228">
        <f>IF($A4228="","",MAX(0,ROUNDUP(DASHBOARD!$F$3-$D4228,0)))</f>
        <v/>
      </c>
      <c r="N4228">
        <f>IF($A4228="","",$K4228+(5002-ROW())/10000)</f>
        <v/>
      </c>
    </row>
    <row r="4229">
      <c r="K4229">
        <f>IF($A4229="","",SUM($E4229:$J4229))</f>
        <v/>
      </c>
      <c r="M4229">
        <f>IF($A4229="","",MAX(0,ROUNDUP(DASHBOARD!$F$3-$D4229,0)))</f>
        <v/>
      </c>
      <c r="N4229">
        <f>IF($A4229="","",$K4229+(5002-ROW())/10000)</f>
        <v/>
      </c>
    </row>
    <row r="4230">
      <c r="K4230">
        <f>IF($A4230="","",SUM($E4230:$J4230))</f>
        <v/>
      </c>
      <c r="M4230">
        <f>IF($A4230="","",MAX(0,ROUNDUP(DASHBOARD!$F$3-$D4230,0)))</f>
        <v/>
      </c>
      <c r="N4230">
        <f>IF($A4230="","",$K4230+(5002-ROW())/10000)</f>
        <v/>
      </c>
    </row>
    <row r="4231">
      <c r="K4231">
        <f>IF($A4231="","",SUM($E4231:$J4231))</f>
        <v/>
      </c>
      <c r="M4231">
        <f>IF($A4231="","",MAX(0,ROUNDUP(DASHBOARD!$F$3-$D4231,0)))</f>
        <v/>
      </c>
      <c r="N4231">
        <f>IF($A4231="","",$K4231+(5002-ROW())/10000)</f>
        <v/>
      </c>
    </row>
    <row r="4232">
      <c r="K4232">
        <f>IF($A4232="","",SUM($E4232:$J4232))</f>
        <v/>
      </c>
      <c r="M4232">
        <f>IF($A4232="","",MAX(0,ROUNDUP(DASHBOARD!$F$3-$D4232,0)))</f>
        <v/>
      </c>
      <c r="N4232">
        <f>IF($A4232="","",$K4232+(5002-ROW())/10000)</f>
        <v/>
      </c>
    </row>
    <row r="4233">
      <c r="K4233">
        <f>IF($A4233="","",SUM($E4233:$J4233))</f>
        <v/>
      </c>
      <c r="M4233">
        <f>IF($A4233="","",MAX(0,ROUNDUP(DASHBOARD!$F$3-$D4233,0)))</f>
        <v/>
      </c>
      <c r="N4233">
        <f>IF($A4233="","",$K4233+(5002-ROW())/10000)</f>
        <v/>
      </c>
    </row>
    <row r="4234">
      <c r="K4234">
        <f>IF($A4234="","",SUM($E4234:$J4234))</f>
        <v/>
      </c>
      <c r="M4234">
        <f>IF($A4234="","",MAX(0,ROUNDUP(DASHBOARD!$F$3-$D4234,0)))</f>
        <v/>
      </c>
      <c r="N4234">
        <f>IF($A4234="","",$K4234+(5002-ROW())/10000)</f>
        <v/>
      </c>
    </row>
    <row r="4235">
      <c r="K4235">
        <f>IF($A4235="","",SUM($E4235:$J4235))</f>
        <v/>
      </c>
      <c r="M4235">
        <f>IF($A4235="","",MAX(0,ROUNDUP(DASHBOARD!$F$3-$D4235,0)))</f>
        <v/>
      </c>
      <c r="N4235">
        <f>IF($A4235="","",$K4235+(5002-ROW())/10000)</f>
        <v/>
      </c>
    </row>
    <row r="4236">
      <c r="K4236">
        <f>IF($A4236="","",SUM($E4236:$J4236))</f>
        <v/>
      </c>
      <c r="M4236">
        <f>IF($A4236="","",MAX(0,ROUNDUP(DASHBOARD!$F$3-$D4236,0)))</f>
        <v/>
      </c>
      <c r="N4236">
        <f>IF($A4236="","",$K4236+(5002-ROW())/10000)</f>
        <v/>
      </c>
    </row>
    <row r="4237">
      <c r="K4237">
        <f>IF($A4237="","",SUM($E4237:$J4237))</f>
        <v/>
      </c>
      <c r="M4237">
        <f>IF($A4237="","",MAX(0,ROUNDUP(DASHBOARD!$F$3-$D4237,0)))</f>
        <v/>
      </c>
      <c r="N4237">
        <f>IF($A4237="","",$K4237+(5002-ROW())/10000)</f>
        <v/>
      </c>
    </row>
    <row r="4238">
      <c r="K4238">
        <f>IF($A4238="","",SUM($E4238:$J4238))</f>
        <v/>
      </c>
      <c r="M4238">
        <f>IF($A4238="","",MAX(0,ROUNDUP(DASHBOARD!$F$3-$D4238,0)))</f>
        <v/>
      </c>
      <c r="N4238">
        <f>IF($A4238="","",$K4238+(5002-ROW())/10000)</f>
        <v/>
      </c>
    </row>
    <row r="4239">
      <c r="K4239">
        <f>IF($A4239="","",SUM($E4239:$J4239))</f>
        <v/>
      </c>
      <c r="M4239">
        <f>IF($A4239="","",MAX(0,ROUNDUP(DASHBOARD!$F$3-$D4239,0)))</f>
        <v/>
      </c>
      <c r="N4239">
        <f>IF($A4239="","",$K4239+(5002-ROW())/10000)</f>
        <v/>
      </c>
    </row>
    <row r="4240">
      <c r="K4240">
        <f>IF($A4240="","",SUM($E4240:$J4240))</f>
        <v/>
      </c>
      <c r="M4240">
        <f>IF($A4240="","",MAX(0,ROUNDUP(DASHBOARD!$F$3-$D4240,0)))</f>
        <v/>
      </c>
      <c r="N4240">
        <f>IF($A4240="","",$K4240+(5002-ROW())/10000)</f>
        <v/>
      </c>
    </row>
    <row r="4241">
      <c r="K4241">
        <f>IF($A4241="","",SUM($E4241:$J4241))</f>
        <v/>
      </c>
      <c r="M4241">
        <f>IF($A4241="","",MAX(0,ROUNDUP(DASHBOARD!$F$3-$D4241,0)))</f>
        <v/>
      </c>
      <c r="N4241">
        <f>IF($A4241="","",$K4241+(5002-ROW())/10000)</f>
        <v/>
      </c>
    </row>
    <row r="4242">
      <c r="K4242">
        <f>IF($A4242="","",SUM($E4242:$J4242))</f>
        <v/>
      </c>
      <c r="M4242">
        <f>IF($A4242="","",MAX(0,ROUNDUP(DASHBOARD!$F$3-$D4242,0)))</f>
        <v/>
      </c>
      <c r="N4242">
        <f>IF($A4242="","",$K4242+(5002-ROW())/10000)</f>
        <v/>
      </c>
    </row>
    <row r="4243">
      <c r="K4243">
        <f>IF($A4243="","",SUM($E4243:$J4243))</f>
        <v/>
      </c>
      <c r="M4243">
        <f>IF($A4243="","",MAX(0,ROUNDUP(DASHBOARD!$F$3-$D4243,0)))</f>
        <v/>
      </c>
      <c r="N4243">
        <f>IF($A4243="","",$K4243+(5002-ROW())/10000)</f>
        <v/>
      </c>
    </row>
    <row r="4244">
      <c r="K4244">
        <f>IF($A4244="","",SUM($E4244:$J4244))</f>
        <v/>
      </c>
      <c r="M4244">
        <f>IF($A4244="","",MAX(0,ROUNDUP(DASHBOARD!$F$3-$D4244,0)))</f>
        <v/>
      </c>
      <c r="N4244">
        <f>IF($A4244="","",$K4244+(5002-ROW())/10000)</f>
        <v/>
      </c>
    </row>
    <row r="4245">
      <c r="K4245">
        <f>IF($A4245="","",SUM($E4245:$J4245))</f>
        <v/>
      </c>
      <c r="M4245">
        <f>IF($A4245="","",MAX(0,ROUNDUP(DASHBOARD!$F$3-$D4245,0)))</f>
        <v/>
      </c>
      <c r="N4245">
        <f>IF($A4245="","",$K4245+(5002-ROW())/10000)</f>
        <v/>
      </c>
    </row>
    <row r="4246">
      <c r="K4246">
        <f>IF($A4246="","",SUM($E4246:$J4246))</f>
        <v/>
      </c>
      <c r="M4246">
        <f>IF($A4246="","",MAX(0,ROUNDUP(DASHBOARD!$F$3-$D4246,0)))</f>
        <v/>
      </c>
      <c r="N4246">
        <f>IF($A4246="","",$K4246+(5002-ROW())/10000)</f>
        <v/>
      </c>
    </row>
    <row r="4247">
      <c r="K4247">
        <f>IF($A4247="","",SUM($E4247:$J4247))</f>
        <v/>
      </c>
      <c r="M4247">
        <f>IF($A4247="","",MAX(0,ROUNDUP(DASHBOARD!$F$3-$D4247,0)))</f>
        <v/>
      </c>
      <c r="N4247">
        <f>IF($A4247="","",$K4247+(5002-ROW())/10000)</f>
        <v/>
      </c>
    </row>
    <row r="4248">
      <c r="K4248">
        <f>IF($A4248="","",SUM($E4248:$J4248))</f>
        <v/>
      </c>
      <c r="M4248">
        <f>IF($A4248="","",MAX(0,ROUNDUP(DASHBOARD!$F$3-$D4248,0)))</f>
        <v/>
      </c>
      <c r="N4248">
        <f>IF($A4248="","",$K4248+(5002-ROW())/10000)</f>
        <v/>
      </c>
    </row>
    <row r="4249">
      <c r="K4249">
        <f>IF($A4249="","",SUM($E4249:$J4249))</f>
        <v/>
      </c>
      <c r="M4249">
        <f>IF($A4249="","",MAX(0,ROUNDUP(DASHBOARD!$F$3-$D4249,0)))</f>
        <v/>
      </c>
      <c r="N4249">
        <f>IF($A4249="","",$K4249+(5002-ROW())/10000)</f>
        <v/>
      </c>
    </row>
    <row r="4250">
      <c r="K4250">
        <f>IF($A4250="","",SUM($E4250:$J4250))</f>
        <v/>
      </c>
      <c r="M4250">
        <f>IF($A4250="","",MAX(0,ROUNDUP(DASHBOARD!$F$3-$D4250,0)))</f>
        <v/>
      </c>
      <c r="N4250">
        <f>IF($A4250="","",$K4250+(5002-ROW())/10000)</f>
        <v/>
      </c>
    </row>
    <row r="4251">
      <c r="K4251">
        <f>IF($A4251="","",SUM($E4251:$J4251))</f>
        <v/>
      </c>
      <c r="M4251">
        <f>IF($A4251="","",MAX(0,ROUNDUP(DASHBOARD!$F$3-$D4251,0)))</f>
        <v/>
      </c>
      <c r="N4251">
        <f>IF($A4251="","",$K4251+(5002-ROW())/10000)</f>
        <v/>
      </c>
    </row>
    <row r="4252">
      <c r="K4252">
        <f>IF($A4252="","",SUM($E4252:$J4252))</f>
        <v/>
      </c>
      <c r="M4252">
        <f>IF($A4252="","",MAX(0,ROUNDUP(DASHBOARD!$F$3-$D4252,0)))</f>
        <v/>
      </c>
      <c r="N4252">
        <f>IF($A4252="","",$K4252+(5002-ROW())/10000)</f>
        <v/>
      </c>
    </row>
    <row r="4253">
      <c r="K4253">
        <f>IF($A4253="","",SUM($E4253:$J4253))</f>
        <v/>
      </c>
      <c r="M4253">
        <f>IF($A4253="","",MAX(0,ROUNDUP(DASHBOARD!$F$3-$D4253,0)))</f>
        <v/>
      </c>
      <c r="N4253">
        <f>IF($A4253="","",$K4253+(5002-ROW())/10000)</f>
        <v/>
      </c>
    </row>
    <row r="4254">
      <c r="K4254">
        <f>IF($A4254="","",SUM($E4254:$J4254))</f>
        <v/>
      </c>
      <c r="M4254">
        <f>IF($A4254="","",MAX(0,ROUNDUP(DASHBOARD!$F$3-$D4254,0)))</f>
        <v/>
      </c>
      <c r="N4254">
        <f>IF($A4254="","",$K4254+(5002-ROW())/10000)</f>
        <v/>
      </c>
    </row>
    <row r="4255">
      <c r="K4255">
        <f>IF($A4255="","",SUM($E4255:$J4255))</f>
        <v/>
      </c>
      <c r="M4255">
        <f>IF($A4255="","",MAX(0,ROUNDUP(DASHBOARD!$F$3-$D4255,0)))</f>
        <v/>
      </c>
      <c r="N4255">
        <f>IF($A4255="","",$K4255+(5002-ROW())/10000)</f>
        <v/>
      </c>
    </row>
    <row r="4256">
      <c r="K4256">
        <f>IF($A4256="","",SUM($E4256:$J4256))</f>
        <v/>
      </c>
      <c r="M4256">
        <f>IF($A4256="","",MAX(0,ROUNDUP(DASHBOARD!$F$3-$D4256,0)))</f>
        <v/>
      </c>
      <c r="N4256">
        <f>IF($A4256="","",$K4256+(5002-ROW())/10000)</f>
        <v/>
      </c>
    </row>
    <row r="4257">
      <c r="K4257">
        <f>IF($A4257="","",SUM($E4257:$J4257))</f>
        <v/>
      </c>
      <c r="M4257">
        <f>IF($A4257="","",MAX(0,ROUNDUP(DASHBOARD!$F$3-$D4257,0)))</f>
        <v/>
      </c>
      <c r="N4257">
        <f>IF($A4257="","",$K4257+(5002-ROW())/10000)</f>
        <v/>
      </c>
    </row>
    <row r="4258">
      <c r="K4258">
        <f>IF($A4258="","",SUM($E4258:$J4258))</f>
        <v/>
      </c>
      <c r="M4258">
        <f>IF($A4258="","",MAX(0,ROUNDUP(DASHBOARD!$F$3-$D4258,0)))</f>
        <v/>
      </c>
      <c r="N4258">
        <f>IF($A4258="","",$K4258+(5002-ROW())/10000)</f>
        <v/>
      </c>
    </row>
    <row r="4259">
      <c r="K4259">
        <f>IF($A4259="","",SUM($E4259:$J4259))</f>
        <v/>
      </c>
      <c r="M4259">
        <f>IF($A4259="","",MAX(0,ROUNDUP(DASHBOARD!$F$3-$D4259,0)))</f>
        <v/>
      </c>
      <c r="N4259">
        <f>IF($A4259="","",$K4259+(5002-ROW())/10000)</f>
        <v/>
      </c>
    </row>
    <row r="4260">
      <c r="K4260">
        <f>IF($A4260="","",SUM($E4260:$J4260))</f>
        <v/>
      </c>
      <c r="M4260">
        <f>IF($A4260="","",MAX(0,ROUNDUP(DASHBOARD!$F$3-$D4260,0)))</f>
        <v/>
      </c>
      <c r="N4260">
        <f>IF($A4260="","",$K4260+(5002-ROW())/10000)</f>
        <v/>
      </c>
    </row>
    <row r="4261">
      <c r="K4261">
        <f>IF($A4261="","",SUM($E4261:$J4261))</f>
        <v/>
      </c>
      <c r="M4261">
        <f>IF($A4261="","",MAX(0,ROUNDUP(DASHBOARD!$F$3-$D4261,0)))</f>
        <v/>
      </c>
      <c r="N4261">
        <f>IF($A4261="","",$K4261+(5002-ROW())/10000)</f>
        <v/>
      </c>
    </row>
    <row r="4262">
      <c r="K4262">
        <f>IF($A4262="","",SUM($E4262:$J4262))</f>
        <v/>
      </c>
      <c r="M4262">
        <f>IF($A4262="","",MAX(0,ROUNDUP(DASHBOARD!$F$3-$D4262,0)))</f>
        <v/>
      </c>
      <c r="N4262">
        <f>IF($A4262="","",$K4262+(5002-ROW())/10000)</f>
        <v/>
      </c>
    </row>
    <row r="4263">
      <c r="K4263">
        <f>IF($A4263="","",SUM($E4263:$J4263))</f>
        <v/>
      </c>
      <c r="M4263">
        <f>IF($A4263="","",MAX(0,ROUNDUP(DASHBOARD!$F$3-$D4263,0)))</f>
        <v/>
      </c>
      <c r="N4263">
        <f>IF($A4263="","",$K4263+(5002-ROW())/10000)</f>
        <v/>
      </c>
    </row>
    <row r="4264">
      <c r="K4264">
        <f>IF($A4264="","",SUM($E4264:$J4264))</f>
        <v/>
      </c>
      <c r="M4264">
        <f>IF($A4264="","",MAX(0,ROUNDUP(DASHBOARD!$F$3-$D4264,0)))</f>
        <v/>
      </c>
      <c r="N4264">
        <f>IF($A4264="","",$K4264+(5002-ROW())/10000)</f>
        <v/>
      </c>
    </row>
    <row r="4265">
      <c r="K4265">
        <f>IF($A4265="","",SUM($E4265:$J4265))</f>
        <v/>
      </c>
      <c r="M4265">
        <f>IF($A4265="","",MAX(0,ROUNDUP(DASHBOARD!$F$3-$D4265,0)))</f>
        <v/>
      </c>
      <c r="N4265">
        <f>IF($A4265="","",$K4265+(5002-ROW())/10000)</f>
        <v/>
      </c>
    </row>
    <row r="4266">
      <c r="K4266">
        <f>IF($A4266="","",SUM($E4266:$J4266))</f>
        <v/>
      </c>
      <c r="M4266">
        <f>IF($A4266="","",MAX(0,ROUNDUP(DASHBOARD!$F$3-$D4266,0)))</f>
        <v/>
      </c>
      <c r="N4266">
        <f>IF($A4266="","",$K4266+(5002-ROW())/10000)</f>
        <v/>
      </c>
    </row>
    <row r="4267">
      <c r="K4267">
        <f>IF($A4267="","",SUM($E4267:$J4267))</f>
        <v/>
      </c>
      <c r="M4267">
        <f>IF($A4267="","",MAX(0,ROUNDUP(DASHBOARD!$F$3-$D4267,0)))</f>
        <v/>
      </c>
      <c r="N4267">
        <f>IF($A4267="","",$K4267+(5002-ROW())/10000)</f>
        <v/>
      </c>
    </row>
    <row r="4268">
      <c r="K4268">
        <f>IF($A4268="","",SUM($E4268:$J4268))</f>
        <v/>
      </c>
      <c r="M4268">
        <f>IF($A4268="","",MAX(0,ROUNDUP(DASHBOARD!$F$3-$D4268,0)))</f>
        <v/>
      </c>
      <c r="N4268">
        <f>IF($A4268="","",$K4268+(5002-ROW())/10000)</f>
        <v/>
      </c>
    </row>
    <row r="4269">
      <c r="K4269">
        <f>IF($A4269="","",SUM($E4269:$J4269))</f>
        <v/>
      </c>
      <c r="M4269">
        <f>IF($A4269="","",MAX(0,ROUNDUP(DASHBOARD!$F$3-$D4269,0)))</f>
        <v/>
      </c>
      <c r="N4269">
        <f>IF($A4269="","",$K4269+(5002-ROW())/10000)</f>
        <v/>
      </c>
    </row>
    <row r="4270">
      <c r="K4270">
        <f>IF($A4270="","",SUM($E4270:$J4270))</f>
        <v/>
      </c>
      <c r="M4270">
        <f>IF($A4270="","",MAX(0,ROUNDUP(DASHBOARD!$F$3-$D4270,0)))</f>
        <v/>
      </c>
      <c r="N4270">
        <f>IF($A4270="","",$K4270+(5002-ROW())/10000)</f>
        <v/>
      </c>
    </row>
    <row r="4271">
      <c r="K4271">
        <f>IF($A4271="","",SUM($E4271:$J4271))</f>
        <v/>
      </c>
      <c r="M4271">
        <f>IF($A4271="","",MAX(0,ROUNDUP(DASHBOARD!$F$3-$D4271,0)))</f>
        <v/>
      </c>
      <c r="N4271">
        <f>IF($A4271="","",$K4271+(5002-ROW())/10000)</f>
        <v/>
      </c>
    </row>
    <row r="4272">
      <c r="K4272">
        <f>IF($A4272="","",SUM($E4272:$J4272))</f>
        <v/>
      </c>
      <c r="M4272">
        <f>IF($A4272="","",MAX(0,ROUNDUP(DASHBOARD!$F$3-$D4272,0)))</f>
        <v/>
      </c>
      <c r="N4272">
        <f>IF($A4272="","",$K4272+(5002-ROW())/10000)</f>
        <v/>
      </c>
    </row>
    <row r="4273">
      <c r="K4273">
        <f>IF($A4273="","",SUM($E4273:$J4273))</f>
        <v/>
      </c>
      <c r="M4273">
        <f>IF($A4273="","",MAX(0,ROUNDUP(DASHBOARD!$F$3-$D4273,0)))</f>
        <v/>
      </c>
      <c r="N4273">
        <f>IF($A4273="","",$K4273+(5002-ROW())/10000)</f>
        <v/>
      </c>
    </row>
    <row r="4274">
      <c r="K4274">
        <f>IF($A4274="","",SUM($E4274:$J4274))</f>
        <v/>
      </c>
      <c r="M4274">
        <f>IF($A4274="","",MAX(0,ROUNDUP(DASHBOARD!$F$3-$D4274,0)))</f>
        <v/>
      </c>
      <c r="N4274">
        <f>IF($A4274="","",$K4274+(5002-ROW())/10000)</f>
        <v/>
      </c>
    </row>
    <row r="4275">
      <c r="K4275">
        <f>IF($A4275="","",SUM($E4275:$J4275))</f>
        <v/>
      </c>
      <c r="M4275">
        <f>IF($A4275="","",MAX(0,ROUNDUP(DASHBOARD!$F$3-$D4275,0)))</f>
        <v/>
      </c>
      <c r="N4275">
        <f>IF($A4275="","",$K4275+(5002-ROW())/10000)</f>
        <v/>
      </c>
    </row>
    <row r="4276">
      <c r="K4276">
        <f>IF($A4276="","",SUM($E4276:$J4276))</f>
        <v/>
      </c>
      <c r="M4276">
        <f>IF($A4276="","",MAX(0,ROUNDUP(DASHBOARD!$F$3-$D4276,0)))</f>
        <v/>
      </c>
      <c r="N4276">
        <f>IF($A4276="","",$K4276+(5002-ROW())/10000)</f>
        <v/>
      </c>
    </row>
    <row r="4277">
      <c r="K4277">
        <f>IF($A4277="","",SUM($E4277:$J4277))</f>
        <v/>
      </c>
      <c r="M4277">
        <f>IF($A4277="","",MAX(0,ROUNDUP(DASHBOARD!$F$3-$D4277,0)))</f>
        <v/>
      </c>
      <c r="N4277">
        <f>IF($A4277="","",$K4277+(5002-ROW())/10000)</f>
        <v/>
      </c>
    </row>
    <row r="4278">
      <c r="K4278">
        <f>IF($A4278="","",SUM($E4278:$J4278))</f>
        <v/>
      </c>
      <c r="M4278">
        <f>IF($A4278="","",MAX(0,ROUNDUP(DASHBOARD!$F$3-$D4278,0)))</f>
        <v/>
      </c>
      <c r="N4278">
        <f>IF($A4278="","",$K4278+(5002-ROW())/10000)</f>
        <v/>
      </c>
    </row>
    <row r="4279">
      <c r="K4279">
        <f>IF($A4279="","",SUM($E4279:$J4279))</f>
        <v/>
      </c>
      <c r="M4279">
        <f>IF($A4279="","",MAX(0,ROUNDUP(DASHBOARD!$F$3-$D4279,0)))</f>
        <v/>
      </c>
      <c r="N4279">
        <f>IF($A4279="","",$K4279+(5002-ROW())/10000)</f>
        <v/>
      </c>
    </row>
    <row r="4280">
      <c r="K4280">
        <f>IF($A4280="","",SUM($E4280:$J4280))</f>
        <v/>
      </c>
      <c r="M4280">
        <f>IF($A4280="","",MAX(0,ROUNDUP(DASHBOARD!$F$3-$D4280,0)))</f>
        <v/>
      </c>
      <c r="N4280">
        <f>IF($A4280="","",$K4280+(5002-ROW())/10000)</f>
        <v/>
      </c>
    </row>
    <row r="4281">
      <c r="K4281">
        <f>IF($A4281="","",SUM($E4281:$J4281))</f>
        <v/>
      </c>
      <c r="M4281">
        <f>IF($A4281="","",MAX(0,ROUNDUP(DASHBOARD!$F$3-$D4281,0)))</f>
        <v/>
      </c>
      <c r="N4281">
        <f>IF($A4281="","",$K4281+(5002-ROW())/10000)</f>
        <v/>
      </c>
    </row>
    <row r="4282">
      <c r="K4282">
        <f>IF($A4282="","",SUM($E4282:$J4282))</f>
        <v/>
      </c>
      <c r="M4282">
        <f>IF($A4282="","",MAX(0,ROUNDUP(DASHBOARD!$F$3-$D4282,0)))</f>
        <v/>
      </c>
      <c r="N4282">
        <f>IF($A4282="","",$K4282+(5002-ROW())/10000)</f>
        <v/>
      </c>
    </row>
    <row r="4283">
      <c r="K4283">
        <f>IF($A4283="","",SUM($E4283:$J4283))</f>
        <v/>
      </c>
      <c r="M4283">
        <f>IF($A4283="","",MAX(0,ROUNDUP(DASHBOARD!$F$3-$D4283,0)))</f>
        <v/>
      </c>
      <c r="N4283">
        <f>IF($A4283="","",$K4283+(5002-ROW())/10000)</f>
        <v/>
      </c>
    </row>
    <row r="4284">
      <c r="K4284">
        <f>IF($A4284="","",SUM($E4284:$J4284))</f>
        <v/>
      </c>
      <c r="M4284">
        <f>IF($A4284="","",MAX(0,ROUNDUP(DASHBOARD!$F$3-$D4284,0)))</f>
        <v/>
      </c>
      <c r="N4284">
        <f>IF($A4284="","",$K4284+(5002-ROW())/10000)</f>
        <v/>
      </c>
    </row>
    <row r="4285">
      <c r="K4285">
        <f>IF($A4285="","",SUM($E4285:$J4285))</f>
        <v/>
      </c>
      <c r="M4285">
        <f>IF($A4285="","",MAX(0,ROUNDUP(DASHBOARD!$F$3-$D4285,0)))</f>
        <v/>
      </c>
      <c r="N4285">
        <f>IF($A4285="","",$K4285+(5002-ROW())/10000)</f>
        <v/>
      </c>
    </row>
    <row r="4286">
      <c r="K4286">
        <f>IF($A4286="","",SUM($E4286:$J4286))</f>
        <v/>
      </c>
      <c r="M4286">
        <f>IF($A4286="","",MAX(0,ROUNDUP(DASHBOARD!$F$3-$D4286,0)))</f>
        <v/>
      </c>
      <c r="N4286">
        <f>IF($A4286="","",$K4286+(5002-ROW())/10000)</f>
        <v/>
      </c>
    </row>
    <row r="4287">
      <c r="K4287">
        <f>IF($A4287="","",SUM($E4287:$J4287))</f>
        <v/>
      </c>
      <c r="M4287">
        <f>IF($A4287="","",MAX(0,ROUNDUP(DASHBOARD!$F$3-$D4287,0)))</f>
        <v/>
      </c>
      <c r="N4287">
        <f>IF($A4287="","",$K4287+(5002-ROW())/10000)</f>
        <v/>
      </c>
    </row>
    <row r="4288">
      <c r="K4288">
        <f>IF($A4288="","",SUM($E4288:$J4288))</f>
        <v/>
      </c>
      <c r="M4288">
        <f>IF($A4288="","",MAX(0,ROUNDUP(DASHBOARD!$F$3-$D4288,0)))</f>
        <v/>
      </c>
      <c r="N4288">
        <f>IF($A4288="","",$K4288+(5002-ROW())/10000)</f>
        <v/>
      </c>
    </row>
    <row r="4289">
      <c r="K4289">
        <f>IF($A4289="","",SUM($E4289:$J4289))</f>
        <v/>
      </c>
      <c r="M4289">
        <f>IF($A4289="","",MAX(0,ROUNDUP(DASHBOARD!$F$3-$D4289,0)))</f>
        <v/>
      </c>
      <c r="N4289">
        <f>IF($A4289="","",$K4289+(5002-ROW())/10000)</f>
        <v/>
      </c>
    </row>
    <row r="4290">
      <c r="K4290">
        <f>IF($A4290="","",SUM($E4290:$J4290))</f>
        <v/>
      </c>
      <c r="M4290">
        <f>IF($A4290="","",MAX(0,ROUNDUP(DASHBOARD!$F$3-$D4290,0)))</f>
        <v/>
      </c>
      <c r="N4290">
        <f>IF($A4290="","",$K4290+(5002-ROW())/10000)</f>
        <v/>
      </c>
    </row>
    <row r="4291">
      <c r="K4291">
        <f>IF($A4291="","",SUM($E4291:$J4291))</f>
        <v/>
      </c>
      <c r="M4291">
        <f>IF($A4291="","",MAX(0,ROUNDUP(DASHBOARD!$F$3-$D4291,0)))</f>
        <v/>
      </c>
      <c r="N4291">
        <f>IF($A4291="","",$K4291+(5002-ROW())/10000)</f>
        <v/>
      </c>
    </row>
    <row r="4292">
      <c r="K4292">
        <f>IF($A4292="","",SUM($E4292:$J4292))</f>
        <v/>
      </c>
      <c r="M4292">
        <f>IF($A4292="","",MAX(0,ROUNDUP(DASHBOARD!$F$3-$D4292,0)))</f>
        <v/>
      </c>
      <c r="N4292">
        <f>IF($A4292="","",$K4292+(5002-ROW())/10000)</f>
        <v/>
      </c>
    </row>
    <row r="4293">
      <c r="K4293">
        <f>IF($A4293="","",SUM($E4293:$J4293))</f>
        <v/>
      </c>
      <c r="M4293">
        <f>IF($A4293="","",MAX(0,ROUNDUP(DASHBOARD!$F$3-$D4293,0)))</f>
        <v/>
      </c>
      <c r="N4293">
        <f>IF($A4293="","",$K4293+(5002-ROW())/10000)</f>
        <v/>
      </c>
    </row>
    <row r="4294">
      <c r="K4294">
        <f>IF($A4294="","",SUM($E4294:$J4294))</f>
        <v/>
      </c>
      <c r="M4294">
        <f>IF($A4294="","",MAX(0,ROUNDUP(DASHBOARD!$F$3-$D4294,0)))</f>
        <v/>
      </c>
      <c r="N4294">
        <f>IF($A4294="","",$K4294+(5002-ROW())/10000)</f>
        <v/>
      </c>
    </row>
    <row r="4295">
      <c r="K4295">
        <f>IF($A4295="","",SUM($E4295:$J4295))</f>
        <v/>
      </c>
      <c r="M4295">
        <f>IF($A4295="","",MAX(0,ROUNDUP(DASHBOARD!$F$3-$D4295,0)))</f>
        <v/>
      </c>
      <c r="N4295">
        <f>IF($A4295="","",$K4295+(5002-ROW())/10000)</f>
        <v/>
      </c>
    </row>
    <row r="4296">
      <c r="K4296">
        <f>IF($A4296="","",SUM($E4296:$J4296))</f>
        <v/>
      </c>
      <c r="M4296">
        <f>IF($A4296="","",MAX(0,ROUNDUP(DASHBOARD!$F$3-$D4296,0)))</f>
        <v/>
      </c>
      <c r="N4296">
        <f>IF($A4296="","",$K4296+(5002-ROW())/10000)</f>
        <v/>
      </c>
    </row>
    <row r="4297">
      <c r="K4297">
        <f>IF($A4297="","",SUM($E4297:$J4297))</f>
        <v/>
      </c>
      <c r="M4297">
        <f>IF($A4297="","",MAX(0,ROUNDUP(DASHBOARD!$F$3-$D4297,0)))</f>
        <v/>
      </c>
      <c r="N4297">
        <f>IF($A4297="","",$K4297+(5002-ROW())/10000)</f>
        <v/>
      </c>
    </row>
    <row r="4298">
      <c r="K4298">
        <f>IF($A4298="","",SUM($E4298:$J4298))</f>
        <v/>
      </c>
      <c r="M4298">
        <f>IF($A4298="","",MAX(0,ROUNDUP(DASHBOARD!$F$3-$D4298,0)))</f>
        <v/>
      </c>
      <c r="N4298">
        <f>IF($A4298="","",$K4298+(5002-ROW())/10000)</f>
        <v/>
      </c>
    </row>
    <row r="4299">
      <c r="K4299">
        <f>IF($A4299="","",SUM($E4299:$J4299))</f>
        <v/>
      </c>
      <c r="M4299">
        <f>IF($A4299="","",MAX(0,ROUNDUP(DASHBOARD!$F$3-$D4299,0)))</f>
        <v/>
      </c>
      <c r="N4299">
        <f>IF($A4299="","",$K4299+(5002-ROW())/10000)</f>
        <v/>
      </c>
    </row>
    <row r="4300">
      <c r="K4300">
        <f>IF($A4300="","",SUM($E4300:$J4300))</f>
        <v/>
      </c>
      <c r="M4300">
        <f>IF($A4300="","",MAX(0,ROUNDUP(DASHBOARD!$F$3-$D4300,0)))</f>
        <v/>
      </c>
      <c r="N4300">
        <f>IF($A4300="","",$K4300+(5002-ROW())/10000)</f>
        <v/>
      </c>
    </row>
    <row r="4301">
      <c r="K4301">
        <f>IF($A4301="","",SUM($E4301:$J4301))</f>
        <v/>
      </c>
      <c r="M4301">
        <f>IF($A4301="","",MAX(0,ROUNDUP(DASHBOARD!$F$3-$D4301,0)))</f>
        <v/>
      </c>
      <c r="N4301">
        <f>IF($A4301="","",$K4301+(5002-ROW())/10000)</f>
        <v/>
      </c>
    </row>
    <row r="4302">
      <c r="K4302">
        <f>IF($A4302="","",SUM($E4302:$J4302))</f>
        <v/>
      </c>
      <c r="M4302">
        <f>IF($A4302="","",MAX(0,ROUNDUP(DASHBOARD!$F$3-$D4302,0)))</f>
        <v/>
      </c>
      <c r="N4302">
        <f>IF($A4302="","",$K4302+(5002-ROW())/10000)</f>
        <v/>
      </c>
    </row>
    <row r="4303">
      <c r="K4303">
        <f>IF($A4303="","",SUM($E4303:$J4303))</f>
        <v/>
      </c>
      <c r="M4303">
        <f>IF($A4303="","",MAX(0,ROUNDUP(DASHBOARD!$F$3-$D4303,0)))</f>
        <v/>
      </c>
      <c r="N4303">
        <f>IF($A4303="","",$K4303+(5002-ROW())/10000)</f>
        <v/>
      </c>
    </row>
    <row r="4304">
      <c r="K4304">
        <f>IF($A4304="","",SUM($E4304:$J4304))</f>
        <v/>
      </c>
      <c r="M4304">
        <f>IF($A4304="","",MAX(0,ROUNDUP(DASHBOARD!$F$3-$D4304,0)))</f>
        <v/>
      </c>
      <c r="N4304">
        <f>IF($A4304="","",$K4304+(5002-ROW())/10000)</f>
        <v/>
      </c>
    </row>
    <row r="4305">
      <c r="K4305">
        <f>IF($A4305="","",SUM($E4305:$J4305))</f>
        <v/>
      </c>
      <c r="M4305">
        <f>IF($A4305="","",MAX(0,ROUNDUP(DASHBOARD!$F$3-$D4305,0)))</f>
        <v/>
      </c>
      <c r="N4305">
        <f>IF($A4305="","",$K4305+(5002-ROW())/10000)</f>
        <v/>
      </c>
    </row>
    <row r="4306">
      <c r="K4306">
        <f>IF($A4306="","",SUM($E4306:$J4306))</f>
        <v/>
      </c>
      <c r="M4306">
        <f>IF($A4306="","",MAX(0,ROUNDUP(DASHBOARD!$F$3-$D4306,0)))</f>
        <v/>
      </c>
      <c r="N4306">
        <f>IF($A4306="","",$K4306+(5002-ROW())/10000)</f>
        <v/>
      </c>
    </row>
    <row r="4307">
      <c r="K4307">
        <f>IF($A4307="","",SUM($E4307:$J4307))</f>
        <v/>
      </c>
      <c r="M4307">
        <f>IF($A4307="","",MAX(0,ROUNDUP(DASHBOARD!$F$3-$D4307,0)))</f>
        <v/>
      </c>
      <c r="N4307">
        <f>IF($A4307="","",$K4307+(5002-ROW())/10000)</f>
        <v/>
      </c>
    </row>
    <row r="4308">
      <c r="K4308">
        <f>IF($A4308="","",SUM($E4308:$J4308))</f>
        <v/>
      </c>
      <c r="M4308">
        <f>IF($A4308="","",MAX(0,ROUNDUP(DASHBOARD!$F$3-$D4308,0)))</f>
        <v/>
      </c>
      <c r="N4308">
        <f>IF($A4308="","",$K4308+(5002-ROW())/10000)</f>
        <v/>
      </c>
    </row>
    <row r="4309">
      <c r="K4309">
        <f>IF($A4309="","",SUM($E4309:$J4309))</f>
        <v/>
      </c>
      <c r="M4309">
        <f>IF($A4309="","",MAX(0,ROUNDUP(DASHBOARD!$F$3-$D4309,0)))</f>
        <v/>
      </c>
      <c r="N4309">
        <f>IF($A4309="","",$K4309+(5002-ROW())/10000)</f>
        <v/>
      </c>
    </row>
    <row r="4310">
      <c r="K4310">
        <f>IF($A4310="","",SUM($E4310:$J4310))</f>
        <v/>
      </c>
      <c r="M4310">
        <f>IF($A4310="","",MAX(0,ROUNDUP(DASHBOARD!$F$3-$D4310,0)))</f>
        <v/>
      </c>
      <c r="N4310">
        <f>IF($A4310="","",$K4310+(5002-ROW())/10000)</f>
        <v/>
      </c>
    </row>
    <row r="4311">
      <c r="K4311">
        <f>IF($A4311="","",SUM($E4311:$J4311))</f>
        <v/>
      </c>
      <c r="M4311">
        <f>IF($A4311="","",MAX(0,ROUNDUP(DASHBOARD!$F$3-$D4311,0)))</f>
        <v/>
      </c>
      <c r="N4311">
        <f>IF($A4311="","",$K4311+(5002-ROW())/10000)</f>
        <v/>
      </c>
    </row>
    <row r="4312">
      <c r="K4312">
        <f>IF($A4312="","",SUM($E4312:$J4312))</f>
        <v/>
      </c>
      <c r="M4312">
        <f>IF($A4312="","",MAX(0,ROUNDUP(DASHBOARD!$F$3-$D4312,0)))</f>
        <v/>
      </c>
      <c r="N4312">
        <f>IF($A4312="","",$K4312+(5002-ROW())/10000)</f>
        <v/>
      </c>
    </row>
    <row r="4313">
      <c r="K4313">
        <f>IF($A4313="","",SUM($E4313:$J4313))</f>
        <v/>
      </c>
      <c r="M4313">
        <f>IF($A4313="","",MAX(0,ROUNDUP(DASHBOARD!$F$3-$D4313,0)))</f>
        <v/>
      </c>
      <c r="N4313">
        <f>IF($A4313="","",$K4313+(5002-ROW())/10000)</f>
        <v/>
      </c>
    </row>
    <row r="4314">
      <c r="K4314">
        <f>IF($A4314="","",SUM($E4314:$J4314))</f>
        <v/>
      </c>
      <c r="M4314">
        <f>IF($A4314="","",MAX(0,ROUNDUP(DASHBOARD!$F$3-$D4314,0)))</f>
        <v/>
      </c>
      <c r="N4314">
        <f>IF($A4314="","",$K4314+(5002-ROW())/10000)</f>
        <v/>
      </c>
    </row>
    <row r="4315">
      <c r="K4315">
        <f>IF($A4315="","",SUM($E4315:$J4315))</f>
        <v/>
      </c>
      <c r="M4315">
        <f>IF($A4315="","",MAX(0,ROUNDUP(DASHBOARD!$F$3-$D4315,0)))</f>
        <v/>
      </c>
      <c r="N4315">
        <f>IF($A4315="","",$K4315+(5002-ROW())/10000)</f>
        <v/>
      </c>
    </row>
    <row r="4316">
      <c r="K4316">
        <f>IF($A4316="","",SUM($E4316:$J4316))</f>
        <v/>
      </c>
      <c r="M4316">
        <f>IF($A4316="","",MAX(0,ROUNDUP(DASHBOARD!$F$3-$D4316,0)))</f>
        <v/>
      </c>
      <c r="N4316">
        <f>IF($A4316="","",$K4316+(5002-ROW())/10000)</f>
        <v/>
      </c>
    </row>
    <row r="4317">
      <c r="K4317">
        <f>IF($A4317="","",SUM($E4317:$J4317))</f>
        <v/>
      </c>
      <c r="M4317">
        <f>IF($A4317="","",MAX(0,ROUNDUP(DASHBOARD!$F$3-$D4317,0)))</f>
        <v/>
      </c>
      <c r="N4317">
        <f>IF($A4317="","",$K4317+(5002-ROW())/10000)</f>
        <v/>
      </c>
    </row>
    <row r="4318">
      <c r="K4318">
        <f>IF($A4318="","",SUM($E4318:$J4318))</f>
        <v/>
      </c>
      <c r="M4318">
        <f>IF($A4318="","",MAX(0,ROUNDUP(DASHBOARD!$F$3-$D4318,0)))</f>
        <v/>
      </c>
      <c r="N4318">
        <f>IF($A4318="","",$K4318+(5002-ROW())/10000)</f>
        <v/>
      </c>
    </row>
    <row r="4319">
      <c r="K4319">
        <f>IF($A4319="","",SUM($E4319:$J4319))</f>
        <v/>
      </c>
      <c r="M4319">
        <f>IF($A4319="","",MAX(0,ROUNDUP(DASHBOARD!$F$3-$D4319,0)))</f>
        <v/>
      </c>
      <c r="N4319">
        <f>IF($A4319="","",$K4319+(5002-ROW())/10000)</f>
        <v/>
      </c>
    </row>
    <row r="4320">
      <c r="K4320">
        <f>IF($A4320="","",SUM($E4320:$J4320))</f>
        <v/>
      </c>
      <c r="M4320">
        <f>IF($A4320="","",MAX(0,ROUNDUP(DASHBOARD!$F$3-$D4320,0)))</f>
        <v/>
      </c>
      <c r="N4320">
        <f>IF($A4320="","",$K4320+(5002-ROW())/10000)</f>
        <v/>
      </c>
    </row>
    <row r="4321">
      <c r="K4321">
        <f>IF($A4321="","",SUM($E4321:$J4321))</f>
        <v/>
      </c>
      <c r="M4321">
        <f>IF($A4321="","",MAX(0,ROUNDUP(DASHBOARD!$F$3-$D4321,0)))</f>
        <v/>
      </c>
      <c r="N4321">
        <f>IF($A4321="","",$K4321+(5002-ROW())/10000)</f>
        <v/>
      </c>
    </row>
    <row r="4322">
      <c r="K4322">
        <f>IF($A4322="","",SUM($E4322:$J4322))</f>
        <v/>
      </c>
      <c r="M4322">
        <f>IF($A4322="","",MAX(0,ROUNDUP(DASHBOARD!$F$3-$D4322,0)))</f>
        <v/>
      </c>
      <c r="N4322">
        <f>IF($A4322="","",$K4322+(5002-ROW())/10000)</f>
        <v/>
      </c>
    </row>
    <row r="4323">
      <c r="K4323">
        <f>IF($A4323="","",SUM($E4323:$J4323))</f>
        <v/>
      </c>
      <c r="M4323">
        <f>IF($A4323="","",MAX(0,ROUNDUP(DASHBOARD!$F$3-$D4323,0)))</f>
        <v/>
      </c>
      <c r="N4323">
        <f>IF($A4323="","",$K4323+(5002-ROW())/10000)</f>
        <v/>
      </c>
    </row>
    <row r="4324">
      <c r="K4324">
        <f>IF($A4324="","",SUM($E4324:$J4324))</f>
        <v/>
      </c>
      <c r="M4324">
        <f>IF($A4324="","",MAX(0,ROUNDUP(DASHBOARD!$F$3-$D4324,0)))</f>
        <v/>
      </c>
      <c r="N4324">
        <f>IF($A4324="","",$K4324+(5002-ROW())/10000)</f>
        <v/>
      </c>
    </row>
    <row r="4325">
      <c r="K4325">
        <f>IF($A4325="","",SUM($E4325:$J4325))</f>
        <v/>
      </c>
      <c r="M4325">
        <f>IF($A4325="","",MAX(0,ROUNDUP(DASHBOARD!$F$3-$D4325,0)))</f>
        <v/>
      </c>
      <c r="N4325">
        <f>IF($A4325="","",$K4325+(5002-ROW())/10000)</f>
        <v/>
      </c>
    </row>
    <row r="4326">
      <c r="K4326">
        <f>IF($A4326="","",SUM($E4326:$J4326))</f>
        <v/>
      </c>
      <c r="M4326">
        <f>IF($A4326="","",MAX(0,ROUNDUP(DASHBOARD!$F$3-$D4326,0)))</f>
        <v/>
      </c>
      <c r="N4326">
        <f>IF($A4326="","",$K4326+(5002-ROW())/10000)</f>
        <v/>
      </c>
    </row>
    <row r="4327">
      <c r="K4327">
        <f>IF($A4327="","",SUM($E4327:$J4327))</f>
        <v/>
      </c>
      <c r="M4327">
        <f>IF($A4327="","",MAX(0,ROUNDUP(DASHBOARD!$F$3-$D4327,0)))</f>
        <v/>
      </c>
      <c r="N4327">
        <f>IF($A4327="","",$K4327+(5002-ROW())/10000)</f>
        <v/>
      </c>
    </row>
    <row r="4328">
      <c r="K4328">
        <f>IF($A4328="","",SUM($E4328:$J4328))</f>
        <v/>
      </c>
      <c r="M4328">
        <f>IF($A4328="","",MAX(0,ROUNDUP(DASHBOARD!$F$3-$D4328,0)))</f>
        <v/>
      </c>
      <c r="N4328">
        <f>IF($A4328="","",$K4328+(5002-ROW())/10000)</f>
        <v/>
      </c>
    </row>
    <row r="4329">
      <c r="K4329">
        <f>IF($A4329="","",SUM($E4329:$J4329))</f>
        <v/>
      </c>
      <c r="M4329">
        <f>IF($A4329="","",MAX(0,ROUNDUP(DASHBOARD!$F$3-$D4329,0)))</f>
        <v/>
      </c>
      <c r="N4329">
        <f>IF($A4329="","",$K4329+(5002-ROW())/10000)</f>
        <v/>
      </c>
    </row>
    <row r="4330">
      <c r="K4330">
        <f>IF($A4330="","",SUM($E4330:$J4330))</f>
        <v/>
      </c>
      <c r="M4330">
        <f>IF($A4330="","",MAX(0,ROUNDUP(DASHBOARD!$F$3-$D4330,0)))</f>
        <v/>
      </c>
      <c r="N4330">
        <f>IF($A4330="","",$K4330+(5002-ROW())/10000)</f>
        <v/>
      </c>
    </row>
    <row r="4331">
      <c r="K4331">
        <f>IF($A4331="","",SUM($E4331:$J4331))</f>
        <v/>
      </c>
      <c r="M4331">
        <f>IF($A4331="","",MAX(0,ROUNDUP(DASHBOARD!$F$3-$D4331,0)))</f>
        <v/>
      </c>
      <c r="N4331">
        <f>IF($A4331="","",$K4331+(5002-ROW())/10000)</f>
        <v/>
      </c>
    </row>
    <row r="4332">
      <c r="K4332">
        <f>IF($A4332="","",SUM($E4332:$J4332))</f>
        <v/>
      </c>
      <c r="M4332">
        <f>IF($A4332="","",MAX(0,ROUNDUP(DASHBOARD!$F$3-$D4332,0)))</f>
        <v/>
      </c>
      <c r="N4332">
        <f>IF($A4332="","",$K4332+(5002-ROW())/10000)</f>
        <v/>
      </c>
    </row>
    <row r="4333">
      <c r="K4333">
        <f>IF($A4333="","",SUM($E4333:$J4333))</f>
        <v/>
      </c>
      <c r="M4333">
        <f>IF($A4333="","",MAX(0,ROUNDUP(DASHBOARD!$F$3-$D4333,0)))</f>
        <v/>
      </c>
      <c r="N4333">
        <f>IF($A4333="","",$K4333+(5002-ROW())/10000)</f>
        <v/>
      </c>
    </row>
    <row r="4334">
      <c r="K4334">
        <f>IF($A4334="","",SUM($E4334:$J4334))</f>
        <v/>
      </c>
      <c r="M4334">
        <f>IF($A4334="","",MAX(0,ROUNDUP(DASHBOARD!$F$3-$D4334,0)))</f>
        <v/>
      </c>
      <c r="N4334">
        <f>IF($A4334="","",$K4334+(5002-ROW())/10000)</f>
        <v/>
      </c>
    </row>
    <row r="4335">
      <c r="K4335">
        <f>IF($A4335="","",SUM($E4335:$J4335))</f>
        <v/>
      </c>
      <c r="M4335">
        <f>IF($A4335="","",MAX(0,ROUNDUP(DASHBOARD!$F$3-$D4335,0)))</f>
        <v/>
      </c>
      <c r="N4335">
        <f>IF($A4335="","",$K4335+(5002-ROW())/10000)</f>
        <v/>
      </c>
    </row>
    <row r="4336">
      <c r="K4336">
        <f>IF($A4336="","",SUM($E4336:$J4336))</f>
        <v/>
      </c>
      <c r="M4336">
        <f>IF($A4336="","",MAX(0,ROUNDUP(DASHBOARD!$F$3-$D4336,0)))</f>
        <v/>
      </c>
      <c r="N4336">
        <f>IF($A4336="","",$K4336+(5002-ROW())/10000)</f>
        <v/>
      </c>
    </row>
    <row r="4337">
      <c r="K4337">
        <f>IF($A4337="","",SUM($E4337:$J4337))</f>
        <v/>
      </c>
      <c r="M4337">
        <f>IF($A4337="","",MAX(0,ROUNDUP(DASHBOARD!$F$3-$D4337,0)))</f>
        <v/>
      </c>
      <c r="N4337">
        <f>IF($A4337="","",$K4337+(5002-ROW())/10000)</f>
        <v/>
      </c>
    </row>
    <row r="4338">
      <c r="K4338">
        <f>IF($A4338="","",SUM($E4338:$J4338))</f>
        <v/>
      </c>
      <c r="M4338">
        <f>IF($A4338="","",MAX(0,ROUNDUP(DASHBOARD!$F$3-$D4338,0)))</f>
        <v/>
      </c>
      <c r="N4338">
        <f>IF($A4338="","",$K4338+(5002-ROW())/10000)</f>
        <v/>
      </c>
    </row>
    <row r="4339">
      <c r="K4339">
        <f>IF($A4339="","",SUM($E4339:$J4339))</f>
        <v/>
      </c>
      <c r="M4339">
        <f>IF($A4339="","",MAX(0,ROUNDUP(DASHBOARD!$F$3-$D4339,0)))</f>
        <v/>
      </c>
      <c r="N4339">
        <f>IF($A4339="","",$K4339+(5002-ROW())/10000)</f>
        <v/>
      </c>
    </row>
    <row r="4340">
      <c r="K4340">
        <f>IF($A4340="","",SUM($E4340:$J4340))</f>
        <v/>
      </c>
      <c r="M4340">
        <f>IF($A4340="","",MAX(0,ROUNDUP(DASHBOARD!$F$3-$D4340,0)))</f>
        <v/>
      </c>
      <c r="N4340">
        <f>IF($A4340="","",$K4340+(5002-ROW())/10000)</f>
        <v/>
      </c>
    </row>
    <row r="4341">
      <c r="K4341">
        <f>IF($A4341="","",SUM($E4341:$J4341))</f>
        <v/>
      </c>
      <c r="M4341">
        <f>IF($A4341="","",MAX(0,ROUNDUP(DASHBOARD!$F$3-$D4341,0)))</f>
        <v/>
      </c>
      <c r="N4341">
        <f>IF($A4341="","",$K4341+(5002-ROW())/10000)</f>
        <v/>
      </c>
    </row>
    <row r="4342">
      <c r="K4342">
        <f>IF($A4342="","",SUM($E4342:$J4342))</f>
        <v/>
      </c>
      <c r="M4342">
        <f>IF($A4342="","",MAX(0,ROUNDUP(DASHBOARD!$F$3-$D4342,0)))</f>
        <v/>
      </c>
      <c r="N4342">
        <f>IF($A4342="","",$K4342+(5002-ROW())/10000)</f>
        <v/>
      </c>
    </row>
    <row r="4343">
      <c r="K4343">
        <f>IF($A4343="","",SUM($E4343:$J4343))</f>
        <v/>
      </c>
      <c r="M4343">
        <f>IF($A4343="","",MAX(0,ROUNDUP(DASHBOARD!$F$3-$D4343,0)))</f>
        <v/>
      </c>
      <c r="N4343">
        <f>IF($A4343="","",$K4343+(5002-ROW())/10000)</f>
        <v/>
      </c>
    </row>
    <row r="4344">
      <c r="K4344">
        <f>IF($A4344="","",SUM($E4344:$J4344))</f>
        <v/>
      </c>
      <c r="M4344">
        <f>IF($A4344="","",MAX(0,ROUNDUP(DASHBOARD!$F$3-$D4344,0)))</f>
        <v/>
      </c>
      <c r="N4344">
        <f>IF($A4344="","",$K4344+(5002-ROW())/10000)</f>
        <v/>
      </c>
    </row>
    <row r="4345">
      <c r="K4345">
        <f>IF($A4345="","",SUM($E4345:$J4345))</f>
        <v/>
      </c>
      <c r="M4345">
        <f>IF($A4345="","",MAX(0,ROUNDUP(DASHBOARD!$F$3-$D4345,0)))</f>
        <v/>
      </c>
      <c r="N4345">
        <f>IF($A4345="","",$K4345+(5002-ROW())/10000)</f>
        <v/>
      </c>
    </row>
    <row r="4346">
      <c r="K4346">
        <f>IF($A4346="","",SUM($E4346:$J4346))</f>
        <v/>
      </c>
      <c r="M4346">
        <f>IF($A4346="","",MAX(0,ROUNDUP(DASHBOARD!$F$3-$D4346,0)))</f>
        <v/>
      </c>
      <c r="N4346">
        <f>IF($A4346="","",$K4346+(5002-ROW())/10000)</f>
        <v/>
      </c>
    </row>
    <row r="4347">
      <c r="K4347">
        <f>IF($A4347="","",SUM($E4347:$J4347))</f>
        <v/>
      </c>
      <c r="M4347">
        <f>IF($A4347="","",MAX(0,ROUNDUP(DASHBOARD!$F$3-$D4347,0)))</f>
        <v/>
      </c>
      <c r="N4347">
        <f>IF($A4347="","",$K4347+(5002-ROW())/10000)</f>
        <v/>
      </c>
    </row>
    <row r="4348">
      <c r="K4348">
        <f>IF($A4348="","",SUM($E4348:$J4348))</f>
        <v/>
      </c>
      <c r="M4348">
        <f>IF($A4348="","",MAX(0,ROUNDUP(DASHBOARD!$F$3-$D4348,0)))</f>
        <v/>
      </c>
      <c r="N4348">
        <f>IF($A4348="","",$K4348+(5002-ROW())/10000)</f>
        <v/>
      </c>
    </row>
    <row r="4349">
      <c r="K4349">
        <f>IF($A4349="","",SUM($E4349:$J4349))</f>
        <v/>
      </c>
      <c r="M4349">
        <f>IF($A4349="","",MAX(0,ROUNDUP(DASHBOARD!$F$3-$D4349,0)))</f>
        <v/>
      </c>
      <c r="N4349">
        <f>IF($A4349="","",$K4349+(5002-ROW())/10000)</f>
        <v/>
      </c>
    </row>
    <row r="4350">
      <c r="K4350">
        <f>IF($A4350="","",SUM($E4350:$J4350))</f>
        <v/>
      </c>
      <c r="M4350">
        <f>IF($A4350="","",MAX(0,ROUNDUP(DASHBOARD!$F$3-$D4350,0)))</f>
        <v/>
      </c>
      <c r="N4350">
        <f>IF($A4350="","",$K4350+(5002-ROW())/10000)</f>
        <v/>
      </c>
    </row>
    <row r="4351">
      <c r="K4351">
        <f>IF($A4351="","",SUM($E4351:$J4351))</f>
        <v/>
      </c>
      <c r="M4351">
        <f>IF($A4351="","",MAX(0,ROUNDUP(DASHBOARD!$F$3-$D4351,0)))</f>
        <v/>
      </c>
      <c r="N4351">
        <f>IF($A4351="","",$K4351+(5002-ROW())/10000)</f>
        <v/>
      </c>
    </row>
    <row r="4352">
      <c r="K4352">
        <f>IF($A4352="","",SUM($E4352:$J4352))</f>
        <v/>
      </c>
      <c r="M4352">
        <f>IF($A4352="","",MAX(0,ROUNDUP(DASHBOARD!$F$3-$D4352,0)))</f>
        <v/>
      </c>
      <c r="N4352">
        <f>IF($A4352="","",$K4352+(5002-ROW())/10000)</f>
        <v/>
      </c>
    </row>
    <row r="4353">
      <c r="K4353">
        <f>IF($A4353="","",SUM($E4353:$J4353))</f>
        <v/>
      </c>
      <c r="M4353">
        <f>IF($A4353="","",MAX(0,ROUNDUP(DASHBOARD!$F$3-$D4353,0)))</f>
        <v/>
      </c>
      <c r="N4353">
        <f>IF($A4353="","",$K4353+(5002-ROW())/10000)</f>
        <v/>
      </c>
    </row>
    <row r="4354">
      <c r="K4354">
        <f>IF($A4354="","",SUM($E4354:$J4354))</f>
        <v/>
      </c>
      <c r="M4354">
        <f>IF($A4354="","",MAX(0,ROUNDUP(DASHBOARD!$F$3-$D4354,0)))</f>
        <v/>
      </c>
      <c r="N4354">
        <f>IF($A4354="","",$K4354+(5002-ROW())/10000)</f>
        <v/>
      </c>
    </row>
    <row r="4355">
      <c r="K4355">
        <f>IF($A4355="","",SUM($E4355:$J4355))</f>
        <v/>
      </c>
      <c r="M4355">
        <f>IF($A4355="","",MAX(0,ROUNDUP(DASHBOARD!$F$3-$D4355,0)))</f>
        <v/>
      </c>
      <c r="N4355">
        <f>IF($A4355="","",$K4355+(5002-ROW())/10000)</f>
        <v/>
      </c>
    </row>
    <row r="4356">
      <c r="K4356">
        <f>IF($A4356="","",SUM($E4356:$J4356))</f>
        <v/>
      </c>
      <c r="M4356">
        <f>IF($A4356="","",MAX(0,ROUNDUP(DASHBOARD!$F$3-$D4356,0)))</f>
        <v/>
      </c>
      <c r="N4356">
        <f>IF($A4356="","",$K4356+(5002-ROW())/10000)</f>
        <v/>
      </c>
    </row>
    <row r="4357">
      <c r="K4357">
        <f>IF($A4357="","",SUM($E4357:$J4357))</f>
        <v/>
      </c>
      <c r="M4357">
        <f>IF($A4357="","",MAX(0,ROUNDUP(DASHBOARD!$F$3-$D4357,0)))</f>
        <v/>
      </c>
      <c r="N4357">
        <f>IF($A4357="","",$K4357+(5002-ROW())/10000)</f>
        <v/>
      </c>
    </row>
    <row r="4358">
      <c r="K4358">
        <f>IF($A4358="","",SUM($E4358:$J4358))</f>
        <v/>
      </c>
      <c r="M4358">
        <f>IF($A4358="","",MAX(0,ROUNDUP(DASHBOARD!$F$3-$D4358,0)))</f>
        <v/>
      </c>
      <c r="N4358">
        <f>IF($A4358="","",$K4358+(5002-ROW())/10000)</f>
        <v/>
      </c>
    </row>
    <row r="4359">
      <c r="K4359">
        <f>IF($A4359="","",SUM($E4359:$J4359))</f>
        <v/>
      </c>
      <c r="M4359">
        <f>IF($A4359="","",MAX(0,ROUNDUP(DASHBOARD!$F$3-$D4359,0)))</f>
        <v/>
      </c>
      <c r="N4359">
        <f>IF($A4359="","",$K4359+(5002-ROW())/10000)</f>
        <v/>
      </c>
    </row>
    <row r="4360">
      <c r="K4360">
        <f>IF($A4360="","",SUM($E4360:$J4360))</f>
        <v/>
      </c>
      <c r="M4360">
        <f>IF($A4360="","",MAX(0,ROUNDUP(DASHBOARD!$F$3-$D4360,0)))</f>
        <v/>
      </c>
      <c r="N4360">
        <f>IF($A4360="","",$K4360+(5002-ROW())/10000)</f>
        <v/>
      </c>
    </row>
    <row r="4361">
      <c r="K4361">
        <f>IF($A4361="","",SUM($E4361:$J4361))</f>
        <v/>
      </c>
      <c r="M4361">
        <f>IF($A4361="","",MAX(0,ROUNDUP(DASHBOARD!$F$3-$D4361,0)))</f>
        <v/>
      </c>
      <c r="N4361">
        <f>IF($A4361="","",$K4361+(5002-ROW())/10000)</f>
        <v/>
      </c>
    </row>
    <row r="4362">
      <c r="K4362">
        <f>IF($A4362="","",SUM($E4362:$J4362))</f>
        <v/>
      </c>
      <c r="M4362">
        <f>IF($A4362="","",MAX(0,ROUNDUP(DASHBOARD!$F$3-$D4362,0)))</f>
        <v/>
      </c>
      <c r="N4362">
        <f>IF($A4362="","",$K4362+(5002-ROW())/10000)</f>
        <v/>
      </c>
    </row>
    <row r="4363">
      <c r="K4363">
        <f>IF($A4363="","",SUM($E4363:$J4363))</f>
        <v/>
      </c>
      <c r="M4363">
        <f>IF($A4363="","",MAX(0,ROUNDUP(DASHBOARD!$F$3-$D4363,0)))</f>
        <v/>
      </c>
      <c r="N4363">
        <f>IF($A4363="","",$K4363+(5002-ROW())/10000)</f>
        <v/>
      </c>
    </row>
    <row r="4364">
      <c r="K4364">
        <f>IF($A4364="","",SUM($E4364:$J4364))</f>
        <v/>
      </c>
      <c r="M4364">
        <f>IF($A4364="","",MAX(0,ROUNDUP(DASHBOARD!$F$3-$D4364,0)))</f>
        <v/>
      </c>
      <c r="N4364">
        <f>IF($A4364="","",$K4364+(5002-ROW())/10000)</f>
        <v/>
      </c>
    </row>
    <row r="4365">
      <c r="K4365">
        <f>IF($A4365="","",SUM($E4365:$J4365))</f>
        <v/>
      </c>
      <c r="M4365">
        <f>IF($A4365="","",MAX(0,ROUNDUP(DASHBOARD!$F$3-$D4365,0)))</f>
        <v/>
      </c>
      <c r="N4365">
        <f>IF($A4365="","",$K4365+(5002-ROW())/10000)</f>
        <v/>
      </c>
    </row>
    <row r="4366">
      <c r="K4366">
        <f>IF($A4366="","",SUM($E4366:$J4366))</f>
        <v/>
      </c>
      <c r="M4366">
        <f>IF($A4366="","",MAX(0,ROUNDUP(DASHBOARD!$F$3-$D4366,0)))</f>
        <v/>
      </c>
      <c r="N4366">
        <f>IF($A4366="","",$K4366+(5002-ROW())/10000)</f>
        <v/>
      </c>
    </row>
    <row r="4367">
      <c r="K4367">
        <f>IF($A4367="","",SUM($E4367:$J4367))</f>
        <v/>
      </c>
      <c r="M4367">
        <f>IF($A4367="","",MAX(0,ROUNDUP(DASHBOARD!$F$3-$D4367,0)))</f>
        <v/>
      </c>
      <c r="N4367">
        <f>IF($A4367="","",$K4367+(5002-ROW())/10000)</f>
        <v/>
      </c>
    </row>
    <row r="4368">
      <c r="K4368">
        <f>IF($A4368="","",SUM($E4368:$J4368))</f>
        <v/>
      </c>
      <c r="M4368">
        <f>IF($A4368="","",MAX(0,ROUNDUP(DASHBOARD!$F$3-$D4368,0)))</f>
        <v/>
      </c>
      <c r="N4368">
        <f>IF($A4368="","",$K4368+(5002-ROW())/10000)</f>
        <v/>
      </c>
    </row>
    <row r="4369">
      <c r="K4369">
        <f>IF($A4369="","",SUM($E4369:$J4369))</f>
        <v/>
      </c>
      <c r="M4369">
        <f>IF($A4369="","",MAX(0,ROUNDUP(DASHBOARD!$F$3-$D4369,0)))</f>
        <v/>
      </c>
      <c r="N4369">
        <f>IF($A4369="","",$K4369+(5002-ROW())/10000)</f>
        <v/>
      </c>
    </row>
    <row r="4370">
      <c r="K4370">
        <f>IF($A4370="","",SUM($E4370:$J4370))</f>
        <v/>
      </c>
      <c r="M4370">
        <f>IF($A4370="","",MAX(0,ROUNDUP(DASHBOARD!$F$3-$D4370,0)))</f>
        <v/>
      </c>
      <c r="N4370">
        <f>IF($A4370="","",$K4370+(5002-ROW())/10000)</f>
        <v/>
      </c>
    </row>
    <row r="4371">
      <c r="K4371">
        <f>IF($A4371="","",SUM($E4371:$J4371))</f>
        <v/>
      </c>
      <c r="M4371">
        <f>IF($A4371="","",MAX(0,ROUNDUP(DASHBOARD!$F$3-$D4371,0)))</f>
        <v/>
      </c>
      <c r="N4371">
        <f>IF($A4371="","",$K4371+(5002-ROW())/10000)</f>
        <v/>
      </c>
    </row>
    <row r="4372">
      <c r="K4372">
        <f>IF($A4372="","",SUM($E4372:$J4372))</f>
        <v/>
      </c>
      <c r="M4372">
        <f>IF($A4372="","",MAX(0,ROUNDUP(DASHBOARD!$F$3-$D4372,0)))</f>
        <v/>
      </c>
      <c r="N4372">
        <f>IF($A4372="","",$K4372+(5002-ROW())/10000)</f>
        <v/>
      </c>
    </row>
    <row r="4373">
      <c r="K4373">
        <f>IF($A4373="","",SUM($E4373:$J4373))</f>
        <v/>
      </c>
      <c r="M4373">
        <f>IF($A4373="","",MAX(0,ROUNDUP(DASHBOARD!$F$3-$D4373,0)))</f>
        <v/>
      </c>
      <c r="N4373">
        <f>IF($A4373="","",$K4373+(5002-ROW())/10000)</f>
        <v/>
      </c>
    </row>
    <row r="4374">
      <c r="K4374">
        <f>IF($A4374="","",SUM($E4374:$J4374))</f>
        <v/>
      </c>
      <c r="M4374">
        <f>IF($A4374="","",MAX(0,ROUNDUP(DASHBOARD!$F$3-$D4374,0)))</f>
        <v/>
      </c>
      <c r="N4374">
        <f>IF($A4374="","",$K4374+(5002-ROW())/10000)</f>
        <v/>
      </c>
    </row>
    <row r="4375">
      <c r="K4375">
        <f>IF($A4375="","",SUM($E4375:$J4375))</f>
        <v/>
      </c>
      <c r="M4375">
        <f>IF($A4375="","",MAX(0,ROUNDUP(DASHBOARD!$F$3-$D4375,0)))</f>
        <v/>
      </c>
      <c r="N4375">
        <f>IF($A4375="","",$K4375+(5002-ROW())/10000)</f>
        <v/>
      </c>
    </row>
    <row r="4376">
      <c r="K4376">
        <f>IF($A4376="","",SUM($E4376:$J4376))</f>
        <v/>
      </c>
      <c r="M4376">
        <f>IF($A4376="","",MAX(0,ROUNDUP(DASHBOARD!$F$3-$D4376,0)))</f>
        <v/>
      </c>
      <c r="N4376">
        <f>IF($A4376="","",$K4376+(5002-ROW())/10000)</f>
        <v/>
      </c>
    </row>
    <row r="4377">
      <c r="K4377">
        <f>IF($A4377="","",SUM($E4377:$J4377))</f>
        <v/>
      </c>
      <c r="M4377">
        <f>IF($A4377="","",MAX(0,ROUNDUP(DASHBOARD!$F$3-$D4377,0)))</f>
        <v/>
      </c>
      <c r="N4377">
        <f>IF($A4377="","",$K4377+(5002-ROW())/10000)</f>
        <v/>
      </c>
    </row>
    <row r="4378">
      <c r="K4378">
        <f>IF($A4378="","",SUM($E4378:$J4378))</f>
        <v/>
      </c>
      <c r="M4378">
        <f>IF($A4378="","",MAX(0,ROUNDUP(DASHBOARD!$F$3-$D4378,0)))</f>
        <v/>
      </c>
      <c r="N4378">
        <f>IF($A4378="","",$K4378+(5002-ROW())/10000)</f>
        <v/>
      </c>
    </row>
    <row r="4379">
      <c r="K4379">
        <f>IF($A4379="","",SUM($E4379:$J4379))</f>
        <v/>
      </c>
      <c r="M4379">
        <f>IF($A4379="","",MAX(0,ROUNDUP(DASHBOARD!$F$3-$D4379,0)))</f>
        <v/>
      </c>
      <c r="N4379">
        <f>IF($A4379="","",$K4379+(5002-ROW())/10000)</f>
        <v/>
      </c>
    </row>
    <row r="4380">
      <c r="K4380">
        <f>IF($A4380="","",SUM($E4380:$J4380))</f>
        <v/>
      </c>
      <c r="M4380">
        <f>IF($A4380="","",MAX(0,ROUNDUP(DASHBOARD!$F$3-$D4380,0)))</f>
        <v/>
      </c>
      <c r="N4380">
        <f>IF($A4380="","",$K4380+(5002-ROW())/10000)</f>
        <v/>
      </c>
    </row>
    <row r="4381">
      <c r="K4381">
        <f>IF($A4381="","",SUM($E4381:$J4381))</f>
        <v/>
      </c>
      <c r="M4381">
        <f>IF($A4381="","",MAX(0,ROUNDUP(DASHBOARD!$F$3-$D4381,0)))</f>
        <v/>
      </c>
      <c r="N4381">
        <f>IF($A4381="","",$K4381+(5002-ROW())/10000)</f>
        <v/>
      </c>
    </row>
    <row r="4382">
      <c r="K4382">
        <f>IF($A4382="","",SUM($E4382:$J4382))</f>
        <v/>
      </c>
      <c r="M4382">
        <f>IF($A4382="","",MAX(0,ROUNDUP(DASHBOARD!$F$3-$D4382,0)))</f>
        <v/>
      </c>
      <c r="N4382">
        <f>IF($A4382="","",$K4382+(5002-ROW())/10000)</f>
        <v/>
      </c>
    </row>
    <row r="4383">
      <c r="K4383">
        <f>IF($A4383="","",SUM($E4383:$J4383))</f>
        <v/>
      </c>
      <c r="M4383">
        <f>IF($A4383="","",MAX(0,ROUNDUP(DASHBOARD!$F$3-$D4383,0)))</f>
        <v/>
      </c>
      <c r="N4383">
        <f>IF($A4383="","",$K4383+(5002-ROW())/10000)</f>
        <v/>
      </c>
    </row>
    <row r="4384">
      <c r="K4384">
        <f>IF($A4384="","",SUM($E4384:$J4384))</f>
        <v/>
      </c>
      <c r="M4384">
        <f>IF($A4384="","",MAX(0,ROUNDUP(DASHBOARD!$F$3-$D4384,0)))</f>
        <v/>
      </c>
      <c r="N4384">
        <f>IF($A4384="","",$K4384+(5002-ROW())/10000)</f>
        <v/>
      </c>
    </row>
    <row r="4385">
      <c r="K4385">
        <f>IF($A4385="","",SUM($E4385:$J4385))</f>
        <v/>
      </c>
      <c r="M4385">
        <f>IF($A4385="","",MAX(0,ROUNDUP(DASHBOARD!$F$3-$D4385,0)))</f>
        <v/>
      </c>
      <c r="N4385">
        <f>IF($A4385="","",$K4385+(5002-ROW())/10000)</f>
        <v/>
      </c>
    </row>
    <row r="4386">
      <c r="K4386">
        <f>IF($A4386="","",SUM($E4386:$J4386))</f>
        <v/>
      </c>
      <c r="M4386">
        <f>IF($A4386="","",MAX(0,ROUNDUP(DASHBOARD!$F$3-$D4386,0)))</f>
        <v/>
      </c>
      <c r="N4386">
        <f>IF($A4386="","",$K4386+(5002-ROW())/10000)</f>
        <v/>
      </c>
    </row>
    <row r="4387">
      <c r="K4387">
        <f>IF($A4387="","",SUM($E4387:$J4387))</f>
        <v/>
      </c>
      <c r="M4387">
        <f>IF($A4387="","",MAX(0,ROUNDUP(DASHBOARD!$F$3-$D4387,0)))</f>
        <v/>
      </c>
      <c r="N4387">
        <f>IF($A4387="","",$K4387+(5002-ROW())/10000)</f>
        <v/>
      </c>
    </row>
    <row r="4388">
      <c r="K4388">
        <f>IF($A4388="","",SUM($E4388:$J4388))</f>
        <v/>
      </c>
      <c r="M4388">
        <f>IF($A4388="","",MAX(0,ROUNDUP(DASHBOARD!$F$3-$D4388,0)))</f>
        <v/>
      </c>
      <c r="N4388">
        <f>IF($A4388="","",$K4388+(5002-ROW())/10000)</f>
        <v/>
      </c>
    </row>
    <row r="4389">
      <c r="K4389">
        <f>IF($A4389="","",SUM($E4389:$J4389))</f>
        <v/>
      </c>
      <c r="M4389">
        <f>IF($A4389="","",MAX(0,ROUNDUP(DASHBOARD!$F$3-$D4389,0)))</f>
        <v/>
      </c>
      <c r="N4389">
        <f>IF($A4389="","",$K4389+(5002-ROW())/10000)</f>
        <v/>
      </c>
    </row>
    <row r="4390">
      <c r="K4390">
        <f>IF($A4390="","",SUM($E4390:$J4390))</f>
        <v/>
      </c>
      <c r="M4390">
        <f>IF($A4390="","",MAX(0,ROUNDUP(DASHBOARD!$F$3-$D4390,0)))</f>
        <v/>
      </c>
      <c r="N4390">
        <f>IF($A4390="","",$K4390+(5002-ROW())/10000)</f>
        <v/>
      </c>
    </row>
    <row r="4391">
      <c r="K4391">
        <f>IF($A4391="","",SUM($E4391:$J4391))</f>
        <v/>
      </c>
      <c r="M4391">
        <f>IF($A4391="","",MAX(0,ROUNDUP(DASHBOARD!$F$3-$D4391,0)))</f>
        <v/>
      </c>
      <c r="N4391">
        <f>IF($A4391="","",$K4391+(5002-ROW())/10000)</f>
        <v/>
      </c>
    </row>
    <row r="4392">
      <c r="K4392">
        <f>IF($A4392="","",SUM($E4392:$J4392))</f>
        <v/>
      </c>
      <c r="M4392">
        <f>IF($A4392="","",MAX(0,ROUNDUP(DASHBOARD!$F$3-$D4392,0)))</f>
        <v/>
      </c>
      <c r="N4392">
        <f>IF($A4392="","",$K4392+(5002-ROW())/10000)</f>
        <v/>
      </c>
    </row>
    <row r="4393">
      <c r="K4393">
        <f>IF($A4393="","",SUM($E4393:$J4393))</f>
        <v/>
      </c>
      <c r="M4393">
        <f>IF($A4393="","",MAX(0,ROUNDUP(DASHBOARD!$F$3-$D4393,0)))</f>
        <v/>
      </c>
      <c r="N4393">
        <f>IF($A4393="","",$K4393+(5002-ROW())/10000)</f>
        <v/>
      </c>
    </row>
    <row r="4394">
      <c r="K4394">
        <f>IF($A4394="","",SUM($E4394:$J4394))</f>
        <v/>
      </c>
      <c r="M4394">
        <f>IF($A4394="","",MAX(0,ROUNDUP(DASHBOARD!$F$3-$D4394,0)))</f>
        <v/>
      </c>
      <c r="N4394">
        <f>IF($A4394="","",$K4394+(5002-ROW())/10000)</f>
        <v/>
      </c>
    </row>
    <row r="4395">
      <c r="K4395">
        <f>IF($A4395="","",SUM($E4395:$J4395))</f>
        <v/>
      </c>
      <c r="M4395">
        <f>IF($A4395="","",MAX(0,ROUNDUP(DASHBOARD!$F$3-$D4395,0)))</f>
        <v/>
      </c>
      <c r="N4395">
        <f>IF($A4395="","",$K4395+(5002-ROW())/10000)</f>
        <v/>
      </c>
    </row>
    <row r="4396">
      <c r="K4396">
        <f>IF($A4396="","",SUM($E4396:$J4396))</f>
        <v/>
      </c>
      <c r="M4396">
        <f>IF($A4396="","",MAX(0,ROUNDUP(DASHBOARD!$F$3-$D4396,0)))</f>
        <v/>
      </c>
      <c r="N4396">
        <f>IF($A4396="","",$K4396+(5002-ROW())/10000)</f>
        <v/>
      </c>
    </row>
    <row r="4397">
      <c r="K4397">
        <f>IF($A4397="","",SUM($E4397:$J4397))</f>
        <v/>
      </c>
      <c r="M4397">
        <f>IF($A4397="","",MAX(0,ROUNDUP(DASHBOARD!$F$3-$D4397,0)))</f>
        <v/>
      </c>
      <c r="N4397">
        <f>IF($A4397="","",$K4397+(5002-ROW())/10000)</f>
        <v/>
      </c>
    </row>
    <row r="4398">
      <c r="K4398">
        <f>IF($A4398="","",SUM($E4398:$J4398))</f>
        <v/>
      </c>
      <c r="M4398">
        <f>IF($A4398="","",MAX(0,ROUNDUP(DASHBOARD!$F$3-$D4398,0)))</f>
        <v/>
      </c>
      <c r="N4398">
        <f>IF($A4398="","",$K4398+(5002-ROW())/10000)</f>
        <v/>
      </c>
    </row>
    <row r="4399">
      <c r="K4399">
        <f>IF($A4399="","",SUM($E4399:$J4399))</f>
        <v/>
      </c>
      <c r="M4399">
        <f>IF($A4399="","",MAX(0,ROUNDUP(DASHBOARD!$F$3-$D4399,0)))</f>
        <v/>
      </c>
      <c r="N4399">
        <f>IF($A4399="","",$K4399+(5002-ROW())/10000)</f>
        <v/>
      </c>
    </row>
    <row r="4400">
      <c r="K4400">
        <f>IF($A4400="","",SUM($E4400:$J4400))</f>
        <v/>
      </c>
      <c r="M4400">
        <f>IF($A4400="","",MAX(0,ROUNDUP(DASHBOARD!$F$3-$D4400,0)))</f>
        <v/>
      </c>
      <c r="N4400">
        <f>IF($A4400="","",$K4400+(5002-ROW())/10000)</f>
        <v/>
      </c>
    </row>
    <row r="4401">
      <c r="K4401">
        <f>IF($A4401="","",SUM($E4401:$J4401))</f>
        <v/>
      </c>
      <c r="M4401">
        <f>IF($A4401="","",MAX(0,ROUNDUP(DASHBOARD!$F$3-$D4401,0)))</f>
        <v/>
      </c>
      <c r="N4401">
        <f>IF($A4401="","",$K4401+(5002-ROW())/10000)</f>
        <v/>
      </c>
    </row>
    <row r="4402">
      <c r="K4402">
        <f>IF($A4402="","",SUM($E4402:$J4402))</f>
        <v/>
      </c>
      <c r="M4402">
        <f>IF($A4402="","",MAX(0,ROUNDUP(DASHBOARD!$F$3-$D4402,0)))</f>
        <v/>
      </c>
      <c r="N4402">
        <f>IF($A4402="","",$K4402+(5002-ROW())/10000)</f>
        <v/>
      </c>
    </row>
    <row r="4403">
      <c r="K4403">
        <f>IF($A4403="","",SUM($E4403:$J4403))</f>
        <v/>
      </c>
      <c r="M4403">
        <f>IF($A4403="","",MAX(0,ROUNDUP(DASHBOARD!$F$3-$D4403,0)))</f>
        <v/>
      </c>
      <c r="N4403">
        <f>IF($A4403="","",$K4403+(5002-ROW())/10000)</f>
        <v/>
      </c>
    </row>
    <row r="4404">
      <c r="K4404">
        <f>IF($A4404="","",SUM($E4404:$J4404))</f>
        <v/>
      </c>
      <c r="M4404">
        <f>IF($A4404="","",MAX(0,ROUNDUP(DASHBOARD!$F$3-$D4404,0)))</f>
        <v/>
      </c>
      <c r="N4404">
        <f>IF($A4404="","",$K4404+(5002-ROW())/10000)</f>
        <v/>
      </c>
    </row>
    <row r="4405">
      <c r="K4405">
        <f>IF($A4405="","",SUM($E4405:$J4405))</f>
        <v/>
      </c>
      <c r="M4405">
        <f>IF($A4405="","",MAX(0,ROUNDUP(DASHBOARD!$F$3-$D4405,0)))</f>
        <v/>
      </c>
      <c r="N4405">
        <f>IF($A4405="","",$K4405+(5002-ROW())/10000)</f>
        <v/>
      </c>
    </row>
    <row r="4406">
      <c r="K4406">
        <f>IF($A4406="","",SUM($E4406:$J4406))</f>
        <v/>
      </c>
      <c r="M4406">
        <f>IF($A4406="","",MAX(0,ROUNDUP(DASHBOARD!$F$3-$D4406,0)))</f>
        <v/>
      </c>
      <c r="N4406">
        <f>IF($A4406="","",$K4406+(5002-ROW())/10000)</f>
        <v/>
      </c>
    </row>
    <row r="4407">
      <c r="K4407">
        <f>IF($A4407="","",SUM($E4407:$J4407))</f>
        <v/>
      </c>
      <c r="M4407">
        <f>IF($A4407="","",MAX(0,ROUNDUP(DASHBOARD!$F$3-$D4407,0)))</f>
        <v/>
      </c>
      <c r="N4407">
        <f>IF($A4407="","",$K4407+(5002-ROW())/10000)</f>
        <v/>
      </c>
    </row>
    <row r="4408">
      <c r="K4408">
        <f>IF($A4408="","",SUM($E4408:$J4408))</f>
        <v/>
      </c>
      <c r="M4408">
        <f>IF($A4408="","",MAX(0,ROUNDUP(DASHBOARD!$F$3-$D4408,0)))</f>
        <v/>
      </c>
      <c r="N4408">
        <f>IF($A4408="","",$K4408+(5002-ROW())/10000)</f>
        <v/>
      </c>
    </row>
    <row r="4409">
      <c r="K4409">
        <f>IF($A4409="","",SUM($E4409:$J4409))</f>
        <v/>
      </c>
      <c r="M4409">
        <f>IF($A4409="","",MAX(0,ROUNDUP(DASHBOARD!$F$3-$D4409,0)))</f>
        <v/>
      </c>
      <c r="N4409">
        <f>IF($A4409="","",$K4409+(5002-ROW())/10000)</f>
        <v/>
      </c>
    </row>
    <row r="4410">
      <c r="K4410">
        <f>IF($A4410="","",SUM($E4410:$J4410))</f>
        <v/>
      </c>
      <c r="M4410">
        <f>IF($A4410="","",MAX(0,ROUNDUP(DASHBOARD!$F$3-$D4410,0)))</f>
        <v/>
      </c>
      <c r="N4410">
        <f>IF($A4410="","",$K4410+(5002-ROW())/10000)</f>
        <v/>
      </c>
    </row>
    <row r="4411">
      <c r="K4411">
        <f>IF($A4411="","",SUM($E4411:$J4411))</f>
        <v/>
      </c>
      <c r="M4411">
        <f>IF($A4411="","",MAX(0,ROUNDUP(DASHBOARD!$F$3-$D4411,0)))</f>
        <v/>
      </c>
      <c r="N4411">
        <f>IF($A4411="","",$K4411+(5002-ROW())/10000)</f>
        <v/>
      </c>
    </row>
    <row r="4412">
      <c r="K4412">
        <f>IF($A4412="","",SUM($E4412:$J4412))</f>
        <v/>
      </c>
      <c r="M4412">
        <f>IF($A4412="","",MAX(0,ROUNDUP(DASHBOARD!$F$3-$D4412,0)))</f>
        <v/>
      </c>
      <c r="N4412">
        <f>IF($A4412="","",$K4412+(5002-ROW())/10000)</f>
        <v/>
      </c>
    </row>
    <row r="4413">
      <c r="K4413">
        <f>IF($A4413="","",SUM($E4413:$J4413))</f>
        <v/>
      </c>
      <c r="M4413">
        <f>IF($A4413="","",MAX(0,ROUNDUP(DASHBOARD!$F$3-$D4413,0)))</f>
        <v/>
      </c>
      <c r="N4413">
        <f>IF($A4413="","",$K4413+(5002-ROW())/10000)</f>
        <v/>
      </c>
    </row>
    <row r="4414">
      <c r="K4414">
        <f>IF($A4414="","",SUM($E4414:$J4414))</f>
        <v/>
      </c>
      <c r="M4414">
        <f>IF($A4414="","",MAX(0,ROUNDUP(DASHBOARD!$F$3-$D4414,0)))</f>
        <v/>
      </c>
      <c r="N4414">
        <f>IF($A4414="","",$K4414+(5002-ROW())/10000)</f>
        <v/>
      </c>
    </row>
    <row r="4415">
      <c r="K4415">
        <f>IF($A4415="","",SUM($E4415:$J4415))</f>
        <v/>
      </c>
      <c r="M4415">
        <f>IF($A4415="","",MAX(0,ROUNDUP(DASHBOARD!$F$3-$D4415,0)))</f>
        <v/>
      </c>
      <c r="N4415">
        <f>IF($A4415="","",$K4415+(5002-ROW())/10000)</f>
        <v/>
      </c>
    </row>
    <row r="4416">
      <c r="K4416">
        <f>IF($A4416="","",SUM($E4416:$J4416))</f>
        <v/>
      </c>
      <c r="M4416">
        <f>IF($A4416="","",MAX(0,ROUNDUP(DASHBOARD!$F$3-$D4416,0)))</f>
        <v/>
      </c>
      <c r="N4416">
        <f>IF($A4416="","",$K4416+(5002-ROW())/10000)</f>
        <v/>
      </c>
    </row>
    <row r="4417">
      <c r="K4417">
        <f>IF($A4417="","",SUM($E4417:$J4417))</f>
        <v/>
      </c>
      <c r="M4417">
        <f>IF($A4417="","",MAX(0,ROUNDUP(DASHBOARD!$F$3-$D4417,0)))</f>
        <v/>
      </c>
      <c r="N4417">
        <f>IF($A4417="","",$K4417+(5002-ROW())/10000)</f>
        <v/>
      </c>
    </row>
    <row r="4418">
      <c r="K4418">
        <f>IF($A4418="","",SUM($E4418:$J4418))</f>
        <v/>
      </c>
      <c r="M4418">
        <f>IF($A4418="","",MAX(0,ROUNDUP(DASHBOARD!$F$3-$D4418,0)))</f>
        <v/>
      </c>
      <c r="N4418">
        <f>IF($A4418="","",$K4418+(5002-ROW())/10000)</f>
        <v/>
      </c>
    </row>
    <row r="4419">
      <c r="K4419">
        <f>IF($A4419="","",SUM($E4419:$J4419))</f>
        <v/>
      </c>
      <c r="M4419">
        <f>IF($A4419="","",MAX(0,ROUNDUP(DASHBOARD!$F$3-$D4419,0)))</f>
        <v/>
      </c>
      <c r="N4419">
        <f>IF($A4419="","",$K4419+(5002-ROW())/10000)</f>
        <v/>
      </c>
    </row>
    <row r="4420">
      <c r="K4420">
        <f>IF($A4420="","",SUM($E4420:$J4420))</f>
        <v/>
      </c>
      <c r="M4420">
        <f>IF($A4420="","",MAX(0,ROUNDUP(DASHBOARD!$F$3-$D4420,0)))</f>
        <v/>
      </c>
      <c r="N4420">
        <f>IF($A4420="","",$K4420+(5002-ROW())/10000)</f>
        <v/>
      </c>
    </row>
    <row r="4421">
      <c r="K4421">
        <f>IF($A4421="","",SUM($E4421:$J4421))</f>
        <v/>
      </c>
      <c r="M4421">
        <f>IF($A4421="","",MAX(0,ROUNDUP(DASHBOARD!$F$3-$D4421,0)))</f>
        <v/>
      </c>
      <c r="N4421">
        <f>IF($A4421="","",$K4421+(5002-ROW())/10000)</f>
        <v/>
      </c>
    </row>
    <row r="4422">
      <c r="K4422">
        <f>IF($A4422="","",SUM($E4422:$J4422))</f>
        <v/>
      </c>
      <c r="M4422">
        <f>IF($A4422="","",MAX(0,ROUNDUP(DASHBOARD!$F$3-$D4422,0)))</f>
        <v/>
      </c>
      <c r="N4422">
        <f>IF($A4422="","",$K4422+(5002-ROW())/10000)</f>
        <v/>
      </c>
    </row>
    <row r="4423">
      <c r="K4423">
        <f>IF($A4423="","",SUM($E4423:$J4423))</f>
        <v/>
      </c>
      <c r="M4423">
        <f>IF($A4423="","",MAX(0,ROUNDUP(DASHBOARD!$F$3-$D4423,0)))</f>
        <v/>
      </c>
      <c r="N4423">
        <f>IF($A4423="","",$K4423+(5002-ROW())/10000)</f>
        <v/>
      </c>
    </row>
    <row r="4424">
      <c r="K4424">
        <f>IF($A4424="","",SUM($E4424:$J4424))</f>
        <v/>
      </c>
      <c r="M4424">
        <f>IF($A4424="","",MAX(0,ROUNDUP(DASHBOARD!$F$3-$D4424,0)))</f>
        <v/>
      </c>
      <c r="N4424">
        <f>IF($A4424="","",$K4424+(5002-ROW())/10000)</f>
        <v/>
      </c>
    </row>
    <row r="4425">
      <c r="K4425">
        <f>IF($A4425="","",SUM($E4425:$J4425))</f>
        <v/>
      </c>
      <c r="M4425">
        <f>IF($A4425="","",MAX(0,ROUNDUP(DASHBOARD!$F$3-$D4425,0)))</f>
        <v/>
      </c>
      <c r="N4425">
        <f>IF($A4425="","",$K4425+(5002-ROW())/10000)</f>
        <v/>
      </c>
    </row>
    <row r="4426">
      <c r="K4426">
        <f>IF($A4426="","",SUM($E4426:$J4426))</f>
        <v/>
      </c>
      <c r="M4426">
        <f>IF($A4426="","",MAX(0,ROUNDUP(DASHBOARD!$F$3-$D4426,0)))</f>
        <v/>
      </c>
      <c r="N4426">
        <f>IF($A4426="","",$K4426+(5002-ROW())/10000)</f>
        <v/>
      </c>
    </row>
    <row r="4427">
      <c r="K4427">
        <f>IF($A4427="","",SUM($E4427:$J4427))</f>
        <v/>
      </c>
      <c r="M4427">
        <f>IF($A4427="","",MAX(0,ROUNDUP(DASHBOARD!$F$3-$D4427,0)))</f>
        <v/>
      </c>
      <c r="N4427">
        <f>IF($A4427="","",$K4427+(5002-ROW())/10000)</f>
        <v/>
      </c>
    </row>
    <row r="4428">
      <c r="K4428">
        <f>IF($A4428="","",SUM($E4428:$J4428))</f>
        <v/>
      </c>
      <c r="M4428">
        <f>IF($A4428="","",MAX(0,ROUNDUP(DASHBOARD!$F$3-$D4428,0)))</f>
        <v/>
      </c>
      <c r="N4428">
        <f>IF($A4428="","",$K4428+(5002-ROW())/10000)</f>
        <v/>
      </c>
    </row>
    <row r="4429">
      <c r="K4429">
        <f>IF($A4429="","",SUM($E4429:$J4429))</f>
        <v/>
      </c>
      <c r="M4429">
        <f>IF($A4429="","",MAX(0,ROUNDUP(DASHBOARD!$F$3-$D4429,0)))</f>
        <v/>
      </c>
      <c r="N4429">
        <f>IF($A4429="","",$K4429+(5002-ROW())/10000)</f>
        <v/>
      </c>
    </row>
    <row r="4430">
      <c r="K4430">
        <f>IF($A4430="","",SUM($E4430:$J4430))</f>
        <v/>
      </c>
      <c r="M4430">
        <f>IF($A4430="","",MAX(0,ROUNDUP(DASHBOARD!$F$3-$D4430,0)))</f>
        <v/>
      </c>
      <c r="N4430">
        <f>IF($A4430="","",$K4430+(5002-ROW())/10000)</f>
        <v/>
      </c>
    </row>
    <row r="4431">
      <c r="K4431">
        <f>IF($A4431="","",SUM($E4431:$J4431))</f>
        <v/>
      </c>
      <c r="M4431">
        <f>IF($A4431="","",MAX(0,ROUNDUP(DASHBOARD!$F$3-$D4431,0)))</f>
        <v/>
      </c>
      <c r="N4431">
        <f>IF($A4431="","",$K4431+(5002-ROW())/10000)</f>
        <v/>
      </c>
    </row>
    <row r="4432">
      <c r="K4432">
        <f>IF($A4432="","",SUM($E4432:$J4432))</f>
        <v/>
      </c>
      <c r="M4432">
        <f>IF($A4432="","",MAX(0,ROUNDUP(DASHBOARD!$F$3-$D4432,0)))</f>
        <v/>
      </c>
      <c r="N4432">
        <f>IF($A4432="","",$K4432+(5002-ROW())/10000)</f>
        <v/>
      </c>
    </row>
    <row r="4433">
      <c r="K4433">
        <f>IF($A4433="","",SUM($E4433:$J4433))</f>
        <v/>
      </c>
      <c r="M4433">
        <f>IF($A4433="","",MAX(0,ROUNDUP(DASHBOARD!$F$3-$D4433,0)))</f>
        <v/>
      </c>
      <c r="N4433">
        <f>IF($A4433="","",$K4433+(5002-ROW())/10000)</f>
        <v/>
      </c>
    </row>
    <row r="4434">
      <c r="K4434">
        <f>IF($A4434="","",SUM($E4434:$J4434))</f>
        <v/>
      </c>
      <c r="M4434">
        <f>IF($A4434="","",MAX(0,ROUNDUP(DASHBOARD!$F$3-$D4434,0)))</f>
        <v/>
      </c>
      <c r="N4434">
        <f>IF($A4434="","",$K4434+(5002-ROW())/10000)</f>
        <v/>
      </c>
    </row>
    <row r="4435">
      <c r="K4435">
        <f>IF($A4435="","",SUM($E4435:$J4435))</f>
        <v/>
      </c>
      <c r="M4435">
        <f>IF($A4435="","",MAX(0,ROUNDUP(DASHBOARD!$F$3-$D4435,0)))</f>
        <v/>
      </c>
      <c r="N4435">
        <f>IF($A4435="","",$K4435+(5002-ROW())/10000)</f>
        <v/>
      </c>
    </row>
    <row r="4436">
      <c r="K4436">
        <f>IF($A4436="","",SUM($E4436:$J4436))</f>
        <v/>
      </c>
      <c r="M4436">
        <f>IF($A4436="","",MAX(0,ROUNDUP(DASHBOARD!$F$3-$D4436,0)))</f>
        <v/>
      </c>
      <c r="N4436">
        <f>IF($A4436="","",$K4436+(5002-ROW())/10000)</f>
        <v/>
      </c>
    </row>
    <row r="4437">
      <c r="K4437">
        <f>IF($A4437="","",SUM($E4437:$J4437))</f>
        <v/>
      </c>
      <c r="M4437">
        <f>IF($A4437="","",MAX(0,ROUNDUP(DASHBOARD!$F$3-$D4437,0)))</f>
        <v/>
      </c>
      <c r="N4437">
        <f>IF($A4437="","",$K4437+(5002-ROW())/10000)</f>
        <v/>
      </c>
    </row>
    <row r="4438">
      <c r="K4438">
        <f>IF($A4438="","",SUM($E4438:$J4438))</f>
        <v/>
      </c>
      <c r="M4438">
        <f>IF($A4438="","",MAX(0,ROUNDUP(DASHBOARD!$F$3-$D4438,0)))</f>
        <v/>
      </c>
      <c r="N4438">
        <f>IF($A4438="","",$K4438+(5002-ROW())/10000)</f>
        <v/>
      </c>
    </row>
    <row r="4439">
      <c r="K4439">
        <f>IF($A4439="","",SUM($E4439:$J4439))</f>
        <v/>
      </c>
      <c r="M4439">
        <f>IF($A4439="","",MAX(0,ROUNDUP(DASHBOARD!$F$3-$D4439,0)))</f>
        <v/>
      </c>
      <c r="N4439">
        <f>IF($A4439="","",$K4439+(5002-ROW())/10000)</f>
        <v/>
      </c>
    </row>
    <row r="4440">
      <c r="K4440">
        <f>IF($A4440="","",SUM($E4440:$J4440))</f>
        <v/>
      </c>
      <c r="M4440">
        <f>IF($A4440="","",MAX(0,ROUNDUP(DASHBOARD!$F$3-$D4440,0)))</f>
        <v/>
      </c>
      <c r="N4440">
        <f>IF($A4440="","",$K4440+(5002-ROW())/10000)</f>
        <v/>
      </c>
    </row>
    <row r="4441">
      <c r="K4441">
        <f>IF($A4441="","",SUM($E4441:$J4441))</f>
        <v/>
      </c>
      <c r="M4441">
        <f>IF($A4441="","",MAX(0,ROUNDUP(DASHBOARD!$F$3-$D4441,0)))</f>
        <v/>
      </c>
      <c r="N4441">
        <f>IF($A4441="","",$K4441+(5002-ROW())/10000)</f>
        <v/>
      </c>
    </row>
    <row r="4442">
      <c r="K4442">
        <f>IF($A4442="","",SUM($E4442:$J4442))</f>
        <v/>
      </c>
      <c r="M4442">
        <f>IF($A4442="","",MAX(0,ROUNDUP(DASHBOARD!$F$3-$D4442,0)))</f>
        <v/>
      </c>
      <c r="N4442">
        <f>IF($A4442="","",$K4442+(5002-ROW())/10000)</f>
        <v/>
      </c>
    </row>
    <row r="4443">
      <c r="K4443">
        <f>IF($A4443="","",SUM($E4443:$J4443))</f>
        <v/>
      </c>
      <c r="M4443">
        <f>IF($A4443="","",MAX(0,ROUNDUP(DASHBOARD!$F$3-$D4443,0)))</f>
        <v/>
      </c>
      <c r="N4443">
        <f>IF($A4443="","",$K4443+(5002-ROW())/10000)</f>
        <v/>
      </c>
    </row>
    <row r="4444">
      <c r="K4444">
        <f>IF($A4444="","",SUM($E4444:$J4444))</f>
        <v/>
      </c>
      <c r="M4444">
        <f>IF($A4444="","",MAX(0,ROUNDUP(DASHBOARD!$F$3-$D4444,0)))</f>
        <v/>
      </c>
      <c r="N4444">
        <f>IF($A4444="","",$K4444+(5002-ROW())/10000)</f>
        <v/>
      </c>
    </row>
    <row r="4445">
      <c r="K4445">
        <f>IF($A4445="","",SUM($E4445:$J4445))</f>
        <v/>
      </c>
      <c r="M4445">
        <f>IF($A4445="","",MAX(0,ROUNDUP(DASHBOARD!$F$3-$D4445,0)))</f>
        <v/>
      </c>
      <c r="N4445">
        <f>IF($A4445="","",$K4445+(5002-ROW())/10000)</f>
        <v/>
      </c>
    </row>
    <row r="4446">
      <c r="K4446">
        <f>IF($A4446="","",SUM($E4446:$J4446))</f>
        <v/>
      </c>
      <c r="M4446">
        <f>IF($A4446="","",MAX(0,ROUNDUP(DASHBOARD!$F$3-$D4446,0)))</f>
        <v/>
      </c>
      <c r="N4446">
        <f>IF($A4446="","",$K4446+(5002-ROW())/10000)</f>
        <v/>
      </c>
    </row>
    <row r="4447">
      <c r="K4447">
        <f>IF($A4447="","",SUM($E4447:$J4447))</f>
        <v/>
      </c>
      <c r="M4447">
        <f>IF($A4447="","",MAX(0,ROUNDUP(DASHBOARD!$F$3-$D4447,0)))</f>
        <v/>
      </c>
      <c r="N4447">
        <f>IF($A4447="","",$K4447+(5002-ROW())/10000)</f>
        <v/>
      </c>
    </row>
    <row r="4448">
      <c r="K4448">
        <f>IF($A4448="","",SUM($E4448:$J4448))</f>
        <v/>
      </c>
      <c r="M4448">
        <f>IF($A4448="","",MAX(0,ROUNDUP(DASHBOARD!$F$3-$D4448,0)))</f>
        <v/>
      </c>
      <c r="N4448">
        <f>IF($A4448="","",$K4448+(5002-ROW())/10000)</f>
        <v/>
      </c>
    </row>
    <row r="4449">
      <c r="K4449">
        <f>IF($A4449="","",SUM($E4449:$J4449))</f>
        <v/>
      </c>
      <c r="M4449">
        <f>IF($A4449="","",MAX(0,ROUNDUP(DASHBOARD!$F$3-$D4449,0)))</f>
        <v/>
      </c>
      <c r="N4449">
        <f>IF($A4449="","",$K4449+(5002-ROW())/10000)</f>
        <v/>
      </c>
    </row>
    <row r="4450">
      <c r="K4450">
        <f>IF($A4450="","",SUM($E4450:$J4450))</f>
        <v/>
      </c>
      <c r="M4450">
        <f>IF($A4450="","",MAX(0,ROUNDUP(DASHBOARD!$F$3-$D4450,0)))</f>
        <v/>
      </c>
      <c r="N4450">
        <f>IF($A4450="","",$K4450+(5002-ROW())/10000)</f>
        <v/>
      </c>
    </row>
    <row r="4451">
      <c r="K4451">
        <f>IF($A4451="","",SUM($E4451:$J4451))</f>
        <v/>
      </c>
      <c r="M4451">
        <f>IF($A4451="","",MAX(0,ROUNDUP(DASHBOARD!$F$3-$D4451,0)))</f>
        <v/>
      </c>
      <c r="N4451">
        <f>IF($A4451="","",$K4451+(5002-ROW())/10000)</f>
        <v/>
      </c>
    </row>
    <row r="4452">
      <c r="K4452">
        <f>IF($A4452="","",SUM($E4452:$J4452))</f>
        <v/>
      </c>
      <c r="M4452">
        <f>IF($A4452="","",MAX(0,ROUNDUP(DASHBOARD!$F$3-$D4452,0)))</f>
        <v/>
      </c>
      <c r="N4452">
        <f>IF($A4452="","",$K4452+(5002-ROW())/10000)</f>
        <v/>
      </c>
    </row>
    <row r="4453">
      <c r="K4453">
        <f>IF($A4453="","",SUM($E4453:$J4453))</f>
        <v/>
      </c>
      <c r="M4453">
        <f>IF($A4453="","",MAX(0,ROUNDUP(DASHBOARD!$F$3-$D4453,0)))</f>
        <v/>
      </c>
      <c r="N4453">
        <f>IF($A4453="","",$K4453+(5002-ROW())/10000)</f>
        <v/>
      </c>
    </row>
    <row r="4454">
      <c r="K4454">
        <f>IF($A4454="","",SUM($E4454:$J4454))</f>
        <v/>
      </c>
      <c r="M4454">
        <f>IF($A4454="","",MAX(0,ROUNDUP(DASHBOARD!$F$3-$D4454,0)))</f>
        <v/>
      </c>
      <c r="N4454">
        <f>IF($A4454="","",$K4454+(5002-ROW())/10000)</f>
        <v/>
      </c>
    </row>
    <row r="4455">
      <c r="K4455">
        <f>IF($A4455="","",SUM($E4455:$J4455))</f>
        <v/>
      </c>
      <c r="M4455">
        <f>IF($A4455="","",MAX(0,ROUNDUP(DASHBOARD!$F$3-$D4455,0)))</f>
        <v/>
      </c>
      <c r="N4455">
        <f>IF($A4455="","",$K4455+(5002-ROW())/10000)</f>
        <v/>
      </c>
    </row>
    <row r="4456">
      <c r="K4456">
        <f>IF($A4456="","",SUM($E4456:$J4456))</f>
        <v/>
      </c>
      <c r="M4456">
        <f>IF($A4456="","",MAX(0,ROUNDUP(DASHBOARD!$F$3-$D4456,0)))</f>
        <v/>
      </c>
      <c r="N4456">
        <f>IF($A4456="","",$K4456+(5002-ROW())/10000)</f>
        <v/>
      </c>
    </row>
    <row r="4457">
      <c r="K4457">
        <f>IF($A4457="","",SUM($E4457:$J4457))</f>
        <v/>
      </c>
      <c r="M4457">
        <f>IF($A4457="","",MAX(0,ROUNDUP(DASHBOARD!$F$3-$D4457,0)))</f>
        <v/>
      </c>
      <c r="N4457">
        <f>IF($A4457="","",$K4457+(5002-ROW())/10000)</f>
        <v/>
      </c>
    </row>
    <row r="4458">
      <c r="K4458">
        <f>IF($A4458="","",SUM($E4458:$J4458))</f>
        <v/>
      </c>
      <c r="M4458">
        <f>IF($A4458="","",MAX(0,ROUNDUP(DASHBOARD!$F$3-$D4458,0)))</f>
        <v/>
      </c>
      <c r="N4458">
        <f>IF($A4458="","",$K4458+(5002-ROW())/10000)</f>
        <v/>
      </c>
    </row>
    <row r="4459">
      <c r="K4459">
        <f>IF($A4459="","",SUM($E4459:$J4459))</f>
        <v/>
      </c>
      <c r="M4459">
        <f>IF($A4459="","",MAX(0,ROUNDUP(DASHBOARD!$F$3-$D4459,0)))</f>
        <v/>
      </c>
      <c r="N4459">
        <f>IF($A4459="","",$K4459+(5002-ROW())/10000)</f>
        <v/>
      </c>
    </row>
    <row r="4460">
      <c r="K4460">
        <f>IF($A4460="","",SUM($E4460:$J4460))</f>
        <v/>
      </c>
      <c r="M4460">
        <f>IF($A4460="","",MAX(0,ROUNDUP(DASHBOARD!$F$3-$D4460,0)))</f>
        <v/>
      </c>
      <c r="N4460">
        <f>IF($A4460="","",$K4460+(5002-ROW())/10000)</f>
        <v/>
      </c>
    </row>
    <row r="4461">
      <c r="K4461">
        <f>IF($A4461="","",SUM($E4461:$J4461))</f>
        <v/>
      </c>
      <c r="M4461">
        <f>IF($A4461="","",MAX(0,ROUNDUP(DASHBOARD!$F$3-$D4461,0)))</f>
        <v/>
      </c>
      <c r="N4461">
        <f>IF($A4461="","",$K4461+(5002-ROW())/10000)</f>
        <v/>
      </c>
    </row>
    <row r="4462">
      <c r="K4462">
        <f>IF($A4462="","",SUM($E4462:$J4462))</f>
        <v/>
      </c>
      <c r="M4462">
        <f>IF($A4462="","",MAX(0,ROUNDUP(DASHBOARD!$F$3-$D4462,0)))</f>
        <v/>
      </c>
      <c r="N4462">
        <f>IF($A4462="","",$K4462+(5002-ROW())/10000)</f>
        <v/>
      </c>
    </row>
    <row r="4463">
      <c r="K4463">
        <f>IF($A4463="","",SUM($E4463:$J4463))</f>
        <v/>
      </c>
      <c r="M4463">
        <f>IF($A4463="","",MAX(0,ROUNDUP(DASHBOARD!$F$3-$D4463,0)))</f>
        <v/>
      </c>
      <c r="N4463">
        <f>IF($A4463="","",$K4463+(5002-ROW())/10000)</f>
        <v/>
      </c>
    </row>
    <row r="4464">
      <c r="K4464">
        <f>IF($A4464="","",SUM($E4464:$J4464))</f>
        <v/>
      </c>
      <c r="M4464">
        <f>IF($A4464="","",MAX(0,ROUNDUP(DASHBOARD!$F$3-$D4464,0)))</f>
        <v/>
      </c>
      <c r="N4464">
        <f>IF($A4464="","",$K4464+(5002-ROW())/10000)</f>
        <v/>
      </c>
    </row>
    <row r="4465">
      <c r="K4465">
        <f>IF($A4465="","",SUM($E4465:$J4465))</f>
        <v/>
      </c>
      <c r="M4465">
        <f>IF($A4465="","",MAX(0,ROUNDUP(DASHBOARD!$F$3-$D4465,0)))</f>
        <v/>
      </c>
      <c r="N4465">
        <f>IF($A4465="","",$K4465+(5002-ROW())/10000)</f>
        <v/>
      </c>
    </row>
    <row r="4466">
      <c r="K4466">
        <f>IF($A4466="","",SUM($E4466:$J4466))</f>
        <v/>
      </c>
      <c r="M4466">
        <f>IF($A4466="","",MAX(0,ROUNDUP(DASHBOARD!$F$3-$D4466,0)))</f>
        <v/>
      </c>
      <c r="N4466">
        <f>IF($A4466="","",$K4466+(5002-ROW())/10000)</f>
        <v/>
      </c>
    </row>
    <row r="4467">
      <c r="K4467">
        <f>IF($A4467="","",SUM($E4467:$J4467))</f>
        <v/>
      </c>
      <c r="M4467">
        <f>IF($A4467="","",MAX(0,ROUNDUP(DASHBOARD!$F$3-$D4467,0)))</f>
        <v/>
      </c>
      <c r="N4467">
        <f>IF($A4467="","",$K4467+(5002-ROW())/10000)</f>
        <v/>
      </c>
    </row>
    <row r="4468">
      <c r="K4468">
        <f>IF($A4468="","",SUM($E4468:$J4468))</f>
        <v/>
      </c>
      <c r="M4468">
        <f>IF($A4468="","",MAX(0,ROUNDUP(DASHBOARD!$F$3-$D4468,0)))</f>
        <v/>
      </c>
      <c r="N4468">
        <f>IF($A4468="","",$K4468+(5002-ROW())/10000)</f>
        <v/>
      </c>
    </row>
    <row r="4469">
      <c r="K4469">
        <f>IF($A4469="","",SUM($E4469:$J4469))</f>
        <v/>
      </c>
      <c r="M4469">
        <f>IF($A4469="","",MAX(0,ROUNDUP(DASHBOARD!$F$3-$D4469,0)))</f>
        <v/>
      </c>
      <c r="N4469">
        <f>IF($A4469="","",$K4469+(5002-ROW())/10000)</f>
        <v/>
      </c>
    </row>
    <row r="4470">
      <c r="K4470">
        <f>IF($A4470="","",SUM($E4470:$J4470))</f>
        <v/>
      </c>
      <c r="M4470">
        <f>IF($A4470="","",MAX(0,ROUNDUP(DASHBOARD!$F$3-$D4470,0)))</f>
        <v/>
      </c>
      <c r="N4470">
        <f>IF($A4470="","",$K4470+(5002-ROW())/10000)</f>
        <v/>
      </c>
    </row>
    <row r="4471">
      <c r="K4471">
        <f>IF($A4471="","",SUM($E4471:$J4471))</f>
        <v/>
      </c>
      <c r="M4471">
        <f>IF($A4471="","",MAX(0,ROUNDUP(DASHBOARD!$F$3-$D4471,0)))</f>
        <v/>
      </c>
      <c r="N4471">
        <f>IF($A4471="","",$K4471+(5002-ROW())/10000)</f>
        <v/>
      </c>
    </row>
    <row r="4472">
      <c r="K4472">
        <f>IF($A4472="","",SUM($E4472:$J4472))</f>
        <v/>
      </c>
      <c r="M4472">
        <f>IF($A4472="","",MAX(0,ROUNDUP(DASHBOARD!$F$3-$D4472,0)))</f>
        <v/>
      </c>
      <c r="N4472">
        <f>IF($A4472="","",$K4472+(5002-ROW())/10000)</f>
        <v/>
      </c>
    </row>
    <row r="4473">
      <c r="K4473">
        <f>IF($A4473="","",SUM($E4473:$J4473))</f>
        <v/>
      </c>
      <c r="M4473">
        <f>IF($A4473="","",MAX(0,ROUNDUP(DASHBOARD!$F$3-$D4473,0)))</f>
        <v/>
      </c>
      <c r="N4473">
        <f>IF($A4473="","",$K4473+(5002-ROW())/10000)</f>
        <v/>
      </c>
    </row>
    <row r="4474">
      <c r="K4474">
        <f>IF($A4474="","",SUM($E4474:$J4474))</f>
        <v/>
      </c>
      <c r="M4474">
        <f>IF($A4474="","",MAX(0,ROUNDUP(DASHBOARD!$F$3-$D4474,0)))</f>
        <v/>
      </c>
      <c r="N4474">
        <f>IF($A4474="","",$K4474+(5002-ROW())/10000)</f>
        <v/>
      </c>
    </row>
    <row r="4475">
      <c r="K4475">
        <f>IF($A4475="","",SUM($E4475:$J4475))</f>
        <v/>
      </c>
      <c r="M4475">
        <f>IF($A4475="","",MAX(0,ROUNDUP(DASHBOARD!$F$3-$D4475,0)))</f>
        <v/>
      </c>
      <c r="N4475">
        <f>IF($A4475="","",$K4475+(5002-ROW())/10000)</f>
        <v/>
      </c>
    </row>
    <row r="4476">
      <c r="K4476">
        <f>IF($A4476="","",SUM($E4476:$J4476))</f>
        <v/>
      </c>
      <c r="M4476">
        <f>IF($A4476="","",MAX(0,ROUNDUP(DASHBOARD!$F$3-$D4476,0)))</f>
        <v/>
      </c>
      <c r="N4476">
        <f>IF($A4476="","",$K4476+(5002-ROW())/10000)</f>
        <v/>
      </c>
    </row>
    <row r="4477">
      <c r="K4477">
        <f>IF($A4477="","",SUM($E4477:$J4477))</f>
        <v/>
      </c>
      <c r="M4477">
        <f>IF($A4477="","",MAX(0,ROUNDUP(DASHBOARD!$F$3-$D4477,0)))</f>
        <v/>
      </c>
      <c r="N4477">
        <f>IF($A4477="","",$K4477+(5002-ROW())/10000)</f>
        <v/>
      </c>
    </row>
    <row r="4478">
      <c r="K4478">
        <f>IF($A4478="","",SUM($E4478:$J4478))</f>
        <v/>
      </c>
      <c r="M4478">
        <f>IF($A4478="","",MAX(0,ROUNDUP(DASHBOARD!$F$3-$D4478,0)))</f>
        <v/>
      </c>
      <c r="N4478">
        <f>IF($A4478="","",$K4478+(5002-ROW())/10000)</f>
        <v/>
      </c>
    </row>
    <row r="4479">
      <c r="K4479">
        <f>IF($A4479="","",SUM($E4479:$J4479))</f>
        <v/>
      </c>
      <c r="M4479">
        <f>IF($A4479="","",MAX(0,ROUNDUP(DASHBOARD!$F$3-$D4479,0)))</f>
        <v/>
      </c>
      <c r="N4479">
        <f>IF($A4479="","",$K4479+(5002-ROW())/10000)</f>
        <v/>
      </c>
    </row>
    <row r="4480">
      <c r="K4480">
        <f>IF($A4480="","",SUM($E4480:$J4480))</f>
        <v/>
      </c>
      <c r="M4480">
        <f>IF($A4480="","",MAX(0,ROUNDUP(DASHBOARD!$F$3-$D4480,0)))</f>
        <v/>
      </c>
      <c r="N4480">
        <f>IF($A4480="","",$K4480+(5002-ROW())/10000)</f>
        <v/>
      </c>
    </row>
    <row r="4481">
      <c r="K4481">
        <f>IF($A4481="","",SUM($E4481:$J4481))</f>
        <v/>
      </c>
      <c r="M4481">
        <f>IF($A4481="","",MAX(0,ROUNDUP(DASHBOARD!$F$3-$D4481,0)))</f>
        <v/>
      </c>
      <c r="N4481">
        <f>IF($A4481="","",$K4481+(5002-ROW())/10000)</f>
        <v/>
      </c>
    </row>
    <row r="4482">
      <c r="K4482">
        <f>IF($A4482="","",SUM($E4482:$J4482))</f>
        <v/>
      </c>
      <c r="M4482">
        <f>IF($A4482="","",MAX(0,ROUNDUP(DASHBOARD!$F$3-$D4482,0)))</f>
        <v/>
      </c>
      <c r="N4482">
        <f>IF($A4482="","",$K4482+(5002-ROW())/10000)</f>
        <v/>
      </c>
    </row>
    <row r="4483">
      <c r="K4483">
        <f>IF($A4483="","",SUM($E4483:$J4483))</f>
        <v/>
      </c>
      <c r="M4483">
        <f>IF($A4483="","",MAX(0,ROUNDUP(DASHBOARD!$F$3-$D4483,0)))</f>
        <v/>
      </c>
      <c r="N4483">
        <f>IF($A4483="","",$K4483+(5002-ROW())/10000)</f>
        <v/>
      </c>
    </row>
    <row r="4484">
      <c r="K4484">
        <f>IF($A4484="","",SUM($E4484:$J4484))</f>
        <v/>
      </c>
      <c r="M4484">
        <f>IF($A4484="","",MAX(0,ROUNDUP(DASHBOARD!$F$3-$D4484,0)))</f>
        <v/>
      </c>
      <c r="N4484">
        <f>IF($A4484="","",$K4484+(5002-ROW())/10000)</f>
        <v/>
      </c>
    </row>
    <row r="4485">
      <c r="K4485">
        <f>IF($A4485="","",SUM($E4485:$J4485))</f>
        <v/>
      </c>
      <c r="M4485">
        <f>IF($A4485="","",MAX(0,ROUNDUP(DASHBOARD!$F$3-$D4485,0)))</f>
        <v/>
      </c>
      <c r="N4485">
        <f>IF($A4485="","",$K4485+(5002-ROW())/10000)</f>
        <v/>
      </c>
    </row>
    <row r="4486">
      <c r="K4486">
        <f>IF($A4486="","",SUM($E4486:$J4486))</f>
        <v/>
      </c>
      <c r="M4486">
        <f>IF($A4486="","",MAX(0,ROUNDUP(DASHBOARD!$F$3-$D4486,0)))</f>
        <v/>
      </c>
      <c r="N4486">
        <f>IF($A4486="","",$K4486+(5002-ROW())/10000)</f>
        <v/>
      </c>
    </row>
    <row r="4487">
      <c r="K4487">
        <f>IF($A4487="","",SUM($E4487:$J4487))</f>
        <v/>
      </c>
      <c r="M4487">
        <f>IF($A4487="","",MAX(0,ROUNDUP(DASHBOARD!$F$3-$D4487,0)))</f>
        <v/>
      </c>
      <c r="N4487">
        <f>IF($A4487="","",$K4487+(5002-ROW())/10000)</f>
        <v/>
      </c>
    </row>
    <row r="4488">
      <c r="K4488">
        <f>IF($A4488="","",SUM($E4488:$J4488))</f>
        <v/>
      </c>
      <c r="M4488">
        <f>IF($A4488="","",MAX(0,ROUNDUP(DASHBOARD!$F$3-$D4488,0)))</f>
        <v/>
      </c>
      <c r="N4488">
        <f>IF($A4488="","",$K4488+(5002-ROW())/10000)</f>
        <v/>
      </c>
    </row>
    <row r="4489">
      <c r="K4489">
        <f>IF($A4489="","",SUM($E4489:$J4489))</f>
        <v/>
      </c>
      <c r="M4489">
        <f>IF($A4489="","",MAX(0,ROUNDUP(DASHBOARD!$F$3-$D4489,0)))</f>
        <v/>
      </c>
      <c r="N4489">
        <f>IF($A4489="","",$K4489+(5002-ROW())/10000)</f>
        <v/>
      </c>
    </row>
    <row r="4490">
      <c r="K4490">
        <f>IF($A4490="","",SUM($E4490:$J4490))</f>
        <v/>
      </c>
      <c r="M4490">
        <f>IF($A4490="","",MAX(0,ROUNDUP(DASHBOARD!$F$3-$D4490,0)))</f>
        <v/>
      </c>
      <c r="N4490">
        <f>IF($A4490="","",$K4490+(5002-ROW())/10000)</f>
        <v/>
      </c>
    </row>
    <row r="4491">
      <c r="K4491">
        <f>IF($A4491="","",SUM($E4491:$J4491))</f>
        <v/>
      </c>
      <c r="M4491">
        <f>IF($A4491="","",MAX(0,ROUNDUP(DASHBOARD!$F$3-$D4491,0)))</f>
        <v/>
      </c>
      <c r="N4491">
        <f>IF($A4491="","",$K4491+(5002-ROW())/10000)</f>
        <v/>
      </c>
    </row>
    <row r="4492">
      <c r="K4492">
        <f>IF($A4492="","",SUM($E4492:$J4492))</f>
        <v/>
      </c>
      <c r="M4492">
        <f>IF($A4492="","",MAX(0,ROUNDUP(DASHBOARD!$F$3-$D4492,0)))</f>
        <v/>
      </c>
      <c r="N4492">
        <f>IF($A4492="","",$K4492+(5002-ROW())/10000)</f>
        <v/>
      </c>
    </row>
    <row r="4493">
      <c r="K4493">
        <f>IF($A4493="","",SUM($E4493:$J4493))</f>
        <v/>
      </c>
      <c r="M4493">
        <f>IF($A4493="","",MAX(0,ROUNDUP(DASHBOARD!$F$3-$D4493,0)))</f>
        <v/>
      </c>
      <c r="N4493">
        <f>IF($A4493="","",$K4493+(5002-ROW())/10000)</f>
        <v/>
      </c>
    </row>
    <row r="4494">
      <c r="K4494">
        <f>IF($A4494="","",SUM($E4494:$J4494))</f>
        <v/>
      </c>
      <c r="M4494">
        <f>IF($A4494="","",MAX(0,ROUNDUP(DASHBOARD!$F$3-$D4494,0)))</f>
        <v/>
      </c>
      <c r="N4494">
        <f>IF($A4494="","",$K4494+(5002-ROW())/10000)</f>
        <v/>
      </c>
    </row>
    <row r="4495">
      <c r="K4495">
        <f>IF($A4495="","",SUM($E4495:$J4495))</f>
        <v/>
      </c>
      <c r="M4495">
        <f>IF($A4495="","",MAX(0,ROUNDUP(DASHBOARD!$F$3-$D4495,0)))</f>
        <v/>
      </c>
      <c r="N4495">
        <f>IF($A4495="","",$K4495+(5002-ROW())/10000)</f>
        <v/>
      </c>
    </row>
    <row r="4496">
      <c r="K4496">
        <f>IF($A4496="","",SUM($E4496:$J4496))</f>
        <v/>
      </c>
      <c r="M4496">
        <f>IF($A4496="","",MAX(0,ROUNDUP(DASHBOARD!$F$3-$D4496,0)))</f>
        <v/>
      </c>
      <c r="N4496">
        <f>IF($A4496="","",$K4496+(5002-ROW())/10000)</f>
        <v/>
      </c>
    </row>
    <row r="4497">
      <c r="K4497">
        <f>IF($A4497="","",SUM($E4497:$J4497))</f>
        <v/>
      </c>
      <c r="M4497">
        <f>IF($A4497="","",MAX(0,ROUNDUP(DASHBOARD!$F$3-$D4497,0)))</f>
        <v/>
      </c>
      <c r="N4497">
        <f>IF($A4497="","",$K4497+(5002-ROW())/10000)</f>
        <v/>
      </c>
    </row>
    <row r="4498">
      <c r="K4498">
        <f>IF($A4498="","",SUM($E4498:$J4498))</f>
        <v/>
      </c>
      <c r="M4498">
        <f>IF($A4498="","",MAX(0,ROUNDUP(DASHBOARD!$F$3-$D4498,0)))</f>
        <v/>
      </c>
      <c r="N4498">
        <f>IF($A4498="","",$K4498+(5002-ROW())/10000)</f>
        <v/>
      </c>
    </row>
    <row r="4499">
      <c r="K4499">
        <f>IF($A4499="","",SUM($E4499:$J4499))</f>
        <v/>
      </c>
      <c r="M4499">
        <f>IF($A4499="","",MAX(0,ROUNDUP(DASHBOARD!$F$3-$D4499,0)))</f>
        <v/>
      </c>
      <c r="N4499">
        <f>IF($A4499="","",$K4499+(5002-ROW())/10000)</f>
        <v/>
      </c>
    </row>
    <row r="4500">
      <c r="K4500">
        <f>IF($A4500="","",SUM($E4500:$J4500))</f>
        <v/>
      </c>
      <c r="M4500">
        <f>IF($A4500="","",MAX(0,ROUNDUP(DASHBOARD!$F$3-$D4500,0)))</f>
        <v/>
      </c>
      <c r="N4500">
        <f>IF($A4500="","",$K4500+(5002-ROW())/10000)</f>
        <v/>
      </c>
    </row>
    <row r="4501">
      <c r="K4501">
        <f>IF($A4501="","",SUM($E4501:$J4501))</f>
        <v/>
      </c>
      <c r="M4501">
        <f>IF($A4501="","",MAX(0,ROUNDUP(DASHBOARD!$F$3-$D4501,0)))</f>
        <v/>
      </c>
      <c r="N4501">
        <f>IF($A4501="","",$K4501+(5002-ROW())/10000)</f>
        <v/>
      </c>
    </row>
    <row r="4502">
      <c r="K4502">
        <f>IF($A4502="","",SUM($E4502:$J4502))</f>
        <v/>
      </c>
      <c r="M4502">
        <f>IF($A4502="","",MAX(0,ROUNDUP(DASHBOARD!$F$3-$D4502,0)))</f>
        <v/>
      </c>
      <c r="N4502">
        <f>IF($A4502="","",$K4502+(5002-ROW())/10000)</f>
        <v/>
      </c>
    </row>
    <row r="4503">
      <c r="K4503">
        <f>IF($A4503="","",SUM($E4503:$J4503))</f>
        <v/>
      </c>
      <c r="M4503">
        <f>IF($A4503="","",MAX(0,ROUNDUP(DASHBOARD!$F$3-$D4503,0)))</f>
        <v/>
      </c>
      <c r="N4503">
        <f>IF($A4503="","",$K4503+(5002-ROW())/10000)</f>
        <v/>
      </c>
    </row>
    <row r="4504">
      <c r="K4504">
        <f>IF($A4504="","",SUM($E4504:$J4504))</f>
        <v/>
      </c>
      <c r="M4504">
        <f>IF($A4504="","",MAX(0,ROUNDUP(DASHBOARD!$F$3-$D4504,0)))</f>
        <v/>
      </c>
      <c r="N4504">
        <f>IF($A4504="","",$K4504+(5002-ROW())/10000)</f>
        <v/>
      </c>
    </row>
    <row r="4505">
      <c r="K4505">
        <f>IF($A4505="","",SUM($E4505:$J4505))</f>
        <v/>
      </c>
      <c r="M4505">
        <f>IF($A4505="","",MAX(0,ROUNDUP(DASHBOARD!$F$3-$D4505,0)))</f>
        <v/>
      </c>
      <c r="N4505">
        <f>IF($A4505="","",$K4505+(5002-ROW())/10000)</f>
        <v/>
      </c>
    </row>
    <row r="4506">
      <c r="K4506">
        <f>IF($A4506="","",SUM($E4506:$J4506))</f>
        <v/>
      </c>
      <c r="M4506">
        <f>IF($A4506="","",MAX(0,ROUNDUP(DASHBOARD!$F$3-$D4506,0)))</f>
        <v/>
      </c>
      <c r="N4506">
        <f>IF($A4506="","",$K4506+(5002-ROW())/10000)</f>
        <v/>
      </c>
    </row>
    <row r="4507">
      <c r="K4507">
        <f>IF($A4507="","",SUM($E4507:$J4507))</f>
        <v/>
      </c>
      <c r="M4507">
        <f>IF($A4507="","",MAX(0,ROUNDUP(DASHBOARD!$F$3-$D4507,0)))</f>
        <v/>
      </c>
      <c r="N4507">
        <f>IF($A4507="","",$K4507+(5002-ROW())/10000)</f>
        <v/>
      </c>
    </row>
    <row r="4508">
      <c r="K4508">
        <f>IF($A4508="","",SUM($E4508:$J4508))</f>
        <v/>
      </c>
      <c r="M4508">
        <f>IF($A4508="","",MAX(0,ROUNDUP(DASHBOARD!$F$3-$D4508,0)))</f>
        <v/>
      </c>
      <c r="N4508">
        <f>IF($A4508="","",$K4508+(5002-ROW())/10000)</f>
        <v/>
      </c>
    </row>
    <row r="4509">
      <c r="K4509">
        <f>IF($A4509="","",SUM($E4509:$J4509))</f>
        <v/>
      </c>
      <c r="M4509">
        <f>IF($A4509="","",MAX(0,ROUNDUP(DASHBOARD!$F$3-$D4509,0)))</f>
        <v/>
      </c>
      <c r="N4509">
        <f>IF($A4509="","",$K4509+(5002-ROW())/10000)</f>
        <v/>
      </c>
    </row>
    <row r="4510">
      <c r="K4510">
        <f>IF($A4510="","",SUM($E4510:$J4510))</f>
        <v/>
      </c>
      <c r="M4510">
        <f>IF($A4510="","",MAX(0,ROUNDUP(DASHBOARD!$F$3-$D4510,0)))</f>
        <v/>
      </c>
      <c r="N4510">
        <f>IF($A4510="","",$K4510+(5002-ROW())/10000)</f>
        <v/>
      </c>
    </row>
    <row r="4511">
      <c r="K4511">
        <f>IF($A4511="","",SUM($E4511:$J4511))</f>
        <v/>
      </c>
      <c r="M4511">
        <f>IF($A4511="","",MAX(0,ROUNDUP(DASHBOARD!$F$3-$D4511,0)))</f>
        <v/>
      </c>
      <c r="N4511">
        <f>IF($A4511="","",$K4511+(5002-ROW())/10000)</f>
        <v/>
      </c>
    </row>
    <row r="4512">
      <c r="K4512">
        <f>IF($A4512="","",SUM($E4512:$J4512))</f>
        <v/>
      </c>
      <c r="M4512">
        <f>IF($A4512="","",MAX(0,ROUNDUP(DASHBOARD!$F$3-$D4512,0)))</f>
        <v/>
      </c>
      <c r="N4512">
        <f>IF($A4512="","",$K4512+(5002-ROW())/10000)</f>
        <v/>
      </c>
    </row>
    <row r="4513">
      <c r="K4513">
        <f>IF($A4513="","",SUM($E4513:$J4513))</f>
        <v/>
      </c>
      <c r="M4513">
        <f>IF($A4513="","",MAX(0,ROUNDUP(DASHBOARD!$F$3-$D4513,0)))</f>
        <v/>
      </c>
      <c r="N4513">
        <f>IF($A4513="","",$K4513+(5002-ROW())/10000)</f>
        <v/>
      </c>
    </row>
    <row r="4514">
      <c r="K4514">
        <f>IF($A4514="","",SUM($E4514:$J4514))</f>
        <v/>
      </c>
      <c r="M4514">
        <f>IF($A4514="","",MAX(0,ROUNDUP(DASHBOARD!$F$3-$D4514,0)))</f>
        <v/>
      </c>
      <c r="N4514">
        <f>IF($A4514="","",$K4514+(5002-ROW())/10000)</f>
        <v/>
      </c>
    </row>
    <row r="4515">
      <c r="K4515">
        <f>IF($A4515="","",SUM($E4515:$J4515))</f>
        <v/>
      </c>
      <c r="M4515">
        <f>IF($A4515="","",MAX(0,ROUNDUP(DASHBOARD!$F$3-$D4515,0)))</f>
        <v/>
      </c>
      <c r="N4515">
        <f>IF($A4515="","",$K4515+(5002-ROW())/10000)</f>
        <v/>
      </c>
    </row>
    <row r="4516">
      <c r="K4516">
        <f>IF($A4516="","",SUM($E4516:$J4516))</f>
        <v/>
      </c>
      <c r="M4516">
        <f>IF($A4516="","",MAX(0,ROUNDUP(DASHBOARD!$F$3-$D4516,0)))</f>
        <v/>
      </c>
      <c r="N4516">
        <f>IF($A4516="","",$K4516+(5002-ROW())/10000)</f>
        <v/>
      </c>
    </row>
    <row r="4517">
      <c r="K4517">
        <f>IF($A4517="","",SUM($E4517:$J4517))</f>
        <v/>
      </c>
      <c r="M4517">
        <f>IF($A4517="","",MAX(0,ROUNDUP(DASHBOARD!$F$3-$D4517,0)))</f>
        <v/>
      </c>
      <c r="N4517">
        <f>IF($A4517="","",$K4517+(5002-ROW())/10000)</f>
        <v/>
      </c>
    </row>
    <row r="4518">
      <c r="K4518">
        <f>IF($A4518="","",SUM($E4518:$J4518))</f>
        <v/>
      </c>
      <c r="M4518">
        <f>IF($A4518="","",MAX(0,ROUNDUP(DASHBOARD!$F$3-$D4518,0)))</f>
        <v/>
      </c>
      <c r="N4518">
        <f>IF($A4518="","",$K4518+(5002-ROW())/10000)</f>
        <v/>
      </c>
    </row>
    <row r="4519">
      <c r="K4519">
        <f>IF($A4519="","",SUM($E4519:$J4519))</f>
        <v/>
      </c>
      <c r="M4519">
        <f>IF($A4519="","",MAX(0,ROUNDUP(DASHBOARD!$F$3-$D4519,0)))</f>
        <v/>
      </c>
      <c r="N4519">
        <f>IF($A4519="","",$K4519+(5002-ROW())/10000)</f>
        <v/>
      </c>
    </row>
    <row r="4520">
      <c r="K4520">
        <f>IF($A4520="","",SUM($E4520:$J4520))</f>
        <v/>
      </c>
      <c r="M4520">
        <f>IF($A4520="","",MAX(0,ROUNDUP(DASHBOARD!$F$3-$D4520,0)))</f>
        <v/>
      </c>
      <c r="N4520">
        <f>IF($A4520="","",$K4520+(5002-ROW())/10000)</f>
        <v/>
      </c>
    </row>
    <row r="4521">
      <c r="K4521">
        <f>IF($A4521="","",SUM($E4521:$J4521))</f>
        <v/>
      </c>
      <c r="M4521">
        <f>IF($A4521="","",MAX(0,ROUNDUP(DASHBOARD!$F$3-$D4521,0)))</f>
        <v/>
      </c>
      <c r="N4521">
        <f>IF($A4521="","",$K4521+(5002-ROW())/10000)</f>
        <v/>
      </c>
    </row>
    <row r="4522">
      <c r="K4522">
        <f>IF($A4522="","",SUM($E4522:$J4522))</f>
        <v/>
      </c>
      <c r="M4522">
        <f>IF($A4522="","",MAX(0,ROUNDUP(DASHBOARD!$F$3-$D4522,0)))</f>
        <v/>
      </c>
      <c r="N4522">
        <f>IF($A4522="","",$K4522+(5002-ROW())/10000)</f>
        <v/>
      </c>
    </row>
    <row r="4523">
      <c r="K4523">
        <f>IF($A4523="","",SUM($E4523:$J4523))</f>
        <v/>
      </c>
      <c r="M4523">
        <f>IF($A4523="","",MAX(0,ROUNDUP(DASHBOARD!$F$3-$D4523,0)))</f>
        <v/>
      </c>
      <c r="N4523">
        <f>IF($A4523="","",$K4523+(5002-ROW())/10000)</f>
        <v/>
      </c>
    </row>
    <row r="4524">
      <c r="K4524">
        <f>IF($A4524="","",SUM($E4524:$J4524))</f>
        <v/>
      </c>
      <c r="M4524">
        <f>IF($A4524="","",MAX(0,ROUNDUP(DASHBOARD!$F$3-$D4524,0)))</f>
        <v/>
      </c>
      <c r="N4524">
        <f>IF($A4524="","",$K4524+(5002-ROW())/10000)</f>
        <v/>
      </c>
    </row>
    <row r="4525">
      <c r="K4525">
        <f>IF($A4525="","",SUM($E4525:$J4525))</f>
        <v/>
      </c>
      <c r="M4525">
        <f>IF($A4525="","",MAX(0,ROUNDUP(DASHBOARD!$F$3-$D4525,0)))</f>
        <v/>
      </c>
      <c r="N4525">
        <f>IF($A4525="","",$K4525+(5002-ROW())/10000)</f>
        <v/>
      </c>
    </row>
    <row r="4526">
      <c r="K4526">
        <f>IF($A4526="","",SUM($E4526:$J4526))</f>
        <v/>
      </c>
      <c r="M4526">
        <f>IF($A4526="","",MAX(0,ROUNDUP(DASHBOARD!$F$3-$D4526,0)))</f>
        <v/>
      </c>
      <c r="N4526">
        <f>IF($A4526="","",$K4526+(5002-ROW())/10000)</f>
        <v/>
      </c>
    </row>
    <row r="4527">
      <c r="K4527">
        <f>IF($A4527="","",SUM($E4527:$J4527))</f>
        <v/>
      </c>
      <c r="M4527">
        <f>IF($A4527="","",MAX(0,ROUNDUP(DASHBOARD!$F$3-$D4527,0)))</f>
        <v/>
      </c>
      <c r="N4527">
        <f>IF($A4527="","",$K4527+(5002-ROW())/10000)</f>
        <v/>
      </c>
    </row>
    <row r="4528">
      <c r="K4528">
        <f>IF($A4528="","",SUM($E4528:$J4528))</f>
        <v/>
      </c>
      <c r="M4528">
        <f>IF($A4528="","",MAX(0,ROUNDUP(DASHBOARD!$F$3-$D4528,0)))</f>
        <v/>
      </c>
      <c r="N4528">
        <f>IF($A4528="","",$K4528+(5002-ROW())/10000)</f>
        <v/>
      </c>
    </row>
    <row r="4529">
      <c r="K4529">
        <f>IF($A4529="","",SUM($E4529:$J4529))</f>
        <v/>
      </c>
      <c r="M4529">
        <f>IF($A4529="","",MAX(0,ROUNDUP(DASHBOARD!$F$3-$D4529,0)))</f>
        <v/>
      </c>
      <c r="N4529">
        <f>IF($A4529="","",$K4529+(5002-ROW())/10000)</f>
        <v/>
      </c>
    </row>
    <row r="4530">
      <c r="K4530">
        <f>IF($A4530="","",SUM($E4530:$J4530))</f>
        <v/>
      </c>
      <c r="M4530">
        <f>IF($A4530="","",MAX(0,ROUNDUP(DASHBOARD!$F$3-$D4530,0)))</f>
        <v/>
      </c>
      <c r="N4530">
        <f>IF($A4530="","",$K4530+(5002-ROW())/10000)</f>
        <v/>
      </c>
    </row>
    <row r="4531">
      <c r="K4531">
        <f>IF($A4531="","",SUM($E4531:$J4531))</f>
        <v/>
      </c>
      <c r="M4531">
        <f>IF($A4531="","",MAX(0,ROUNDUP(DASHBOARD!$F$3-$D4531,0)))</f>
        <v/>
      </c>
      <c r="N4531">
        <f>IF($A4531="","",$K4531+(5002-ROW())/10000)</f>
        <v/>
      </c>
    </row>
    <row r="4532">
      <c r="K4532">
        <f>IF($A4532="","",SUM($E4532:$J4532))</f>
        <v/>
      </c>
      <c r="M4532">
        <f>IF($A4532="","",MAX(0,ROUNDUP(DASHBOARD!$F$3-$D4532,0)))</f>
        <v/>
      </c>
      <c r="N4532">
        <f>IF($A4532="","",$K4532+(5002-ROW())/10000)</f>
        <v/>
      </c>
    </row>
    <row r="4533">
      <c r="K4533">
        <f>IF($A4533="","",SUM($E4533:$J4533))</f>
        <v/>
      </c>
      <c r="M4533">
        <f>IF($A4533="","",MAX(0,ROUNDUP(DASHBOARD!$F$3-$D4533,0)))</f>
        <v/>
      </c>
      <c r="N4533">
        <f>IF($A4533="","",$K4533+(5002-ROW())/10000)</f>
        <v/>
      </c>
    </row>
    <row r="4534">
      <c r="K4534">
        <f>IF($A4534="","",SUM($E4534:$J4534))</f>
        <v/>
      </c>
      <c r="M4534">
        <f>IF($A4534="","",MAX(0,ROUNDUP(DASHBOARD!$F$3-$D4534,0)))</f>
        <v/>
      </c>
      <c r="N4534">
        <f>IF($A4534="","",$K4534+(5002-ROW())/10000)</f>
        <v/>
      </c>
    </row>
    <row r="4535">
      <c r="K4535">
        <f>IF($A4535="","",SUM($E4535:$J4535))</f>
        <v/>
      </c>
      <c r="M4535">
        <f>IF($A4535="","",MAX(0,ROUNDUP(DASHBOARD!$F$3-$D4535,0)))</f>
        <v/>
      </c>
      <c r="N4535">
        <f>IF($A4535="","",$K4535+(5002-ROW())/10000)</f>
        <v/>
      </c>
    </row>
    <row r="4536">
      <c r="K4536">
        <f>IF($A4536="","",SUM($E4536:$J4536))</f>
        <v/>
      </c>
      <c r="M4536">
        <f>IF($A4536="","",MAX(0,ROUNDUP(DASHBOARD!$F$3-$D4536,0)))</f>
        <v/>
      </c>
      <c r="N4536">
        <f>IF($A4536="","",$K4536+(5002-ROW())/10000)</f>
        <v/>
      </c>
    </row>
    <row r="4537">
      <c r="K4537">
        <f>IF($A4537="","",SUM($E4537:$J4537))</f>
        <v/>
      </c>
      <c r="M4537">
        <f>IF($A4537="","",MAX(0,ROUNDUP(DASHBOARD!$F$3-$D4537,0)))</f>
        <v/>
      </c>
      <c r="N4537">
        <f>IF($A4537="","",$K4537+(5002-ROW())/10000)</f>
        <v/>
      </c>
    </row>
    <row r="4538">
      <c r="K4538">
        <f>IF($A4538="","",SUM($E4538:$J4538))</f>
        <v/>
      </c>
      <c r="M4538">
        <f>IF($A4538="","",MAX(0,ROUNDUP(DASHBOARD!$F$3-$D4538,0)))</f>
        <v/>
      </c>
      <c r="N4538">
        <f>IF($A4538="","",$K4538+(5002-ROW())/10000)</f>
        <v/>
      </c>
    </row>
    <row r="4539">
      <c r="K4539">
        <f>IF($A4539="","",SUM($E4539:$J4539))</f>
        <v/>
      </c>
      <c r="M4539">
        <f>IF($A4539="","",MAX(0,ROUNDUP(DASHBOARD!$F$3-$D4539,0)))</f>
        <v/>
      </c>
      <c r="N4539">
        <f>IF($A4539="","",$K4539+(5002-ROW())/10000)</f>
        <v/>
      </c>
    </row>
    <row r="4540">
      <c r="K4540">
        <f>IF($A4540="","",SUM($E4540:$J4540))</f>
        <v/>
      </c>
      <c r="M4540">
        <f>IF($A4540="","",MAX(0,ROUNDUP(DASHBOARD!$F$3-$D4540,0)))</f>
        <v/>
      </c>
      <c r="N4540">
        <f>IF($A4540="","",$K4540+(5002-ROW())/10000)</f>
        <v/>
      </c>
    </row>
    <row r="4541">
      <c r="K4541">
        <f>IF($A4541="","",SUM($E4541:$J4541))</f>
        <v/>
      </c>
      <c r="M4541">
        <f>IF($A4541="","",MAX(0,ROUNDUP(DASHBOARD!$F$3-$D4541,0)))</f>
        <v/>
      </c>
      <c r="N4541">
        <f>IF($A4541="","",$K4541+(5002-ROW())/10000)</f>
        <v/>
      </c>
    </row>
    <row r="4542">
      <c r="K4542">
        <f>IF($A4542="","",SUM($E4542:$J4542))</f>
        <v/>
      </c>
      <c r="M4542">
        <f>IF($A4542="","",MAX(0,ROUNDUP(DASHBOARD!$F$3-$D4542,0)))</f>
        <v/>
      </c>
      <c r="N4542">
        <f>IF($A4542="","",$K4542+(5002-ROW())/10000)</f>
        <v/>
      </c>
    </row>
    <row r="4543">
      <c r="K4543">
        <f>IF($A4543="","",SUM($E4543:$J4543))</f>
        <v/>
      </c>
      <c r="M4543">
        <f>IF($A4543="","",MAX(0,ROUNDUP(DASHBOARD!$F$3-$D4543,0)))</f>
        <v/>
      </c>
      <c r="N4543">
        <f>IF($A4543="","",$K4543+(5002-ROW())/10000)</f>
        <v/>
      </c>
    </row>
    <row r="4544">
      <c r="K4544">
        <f>IF($A4544="","",SUM($E4544:$J4544))</f>
        <v/>
      </c>
      <c r="M4544">
        <f>IF($A4544="","",MAX(0,ROUNDUP(DASHBOARD!$F$3-$D4544,0)))</f>
        <v/>
      </c>
      <c r="N4544">
        <f>IF($A4544="","",$K4544+(5002-ROW())/10000)</f>
        <v/>
      </c>
    </row>
    <row r="4545">
      <c r="K4545">
        <f>IF($A4545="","",SUM($E4545:$J4545))</f>
        <v/>
      </c>
      <c r="M4545">
        <f>IF($A4545="","",MAX(0,ROUNDUP(DASHBOARD!$F$3-$D4545,0)))</f>
        <v/>
      </c>
      <c r="N4545">
        <f>IF($A4545="","",$K4545+(5002-ROW())/10000)</f>
        <v/>
      </c>
    </row>
    <row r="4546">
      <c r="K4546">
        <f>IF($A4546="","",SUM($E4546:$J4546))</f>
        <v/>
      </c>
      <c r="M4546">
        <f>IF($A4546="","",MAX(0,ROUNDUP(DASHBOARD!$F$3-$D4546,0)))</f>
        <v/>
      </c>
      <c r="N4546">
        <f>IF($A4546="","",$K4546+(5002-ROW())/10000)</f>
        <v/>
      </c>
    </row>
    <row r="4547">
      <c r="K4547">
        <f>IF($A4547="","",SUM($E4547:$J4547))</f>
        <v/>
      </c>
      <c r="M4547">
        <f>IF($A4547="","",MAX(0,ROUNDUP(DASHBOARD!$F$3-$D4547,0)))</f>
        <v/>
      </c>
      <c r="N4547">
        <f>IF($A4547="","",$K4547+(5002-ROW())/10000)</f>
        <v/>
      </c>
    </row>
    <row r="4548">
      <c r="K4548">
        <f>IF($A4548="","",SUM($E4548:$J4548))</f>
        <v/>
      </c>
      <c r="M4548">
        <f>IF($A4548="","",MAX(0,ROUNDUP(DASHBOARD!$F$3-$D4548,0)))</f>
        <v/>
      </c>
      <c r="N4548">
        <f>IF($A4548="","",$K4548+(5002-ROW())/10000)</f>
        <v/>
      </c>
    </row>
    <row r="4549">
      <c r="K4549">
        <f>IF($A4549="","",SUM($E4549:$J4549))</f>
        <v/>
      </c>
      <c r="M4549">
        <f>IF($A4549="","",MAX(0,ROUNDUP(DASHBOARD!$F$3-$D4549,0)))</f>
        <v/>
      </c>
      <c r="N4549">
        <f>IF($A4549="","",$K4549+(5002-ROW())/10000)</f>
        <v/>
      </c>
    </row>
    <row r="4550">
      <c r="K4550">
        <f>IF($A4550="","",SUM($E4550:$J4550))</f>
        <v/>
      </c>
      <c r="M4550">
        <f>IF($A4550="","",MAX(0,ROUNDUP(DASHBOARD!$F$3-$D4550,0)))</f>
        <v/>
      </c>
      <c r="N4550">
        <f>IF($A4550="","",$K4550+(5002-ROW())/10000)</f>
        <v/>
      </c>
    </row>
    <row r="4551">
      <c r="K4551">
        <f>IF($A4551="","",SUM($E4551:$J4551))</f>
        <v/>
      </c>
      <c r="M4551">
        <f>IF($A4551="","",MAX(0,ROUNDUP(DASHBOARD!$F$3-$D4551,0)))</f>
        <v/>
      </c>
      <c r="N4551">
        <f>IF($A4551="","",$K4551+(5002-ROW())/10000)</f>
        <v/>
      </c>
    </row>
    <row r="4552">
      <c r="K4552">
        <f>IF($A4552="","",SUM($E4552:$J4552))</f>
        <v/>
      </c>
      <c r="M4552">
        <f>IF($A4552="","",MAX(0,ROUNDUP(DASHBOARD!$F$3-$D4552,0)))</f>
        <v/>
      </c>
      <c r="N4552">
        <f>IF($A4552="","",$K4552+(5002-ROW())/10000)</f>
        <v/>
      </c>
    </row>
    <row r="4553">
      <c r="K4553">
        <f>IF($A4553="","",SUM($E4553:$J4553))</f>
        <v/>
      </c>
      <c r="M4553">
        <f>IF($A4553="","",MAX(0,ROUNDUP(DASHBOARD!$F$3-$D4553,0)))</f>
        <v/>
      </c>
      <c r="N4553">
        <f>IF($A4553="","",$K4553+(5002-ROW())/10000)</f>
        <v/>
      </c>
    </row>
    <row r="4554">
      <c r="K4554">
        <f>IF($A4554="","",SUM($E4554:$J4554))</f>
        <v/>
      </c>
      <c r="M4554">
        <f>IF($A4554="","",MAX(0,ROUNDUP(DASHBOARD!$F$3-$D4554,0)))</f>
        <v/>
      </c>
      <c r="N4554">
        <f>IF($A4554="","",$K4554+(5002-ROW())/10000)</f>
        <v/>
      </c>
    </row>
    <row r="4555">
      <c r="K4555">
        <f>IF($A4555="","",SUM($E4555:$J4555))</f>
        <v/>
      </c>
      <c r="M4555">
        <f>IF($A4555="","",MAX(0,ROUNDUP(DASHBOARD!$F$3-$D4555,0)))</f>
        <v/>
      </c>
      <c r="N4555">
        <f>IF($A4555="","",$K4555+(5002-ROW())/10000)</f>
        <v/>
      </c>
    </row>
    <row r="4556">
      <c r="K4556">
        <f>IF($A4556="","",SUM($E4556:$J4556))</f>
        <v/>
      </c>
      <c r="M4556">
        <f>IF($A4556="","",MAX(0,ROUNDUP(DASHBOARD!$F$3-$D4556,0)))</f>
        <v/>
      </c>
      <c r="N4556">
        <f>IF($A4556="","",$K4556+(5002-ROW())/10000)</f>
        <v/>
      </c>
    </row>
    <row r="4557">
      <c r="K4557">
        <f>IF($A4557="","",SUM($E4557:$J4557))</f>
        <v/>
      </c>
      <c r="M4557">
        <f>IF($A4557="","",MAX(0,ROUNDUP(DASHBOARD!$F$3-$D4557,0)))</f>
        <v/>
      </c>
      <c r="N4557">
        <f>IF($A4557="","",$K4557+(5002-ROW())/10000)</f>
        <v/>
      </c>
    </row>
    <row r="4558">
      <c r="K4558">
        <f>IF($A4558="","",SUM($E4558:$J4558))</f>
        <v/>
      </c>
      <c r="M4558">
        <f>IF($A4558="","",MAX(0,ROUNDUP(DASHBOARD!$F$3-$D4558,0)))</f>
        <v/>
      </c>
      <c r="N4558">
        <f>IF($A4558="","",$K4558+(5002-ROW())/10000)</f>
        <v/>
      </c>
    </row>
    <row r="4559">
      <c r="K4559">
        <f>IF($A4559="","",SUM($E4559:$J4559))</f>
        <v/>
      </c>
      <c r="M4559">
        <f>IF($A4559="","",MAX(0,ROUNDUP(DASHBOARD!$F$3-$D4559,0)))</f>
        <v/>
      </c>
      <c r="N4559">
        <f>IF($A4559="","",$K4559+(5002-ROW())/10000)</f>
        <v/>
      </c>
    </row>
    <row r="4560">
      <c r="K4560">
        <f>IF($A4560="","",SUM($E4560:$J4560))</f>
        <v/>
      </c>
      <c r="M4560">
        <f>IF($A4560="","",MAX(0,ROUNDUP(DASHBOARD!$F$3-$D4560,0)))</f>
        <v/>
      </c>
      <c r="N4560">
        <f>IF($A4560="","",$K4560+(5002-ROW())/10000)</f>
        <v/>
      </c>
    </row>
    <row r="4561">
      <c r="K4561">
        <f>IF($A4561="","",SUM($E4561:$J4561))</f>
        <v/>
      </c>
      <c r="M4561">
        <f>IF($A4561="","",MAX(0,ROUNDUP(DASHBOARD!$F$3-$D4561,0)))</f>
        <v/>
      </c>
      <c r="N4561">
        <f>IF($A4561="","",$K4561+(5002-ROW())/10000)</f>
        <v/>
      </c>
    </row>
    <row r="4562">
      <c r="K4562">
        <f>IF($A4562="","",SUM($E4562:$J4562))</f>
        <v/>
      </c>
      <c r="M4562">
        <f>IF($A4562="","",MAX(0,ROUNDUP(DASHBOARD!$F$3-$D4562,0)))</f>
        <v/>
      </c>
      <c r="N4562">
        <f>IF($A4562="","",$K4562+(5002-ROW())/10000)</f>
        <v/>
      </c>
    </row>
    <row r="4563">
      <c r="K4563">
        <f>IF($A4563="","",SUM($E4563:$J4563))</f>
        <v/>
      </c>
      <c r="M4563">
        <f>IF($A4563="","",MAX(0,ROUNDUP(DASHBOARD!$F$3-$D4563,0)))</f>
        <v/>
      </c>
      <c r="N4563">
        <f>IF($A4563="","",$K4563+(5002-ROW())/10000)</f>
        <v/>
      </c>
    </row>
    <row r="4564">
      <c r="K4564">
        <f>IF($A4564="","",SUM($E4564:$J4564))</f>
        <v/>
      </c>
      <c r="M4564">
        <f>IF($A4564="","",MAX(0,ROUNDUP(DASHBOARD!$F$3-$D4564,0)))</f>
        <v/>
      </c>
      <c r="N4564">
        <f>IF($A4564="","",$K4564+(5002-ROW())/10000)</f>
        <v/>
      </c>
    </row>
    <row r="4565">
      <c r="K4565">
        <f>IF($A4565="","",SUM($E4565:$J4565))</f>
        <v/>
      </c>
      <c r="M4565">
        <f>IF($A4565="","",MAX(0,ROUNDUP(DASHBOARD!$F$3-$D4565,0)))</f>
        <v/>
      </c>
      <c r="N4565">
        <f>IF($A4565="","",$K4565+(5002-ROW())/10000)</f>
        <v/>
      </c>
    </row>
    <row r="4566">
      <c r="K4566">
        <f>IF($A4566="","",SUM($E4566:$J4566))</f>
        <v/>
      </c>
      <c r="M4566">
        <f>IF($A4566="","",MAX(0,ROUNDUP(DASHBOARD!$F$3-$D4566,0)))</f>
        <v/>
      </c>
      <c r="N4566">
        <f>IF($A4566="","",$K4566+(5002-ROW())/10000)</f>
        <v/>
      </c>
    </row>
    <row r="4567">
      <c r="K4567">
        <f>IF($A4567="","",SUM($E4567:$J4567))</f>
        <v/>
      </c>
      <c r="M4567">
        <f>IF($A4567="","",MAX(0,ROUNDUP(DASHBOARD!$F$3-$D4567,0)))</f>
        <v/>
      </c>
      <c r="N4567">
        <f>IF($A4567="","",$K4567+(5002-ROW())/10000)</f>
        <v/>
      </c>
    </row>
    <row r="4568">
      <c r="K4568">
        <f>IF($A4568="","",SUM($E4568:$J4568))</f>
        <v/>
      </c>
      <c r="M4568">
        <f>IF($A4568="","",MAX(0,ROUNDUP(DASHBOARD!$F$3-$D4568,0)))</f>
        <v/>
      </c>
      <c r="N4568">
        <f>IF($A4568="","",$K4568+(5002-ROW())/10000)</f>
        <v/>
      </c>
    </row>
    <row r="4569">
      <c r="K4569">
        <f>IF($A4569="","",SUM($E4569:$J4569))</f>
        <v/>
      </c>
      <c r="M4569">
        <f>IF($A4569="","",MAX(0,ROUNDUP(DASHBOARD!$F$3-$D4569,0)))</f>
        <v/>
      </c>
      <c r="N4569">
        <f>IF($A4569="","",$K4569+(5002-ROW())/10000)</f>
        <v/>
      </c>
    </row>
    <row r="4570">
      <c r="K4570">
        <f>IF($A4570="","",SUM($E4570:$J4570))</f>
        <v/>
      </c>
      <c r="M4570">
        <f>IF($A4570="","",MAX(0,ROUNDUP(DASHBOARD!$F$3-$D4570,0)))</f>
        <v/>
      </c>
      <c r="N4570">
        <f>IF($A4570="","",$K4570+(5002-ROW())/10000)</f>
        <v/>
      </c>
    </row>
    <row r="4571">
      <c r="K4571">
        <f>IF($A4571="","",SUM($E4571:$J4571))</f>
        <v/>
      </c>
      <c r="M4571">
        <f>IF($A4571="","",MAX(0,ROUNDUP(DASHBOARD!$F$3-$D4571,0)))</f>
        <v/>
      </c>
      <c r="N4571">
        <f>IF($A4571="","",$K4571+(5002-ROW())/10000)</f>
        <v/>
      </c>
    </row>
    <row r="4572">
      <c r="K4572">
        <f>IF($A4572="","",SUM($E4572:$J4572))</f>
        <v/>
      </c>
      <c r="M4572">
        <f>IF($A4572="","",MAX(0,ROUNDUP(DASHBOARD!$F$3-$D4572,0)))</f>
        <v/>
      </c>
      <c r="N4572">
        <f>IF($A4572="","",$K4572+(5002-ROW())/10000)</f>
        <v/>
      </c>
    </row>
    <row r="4573">
      <c r="K4573">
        <f>IF($A4573="","",SUM($E4573:$J4573))</f>
        <v/>
      </c>
      <c r="M4573">
        <f>IF($A4573="","",MAX(0,ROUNDUP(DASHBOARD!$F$3-$D4573,0)))</f>
        <v/>
      </c>
      <c r="N4573">
        <f>IF($A4573="","",$K4573+(5002-ROW())/10000)</f>
        <v/>
      </c>
    </row>
    <row r="4574">
      <c r="K4574">
        <f>IF($A4574="","",SUM($E4574:$J4574))</f>
        <v/>
      </c>
      <c r="M4574">
        <f>IF($A4574="","",MAX(0,ROUNDUP(DASHBOARD!$F$3-$D4574,0)))</f>
        <v/>
      </c>
      <c r="N4574">
        <f>IF($A4574="","",$K4574+(5002-ROW())/10000)</f>
        <v/>
      </c>
    </row>
    <row r="4575">
      <c r="K4575">
        <f>IF($A4575="","",SUM($E4575:$J4575))</f>
        <v/>
      </c>
      <c r="M4575">
        <f>IF($A4575="","",MAX(0,ROUNDUP(DASHBOARD!$F$3-$D4575,0)))</f>
        <v/>
      </c>
      <c r="N4575">
        <f>IF($A4575="","",$K4575+(5002-ROW())/10000)</f>
        <v/>
      </c>
    </row>
    <row r="4576">
      <c r="K4576">
        <f>IF($A4576="","",SUM($E4576:$J4576))</f>
        <v/>
      </c>
      <c r="M4576">
        <f>IF($A4576="","",MAX(0,ROUNDUP(DASHBOARD!$F$3-$D4576,0)))</f>
        <v/>
      </c>
      <c r="N4576">
        <f>IF($A4576="","",$K4576+(5002-ROW())/10000)</f>
        <v/>
      </c>
    </row>
    <row r="4577">
      <c r="K4577">
        <f>IF($A4577="","",SUM($E4577:$J4577))</f>
        <v/>
      </c>
      <c r="M4577">
        <f>IF($A4577="","",MAX(0,ROUNDUP(DASHBOARD!$F$3-$D4577,0)))</f>
        <v/>
      </c>
      <c r="N4577">
        <f>IF($A4577="","",$K4577+(5002-ROW())/10000)</f>
        <v/>
      </c>
    </row>
    <row r="4578">
      <c r="K4578">
        <f>IF($A4578="","",SUM($E4578:$J4578))</f>
        <v/>
      </c>
      <c r="M4578">
        <f>IF($A4578="","",MAX(0,ROUNDUP(DASHBOARD!$F$3-$D4578,0)))</f>
        <v/>
      </c>
      <c r="N4578">
        <f>IF($A4578="","",$K4578+(5002-ROW())/10000)</f>
        <v/>
      </c>
    </row>
    <row r="4579">
      <c r="K4579">
        <f>IF($A4579="","",SUM($E4579:$J4579))</f>
        <v/>
      </c>
      <c r="M4579">
        <f>IF($A4579="","",MAX(0,ROUNDUP(DASHBOARD!$F$3-$D4579,0)))</f>
        <v/>
      </c>
      <c r="N4579">
        <f>IF($A4579="","",$K4579+(5002-ROW())/10000)</f>
        <v/>
      </c>
    </row>
    <row r="4580">
      <c r="K4580">
        <f>IF($A4580="","",SUM($E4580:$J4580))</f>
        <v/>
      </c>
      <c r="M4580">
        <f>IF($A4580="","",MAX(0,ROUNDUP(DASHBOARD!$F$3-$D4580,0)))</f>
        <v/>
      </c>
      <c r="N4580">
        <f>IF($A4580="","",$K4580+(5002-ROW())/10000)</f>
        <v/>
      </c>
    </row>
    <row r="4581">
      <c r="K4581">
        <f>IF($A4581="","",SUM($E4581:$J4581))</f>
        <v/>
      </c>
      <c r="M4581">
        <f>IF($A4581="","",MAX(0,ROUNDUP(DASHBOARD!$F$3-$D4581,0)))</f>
        <v/>
      </c>
      <c r="N4581">
        <f>IF($A4581="","",$K4581+(5002-ROW())/10000)</f>
        <v/>
      </c>
    </row>
    <row r="4582">
      <c r="K4582">
        <f>IF($A4582="","",SUM($E4582:$J4582))</f>
        <v/>
      </c>
      <c r="M4582">
        <f>IF($A4582="","",MAX(0,ROUNDUP(DASHBOARD!$F$3-$D4582,0)))</f>
        <v/>
      </c>
      <c r="N4582">
        <f>IF($A4582="","",$K4582+(5002-ROW())/10000)</f>
        <v/>
      </c>
    </row>
    <row r="4583">
      <c r="K4583">
        <f>IF($A4583="","",SUM($E4583:$J4583))</f>
        <v/>
      </c>
      <c r="M4583">
        <f>IF($A4583="","",MAX(0,ROUNDUP(DASHBOARD!$F$3-$D4583,0)))</f>
        <v/>
      </c>
      <c r="N4583">
        <f>IF($A4583="","",$K4583+(5002-ROW())/10000)</f>
        <v/>
      </c>
    </row>
    <row r="4584">
      <c r="K4584">
        <f>IF($A4584="","",SUM($E4584:$J4584))</f>
        <v/>
      </c>
      <c r="M4584">
        <f>IF($A4584="","",MAX(0,ROUNDUP(DASHBOARD!$F$3-$D4584,0)))</f>
        <v/>
      </c>
      <c r="N4584">
        <f>IF($A4584="","",$K4584+(5002-ROW())/10000)</f>
        <v/>
      </c>
    </row>
    <row r="4585">
      <c r="K4585">
        <f>IF($A4585="","",SUM($E4585:$J4585))</f>
        <v/>
      </c>
      <c r="M4585">
        <f>IF($A4585="","",MAX(0,ROUNDUP(DASHBOARD!$F$3-$D4585,0)))</f>
        <v/>
      </c>
      <c r="N4585">
        <f>IF($A4585="","",$K4585+(5002-ROW())/10000)</f>
        <v/>
      </c>
    </row>
    <row r="4586">
      <c r="K4586">
        <f>IF($A4586="","",SUM($E4586:$J4586))</f>
        <v/>
      </c>
      <c r="M4586">
        <f>IF($A4586="","",MAX(0,ROUNDUP(DASHBOARD!$F$3-$D4586,0)))</f>
        <v/>
      </c>
      <c r="N4586">
        <f>IF($A4586="","",$K4586+(5002-ROW())/10000)</f>
        <v/>
      </c>
    </row>
    <row r="4587">
      <c r="K4587">
        <f>IF($A4587="","",SUM($E4587:$J4587))</f>
        <v/>
      </c>
      <c r="M4587">
        <f>IF($A4587="","",MAX(0,ROUNDUP(DASHBOARD!$F$3-$D4587,0)))</f>
        <v/>
      </c>
      <c r="N4587">
        <f>IF($A4587="","",$K4587+(5002-ROW())/10000)</f>
        <v/>
      </c>
    </row>
    <row r="4588">
      <c r="K4588">
        <f>IF($A4588="","",SUM($E4588:$J4588))</f>
        <v/>
      </c>
      <c r="M4588">
        <f>IF($A4588="","",MAX(0,ROUNDUP(DASHBOARD!$F$3-$D4588,0)))</f>
        <v/>
      </c>
      <c r="N4588">
        <f>IF($A4588="","",$K4588+(5002-ROW())/10000)</f>
        <v/>
      </c>
    </row>
    <row r="4589">
      <c r="K4589">
        <f>IF($A4589="","",SUM($E4589:$J4589))</f>
        <v/>
      </c>
      <c r="M4589">
        <f>IF($A4589="","",MAX(0,ROUNDUP(DASHBOARD!$F$3-$D4589,0)))</f>
        <v/>
      </c>
      <c r="N4589">
        <f>IF($A4589="","",$K4589+(5002-ROW())/10000)</f>
        <v/>
      </c>
    </row>
    <row r="4590">
      <c r="K4590">
        <f>IF($A4590="","",SUM($E4590:$J4590))</f>
        <v/>
      </c>
      <c r="M4590">
        <f>IF($A4590="","",MAX(0,ROUNDUP(DASHBOARD!$F$3-$D4590,0)))</f>
        <v/>
      </c>
      <c r="N4590">
        <f>IF($A4590="","",$K4590+(5002-ROW())/10000)</f>
        <v/>
      </c>
    </row>
    <row r="4591">
      <c r="K4591">
        <f>IF($A4591="","",SUM($E4591:$J4591))</f>
        <v/>
      </c>
      <c r="M4591">
        <f>IF($A4591="","",MAX(0,ROUNDUP(DASHBOARD!$F$3-$D4591,0)))</f>
        <v/>
      </c>
      <c r="N4591">
        <f>IF($A4591="","",$K4591+(5002-ROW())/10000)</f>
        <v/>
      </c>
    </row>
    <row r="4592">
      <c r="K4592">
        <f>IF($A4592="","",SUM($E4592:$J4592))</f>
        <v/>
      </c>
      <c r="M4592">
        <f>IF($A4592="","",MAX(0,ROUNDUP(DASHBOARD!$F$3-$D4592,0)))</f>
        <v/>
      </c>
      <c r="N4592">
        <f>IF($A4592="","",$K4592+(5002-ROW())/10000)</f>
        <v/>
      </c>
    </row>
    <row r="4593">
      <c r="K4593">
        <f>IF($A4593="","",SUM($E4593:$J4593))</f>
        <v/>
      </c>
      <c r="M4593">
        <f>IF($A4593="","",MAX(0,ROUNDUP(DASHBOARD!$F$3-$D4593,0)))</f>
        <v/>
      </c>
      <c r="N4593">
        <f>IF($A4593="","",$K4593+(5002-ROW())/10000)</f>
        <v/>
      </c>
    </row>
    <row r="4594">
      <c r="K4594">
        <f>IF($A4594="","",SUM($E4594:$J4594))</f>
        <v/>
      </c>
      <c r="M4594">
        <f>IF($A4594="","",MAX(0,ROUNDUP(DASHBOARD!$F$3-$D4594,0)))</f>
        <v/>
      </c>
      <c r="N4594">
        <f>IF($A4594="","",$K4594+(5002-ROW())/10000)</f>
        <v/>
      </c>
    </row>
    <row r="4595">
      <c r="K4595">
        <f>IF($A4595="","",SUM($E4595:$J4595))</f>
        <v/>
      </c>
      <c r="M4595">
        <f>IF($A4595="","",MAX(0,ROUNDUP(DASHBOARD!$F$3-$D4595,0)))</f>
        <v/>
      </c>
      <c r="N4595">
        <f>IF($A4595="","",$K4595+(5002-ROW())/10000)</f>
        <v/>
      </c>
    </row>
    <row r="4596">
      <c r="K4596">
        <f>IF($A4596="","",SUM($E4596:$J4596))</f>
        <v/>
      </c>
      <c r="M4596">
        <f>IF($A4596="","",MAX(0,ROUNDUP(DASHBOARD!$F$3-$D4596,0)))</f>
        <v/>
      </c>
      <c r="N4596">
        <f>IF($A4596="","",$K4596+(5002-ROW())/10000)</f>
        <v/>
      </c>
    </row>
    <row r="4597">
      <c r="K4597">
        <f>IF($A4597="","",SUM($E4597:$J4597))</f>
        <v/>
      </c>
      <c r="M4597">
        <f>IF($A4597="","",MAX(0,ROUNDUP(DASHBOARD!$F$3-$D4597,0)))</f>
        <v/>
      </c>
      <c r="N4597">
        <f>IF($A4597="","",$K4597+(5002-ROW())/10000)</f>
        <v/>
      </c>
    </row>
    <row r="4598">
      <c r="K4598">
        <f>IF($A4598="","",SUM($E4598:$J4598))</f>
        <v/>
      </c>
      <c r="M4598">
        <f>IF($A4598="","",MAX(0,ROUNDUP(DASHBOARD!$F$3-$D4598,0)))</f>
        <v/>
      </c>
      <c r="N4598">
        <f>IF($A4598="","",$K4598+(5002-ROW())/10000)</f>
        <v/>
      </c>
    </row>
    <row r="4599">
      <c r="K4599">
        <f>IF($A4599="","",SUM($E4599:$J4599))</f>
        <v/>
      </c>
      <c r="M4599">
        <f>IF($A4599="","",MAX(0,ROUNDUP(DASHBOARD!$F$3-$D4599,0)))</f>
        <v/>
      </c>
      <c r="N4599">
        <f>IF($A4599="","",$K4599+(5002-ROW())/10000)</f>
        <v/>
      </c>
    </row>
    <row r="4600">
      <c r="K4600">
        <f>IF($A4600="","",SUM($E4600:$J4600))</f>
        <v/>
      </c>
      <c r="M4600">
        <f>IF($A4600="","",MAX(0,ROUNDUP(DASHBOARD!$F$3-$D4600,0)))</f>
        <v/>
      </c>
      <c r="N4600">
        <f>IF($A4600="","",$K4600+(5002-ROW())/10000)</f>
        <v/>
      </c>
    </row>
    <row r="4601">
      <c r="K4601">
        <f>IF($A4601="","",SUM($E4601:$J4601))</f>
        <v/>
      </c>
      <c r="M4601">
        <f>IF($A4601="","",MAX(0,ROUNDUP(DASHBOARD!$F$3-$D4601,0)))</f>
        <v/>
      </c>
      <c r="N4601">
        <f>IF($A4601="","",$K4601+(5002-ROW())/10000)</f>
        <v/>
      </c>
    </row>
    <row r="4602">
      <c r="K4602">
        <f>IF($A4602="","",SUM($E4602:$J4602))</f>
        <v/>
      </c>
      <c r="M4602">
        <f>IF($A4602="","",MAX(0,ROUNDUP(DASHBOARD!$F$3-$D4602,0)))</f>
        <v/>
      </c>
      <c r="N4602">
        <f>IF($A4602="","",$K4602+(5002-ROW())/10000)</f>
        <v/>
      </c>
    </row>
    <row r="4603">
      <c r="K4603">
        <f>IF($A4603="","",SUM($E4603:$J4603))</f>
        <v/>
      </c>
      <c r="M4603">
        <f>IF($A4603="","",MAX(0,ROUNDUP(DASHBOARD!$F$3-$D4603,0)))</f>
        <v/>
      </c>
      <c r="N4603">
        <f>IF($A4603="","",$K4603+(5002-ROW())/10000)</f>
        <v/>
      </c>
    </row>
    <row r="4604">
      <c r="K4604">
        <f>IF($A4604="","",SUM($E4604:$J4604))</f>
        <v/>
      </c>
      <c r="M4604">
        <f>IF($A4604="","",MAX(0,ROUNDUP(DASHBOARD!$F$3-$D4604,0)))</f>
        <v/>
      </c>
      <c r="N4604">
        <f>IF($A4604="","",$K4604+(5002-ROW())/10000)</f>
        <v/>
      </c>
    </row>
    <row r="4605">
      <c r="K4605">
        <f>IF($A4605="","",SUM($E4605:$J4605))</f>
        <v/>
      </c>
      <c r="M4605">
        <f>IF($A4605="","",MAX(0,ROUNDUP(DASHBOARD!$F$3-$D4605,0)))</f>
        <v/>
      </c>
      <c r="N4605">
        <f>IF($A4605="","",$K4605+(5002-ROW())/10000)</f>
        <v/>
      </c>
    </row>
    <row r="4606">
      <c r="K4606">
        <f>IF($A4606="","",SUM($E4606:$J4606))</f>
        <v/>
      </c>
      <c r="M4606">
        <f>IF($A4606="","",MAX(0,ROUNDUP(DASHBOARD!$F$3-$D4606,0)))</f>
        <v/>
      </c>
      <c r="N4606">
        <f>IF($A4606="","",$K4606+(5002-ROW())/10000)</f>
        <v/>
      </c>
    </row>
    <row r="4607">
      <c r="K4607">
        <f>IF($A4607="","",SUM($E4607:$J4607))</f>
        <v/>
      </c>
      <c r="M4607">
        <f>IF($A4607="","",MAX(0,ROUNDUP(DASHBOARD!$F$3-$D4607,0)))</f>
        <v/>
      </c>
      <c r="N4607">
        <f>IF($A4607="","",$K4607+(5002-ROW())/10000)</f>
        <v/>
      </c>
    </row>
    <row r="4608">
      <c r="K4608">
        <f>IF($A4608="","",SUM($E4608:$J4608))</f>
        <v/>
      </c>
      <c r="M4608">
        <f>IF($A4608="","",MAX(0,ROUNDUP(DASHBOARD!$F$3-$D4608,0)))</f>
        <v/>
      </c>
      <c r="N4608">
        <f>IF($A4608="","",$K4608+(5002-ROW())/10000)</f>
        <v/>
      </c>
    </row>
    <row r="4609">
      <c r="K4609">
        <f>IF($A4609="","",SUM($E4609:$J4609))</f>
        <v/>
      </c>
      <c r="M4609">
        <f>IF($A4609="","",MAX(0,ROUNDUP(DASHBOARD!$F$3-$D4609,0)))</f>
        <v/>
      </c>
      <c r="N4609">
        <f>IF($A4609="","",$K4609+(5002-ROW())/10000)</f>
        <v/>
      </c>
    </row>
    <row r="4610">
      <c r="K4610">
        <f>IF($A4610="","",SUM($E4610:$J4610))</f>
        <v/>
      </c>
      <c r="M4610">
        <f>IF($A4610="","",MAX(0,ROUNDUP(DASHBOARD!$F$3-$D4610,0)))</f>
        <v/>
      </c>
      <c r="N4610">
        <f>IF($A4610="","",$K4610+(5002-ROW())/10000)</f>
        <v/>
      </c>
    </row>
    <row r="4611">
      <c r="K4611">
        <f>IF($A4611="","",SUM($E4611:$J4611))</f>
        <v/>
      </c>
      <c r="M4611">
        <f>IF($A4611="","",MAX(0,ROUNDUP(DASHBOARD!$F$3-$D4611,0)))</f>
        <v/>
      </c>
      <c r="N4611">
        <f>IF($A4611="","",$K4611+(5002-ROW())/10000)</f>
        <v/>
      </c>
    </row>
    <row r="4612">
      <c r="K4612">
        <f>IF($A4612="","",SUM($E4612:$J4612))</f>
        <v/>
      </c>
      <c r="M4612">
        <f>IF($A4612="","",MAX(0,ROUNDUP(DASHBOARD!$F$3-$D4612,0)))</f>
        <v/>
      </c>
      <c r="N4612">
        <f>IF($A4612="","",$K4612+(5002-ROW())/10000)</f>
        <v/>
      </c>
    </row>
    <row r="4613">
      <c r="K4613">
        <f>IF($A4613="","",SUM($E4613:$J4613))</f>
        <v/>
      </c>
      <c r="M4613">
        <f>IF($A4613="","",MAX(0,ROUNDUP(DASHBOARD!$F$3-$D4613,0)))</f>
        <v/>
      </c>
      <c r="N4613">
        <f>IF($A4613="","",$K4613+(5002-ROW())/10000)</f>
        <v/>
      </c>
    </row>
    <row r="4614">
      <c r="K4614">
        <f>IF($A4614="","",SUM($E4614:$J4614))</f>
        <v/>
      </c>
      <c r="M4614">
        <f>IF($A4614="","",MAX(0,ROUNDUP(DASHBOARD!$F$3-$D4614,0)))</f>
        <v/>
      </c>
      <c r="N4614">
        <f>IF($A4614="","",$K4614+(5002-ROW())/10000)</f>
        <v/>
      </c>
    </row>
    <row r="4615">
      <c r="K4615">
        <f>IF($A4615="","",SUM($E4615:$J4615))</f>
        <v/>
      </c>
      <c r="M4615">
        <f>IF($A4615="","",MAX(0,ROUNDUP(DASHBOARD!$F$3-$D4615,0)))</f>
        <v/>
      </c>
      <c r="N4615">
        <f>IF($A4615="","",$K4615+(5002-ROW())/10000)</f>
        <v/>
      </c>
    </row>
    <row r="4616">
      <c r="K4616">
        <f>IF($A4616="","",SUM($E4616:$J4616))</f>
        <v/>
      </c>
      <c r="M4616">
        <f>IF($A4616="","",MAX(0,ROUNDUP(DASHBOARD!$F$3-$D4616,0)))</f>
        <v/>
      </c>
      <c r="N4616">
        <f>IF($A4616="","",$K4616+(5002-ROW())/10000)</f>
        <v/>
      </c>
    </row>
    <row r="4617">
      <c r="K4617">
        <f>IF($A4617="","",SUM($E4617:$J4617))</f>
        <v/>
      </c>
      <c r="M4617">
        <f>IF($A4617="","",MAX(0,ROUNDUP(DASHBOARD!$F$3-$D4617,0)))</f>
        <v/>
      </c>
      <c r="N4617">
        <f>IF($A4617="","",$K4617+(5002-ROW())/10000)</f>
        <v/>
      </c>
    </row>
    <row r="4618">
      <c r="K4618">
        <f>IF($A4618="","",SUM($E4618:$J4618))</f>
        <v/>
      </c>
      <c r="M4618">
        <f>IF($A4618="","",MAX(0,ROUNDUP(DASHBOARD!$F$3-$D4618,0)))</f>
        <v/>
      </c>
      <c r="N4618">
        <f>IF($A4618="","",$K4618+(5002-ROW())/10000)</f>
        <v/>
      </c>
    </row>
    <row r="4619">
      <c r="K4619">
        <f>IF($A4619="","",SUM($E4619:$J4619))</f>
        <v/>
      </c>
      <c r="M4619">
        <f>IF($A4619="","",MAX(0,ROUNDUP(DASHBOARD!$F$3-$D4619,0)))</f>
        <v/>
      </c>
      <c r="N4619">
        <f>IF($A4619="","",$K4619+(5002-ROW())/10000)</f>
        <v/>
      </c>
    </row>
    <row r="4620">
      <c r="K4620">
        <f>IF($A4620="","",SUM($E4620:$J4620))</f>
        <v/>
      </c>
      <c r="M4620">
        <f>IF($A4620="","",MAX(0,ROUNDUP(DASHBOARD!$F$3-$D4620,0)))</f>
        <v/>
      </c>
      <c r="N4620">
        <f>IF($A4620="","",$K4620+(5002-ROW())/10000)</f>
        <v/>
      </c>
    </row>
    <row r="4621">
      <c r="K4621">
        <f>IF($A4621="","",SUM($E4621:$J4621))</f>
        <v/>
      </c>
      <c r="M4621">
        <f>IF($A4621="","",MAX(0,ROUNDUP(DASHBOARD!$F$3-$D4621,0)))</f>
        <v/>
      </c>
      <c r="N4621">
        <f>IF($A4621="","",$K4621+(5002-ROW())/10000)</f>
        <v/>
      </c>
    </row>
    <row r="4622">
      <c r="K4622">
        <f>IF($A4622="","",SUM($E4622:$J4622))</f>
        <v/>
      </c>
      <c r="M4622">
        <f>IF($A4622="","",MAX(0,ROUNDUP(DASHBOARD!$F$3-$D4622,0)))</f>
        <v/>
      </c>
      <c r="N4622">
        <f>IF($A4622="","",$K4622+(5002-ROW())/10000)</f>
        <v/>
      </c>
    </row>
    <row r="4623">
      <c r="K4623">
        <f>IF($A4623="","",SUM($E4623:$J4623))</f>
        <v/>
      </c>
      <c r="M4623">
        <f>IF($A4623="","",MAX(0,ROUNDUP(DASHBOARD!$F$3-$D4623,0)))</f>
        <v/>
      </c>
      <c r="N4623">
        <f>IF($A4623="","",$K4623+(5002-ROW())/10000)</f>
        <v/>
      </c>
    </row>
    <row r="4624">
      <c r="K4624">
        <f>IF($A4624="","",SUM($E4624:$J4624))</f>
        <v/>
      </c>
      <c r="M4624">
        <f>IF($A4624="","",MAX(0,ROUNDUP(DASHBOARD!$F$3-$D4624,0)))</f>
        <v/>
      </c>
      <c r="N4624">
        <f>IF($A4624="","",$K4624+(5002-ROW())/10000)</f>
        <v/>
      </c>
    </row>
    <row r="4625">
      <c r="K4625">
        <f>IF($A4625="","",SUM($E4625:$J4625))</f>
        <v/>
      </c>
      <c r="M4625">
        <f>IF($A4625="","",MAX(0,ROUNDUP(DASHBOARD!$F$3-$D4625,0)))</f>
        <v/>
      </c>
      <c r="N4625">
        <f>IF($A4625="","",$K4625+(5002-ROW())/10000)</f>
        <v/>
      </c>
    </row>
    <row r="4626">
      <c r="K4626">
        <f>IF($A4626="","",SUM($E4626:$J4626))</f>
        <v/>
      </c>
      <c r="M4626">
        <f>IF($A4626="","",MAX(0,ROUNDUP(DASHBOARD!$F$3-$D4626,0)))</f>
        <v/>
      </c>
      <c r="N4626">
        <f>IF($A4626="","",$K4626+(5002-ROW())/10000)</f>
        <v/>
      </c>
    </row>
    <row r="4627">
      <c r="K4627">
        <f>IF($A4627="","",SUM($E4627:$J4627))</f>
        <v/>
      </c>
      <c r="M4627">
        <f>IF($A4627="","",MAX(0,ROUNDUP(DASHBOARD!$F$3-$D4627,0)))</f>
        <v/>
      </c>
      <c r="N4627">
        <f>IF($A4627="","",$K4627+(5002-ROW())/10000)</f>
        <v/>
      </c>
    </row>
    <row r="4628">
      <c r="K4628">
        <f>IF($A4628="","",SUM($E4628:$J4628))</f>
        <v/>
      </c>
      <c r="M4628">
        <f>IF($A4628="","",MAX(0,ROUNDUP(DASHBOARD!$F$3-$D4628,0)))</f>
        <v/>
      </c>
      <c r="N4628">
        <f>IF($A4628="","",$K4628+(5002-ROW())/10000)</f>
        <v/>
      </c>
    </row>
    <row r="4629">
      <c r="K4629">
        <f>IF($A4629="","",SUM($E4629:$J4629))</f>
        <v/>
      </c>
      <c r="M4629">
        <f>IF($A4629="","",MAX(0,ROUNDUP(DASHBOARD!$F$3-$D4629,0)))</f>
        <v/>
      </c>
      <c r="N4629">
        <f>IF($A4629="","",$K4629+(5002-ROW())/10000)</f>
        <v/>
      </c>
    </row>
    <row r="4630">
      <c r="K4630">
        <f>IF($A4630="","",SUM($E4630:$J4630))</f>
        <v/>
      </c>
      <c r="M4630">
        <f>IF($A4630="","",MAX(0,ROUNDUP(DASHBOARD!$F$3-$D4630,0)))</f>
        <v/>
      </c>
      <c r="N4630">
        <f>IF($A4630="","",$K4630+(5002-ROW())/10000)</f>
        <v/>
      </c>
    </row>
    <row r="4631">
      <c r="K4631">
        <f>IF($A4631="","",SUM($E4631:$J4631))</f>
        <v/>
      </c>
      <c r="M4631">
        <f>IF($A4631="","",MAX(0,ROUNDUP(DASHBOARD!$F$3-$D4631,0)))</f>
        <v/>
      </c>
      <c r="N4631">
        <f>IF($A4631="","",$K4631+(5002-ROW())/10000)</f>
        <v/>
      </c>
    </row>
    <row r="4632">
      <c r="K4632">
        <f>IF($A4632="","",SUM($E4632:$J4632))</f>
        <v/>
      </c>
      <c r="M4632">
        <f>IF($A4632="","",MAX(0,ROUNDUP(DASHBOARD!$F$3-$D4632,0)))</f>
        <v/>
      </c>
      <c r="N4632">
        <f>IF($A4632="","",$K4632+(5002-ROW())/10000)</f>
        <v/>
      </c>
    </row>
    <row r="4633">
      <c r="K4633">
        <f>IF($A4633="","",SUM($E4633:$J4633))</f>
        <v/>
      </c>
      <c r="M4633">
        <f>IF($A4633="","",MAX(0,ROUNDUP(DASHBOARD!$F$3-$D4633,0)))</f>
        <v/>
      </c>
      <c r="N4633">
        <f>IF($A4633="","",$K4633+(5002-ROW())/10000)</f>
        <v/>
      </c>
    </row>
    <row r="4634">
      <c r="K4634">
        <f>IF($A4634="","",SUM($E4634:$J4634))</f>
        <v/>
      </c>
      <c r="M4634">
        <f>IF($A4634="","",MAX(0,ROUNDUP(DASHBOARD!$F$3-$D4634,0)))</f>
        <v/>
      </c>
      <c r="N4634">
        <f>IF($A4634="","",$K4634+(5002-ROW())/10000)</f>
        <v/>
      </c>
    </row>
    <row r="4635">
      <c r="K4635">
        <f>IF($A4635="","",SUM($E4635:$J4635))</f>
        <v/>
      </c>
      <c r="M4635">
        <f>IF($A4635="","",MAX(0,ROUNDUP(DASHBOARD!$F$3-$D4635,0)))</f>
        <v/>
      </c>
      <c r="N4635">
        <f>IF($A4635="","",$K4635+(5002-ROW())/10000)</f>
        <v/>
      </c>
    </row>
    <row r="4636">
      <c r="K4636">
        <f>IF($A4636="","",SUM($E4636:$J4636))</f>
        <v/>
      </c>
      <c r="M4636">
        <f>IF($A4636="","",MAX(0,ROUNDUP(DASHBOARD!$F$3-$D4636,0)))</f>
        <v/>
      </c>
      <c r="N4636">
        <f>IF($A4636="","",$K4636+(5002-ROW())/10000)</f>
        <v/>
      </c>
    </row>
    <row r="4637">
      <c r="K4637">
        <f>IF($A4637="","",SUM($E4637:$J4637))</f>
        <v/>
      </c>
      <c r="M4637">
        <f>IF($A4637="","",MAX(0,ROUNDUP(DASHBOARD!$F$3-$D4637,0)))</f>
        <v/>
      </c>
      <c r="N4637">
        <f>IF($A4637="","",$K4637+(5002-ROW())/10000)</f>
        <v/>
      </c>
    </row>
    <row r="4638">
      <c r="K4638">
        <f>IF($A4638="","",SUM($E4638:$J4638))</f>
        <v/>
      </c>
      <c r="M4638">
        <f>IF($A4638="","",MAX(0,ROUNDUP(DASHBOARD!$F$3-$D4638,0)))</f>
        <v/>
      </c>
      <c r="N4638">
        <f>IF($A4638="","",$K4638+(5002-ROW())/10000)</f>
        <v/>
      </c>
    </row>
    <row r="4639">
      <c r="K4639">
        <f>IF($A4639="","",SUM($E4639:$J4639))</f>
        <v/>
      </c>
      <c r="M4639">
        <f>IF($A4639="","",MAX(0,ROUNDUP(DASHBOARD!$F$3-$D4639,0)))</f>
        <v/>
      </c>
      <c r="N4639">
        <f>IF($A4639="","",$K4639+(5002-ROW())/10000)</f>
        <v/>
      </c>
    </row>
    <row r="4640">
      <c r="K4640">
        <f>IF($A4640="","",SUM($E4640:$J4640))</f>
        <v/>
      </c>
      <c r="M4640">
        <f>IF($A4640="","",MAX(0,ROUNDUP(DASHBOARD!$F$3-$D4640,0)))</f>
        <v/>
      </c>
      <c r="N4640">
        <f>IF($A4640="","",$K4640+(5002-ROW())/10000)</f>
        <v/>
      </c>
    </row>
    <row r="4641">
      <c r="K4641">
        <f>IF($A4641="","",SUM($E4641:$J4641))</f>
        <v/>
      </c>
      <c r="M4641">
        <f>IF($A4641="","",MAX(0,ROUNDUP(DASHBOARD!$F$3-$D4641,0)))</f>
        <v/>
      </c>
      <c r="N4641">
        <f>IF($A4641="","",$K4641+(5002-ROW())/10000)</f>
        <v/>
      </c>
    </row>
    <row r="4642">
      <c r="K4642">
        <f>IF($A4642="","",SUM($E4642:$J4642))</f>
        <v/>
      </c>
      <c r="M4642">
        <f>IF($A4642="","",MAX(0,ROUNDUP(DASHBOARD!$F$3-$D4642,0)))</f>
        <v/>
      </c>
      <c r="N4642">
        <f>IF($A4642="","",$K4642+(5002-ROW())/10000)</f>
        <v/>
      </c>
    </row>
    <row r="4643">
      <c r="K4643">
        <f>IF($A4643="","",SUM($E4643:$J4643))</f>
        <v/>
      </c>
      <c r="M4643">
        <f>IF($A4643="","",MAX(0,ROUNDUP(DASHBOARD!$F$3-$D4643,0)))</f>
        <v/>
      </c>
      <c r="N4643">
        <f>IF($A4643="","",$K4643+(5002-ROW())/10000)</f>
        <v/>
      </c>
    </row>
    <row r="4644">
      <c r="K4644">
        <f>IF($A4644="","",SUM($E4644:$J4644))</f>
        <v/>
      </c>
      <c r="M4644">
        <f>IF($A4644="","",MAX(0,ROUNDUP(DASHBOARD!$F$3-$D4644,0)))</f>
        <v/>
      </c>
      <c r="N4644">
        <f>IF($A4644="","",$K4644+(5002-ROW())/10000)</f>
        <v/>
      </c>
    </row>
    <row r="4645">
      <c r="K4645">
        <f>IF($A4645="","",SUM($E4645:$J4645))</f>
        <v/>
      </c>
      <c r="M4645">
        <f>IF($A4645="","",MAX(0,ROUNDUP(DASHBOARD!$F$3-$D4645,0)))</f>
        <v/>
      </c>
      <c r="N4645">
        <f>IF($A4645="","",$K4645+(5002-ROW())/10000)</f>
        <v/>
      </c>
    </row>
    <row r="4646">
      <c r="K4646">
        <f>IF($A4646="","",SUM($E4646:$J4646))</f>
        <v/>
      </c>
      <c r="M4646">
        <f>IF($A4646="","",MAX(0,ROUNDUP(DASHBOARD!$F$3-$D4646,0)))</f>
        <v/>
      </c>
      <c r="N4646">
        <f>IF($A4646="","",$K4646+(5002-ROW())/10000)</f>
        <v/>
      </c>
    </row>
    <row r="4647">
      <c r="K4647">
        <f>IF($A4647="","",SUM($E4647:$J4647))</f>
        <v/>
      </c>
      <c r="M4647">
        <f>IF($A4647="","",MAX(0,ROUNDUP(DASHBOARD!$F$3-$D4647,0)))</f>
        <v/>
      </c>
      <c r="N4647">
        <f>IF($A4647="","",$K4647+(5002-ROW())/10000)</f>
        <v/>
      </c>
    </row>
    <row r="4648">
      <c r="K4648">
        <f>IF($A4648="","",SUM($E4648:$J4648))</f>
        <v/>
      </c>
      <c r="M4648">
        <f>IF($A4648="","",MAX(0,ROUNDUP(DASHBOARD!$F$3-$D4648,0)))</f>
        <v/>
      </c>
      <c r="N4648">
        <f>IF($A4648="","",$K4648+(5002-ROW())/10000)</f>
        <v/>
      </c>
    </row>
    <row r="4649">
      <c r="K4649">
        <f>IF($A4649="","",SUM($E4649:$J4649))</f>
        <v/>
      </c>
      <c r="M4649">
        <f>IF($A4649="","",MAX(0,ROUNDUP(DASHBOARD!$F$3-$D4649,0)))</f>
        <v/>
      </c>
      <c r="N4649">
        <f>IF($A4649="","",$K4649+(5002-ROW())/10000)</f>
        <v/>
      </c>
    </row>
    <row r="4650">
      <c r="K4650">
        <f>IF($A4650="","",SUM($E4650:$J4650))</f>
        <v/>
      </c>
      <c r="M4650">
        <f>IF($A4650="","",MAX(0,ROUNDUP(DASHBOARD!$F$3-$D4650,0)))</f>
        <v/>
      </c>
      <c r="N4650">
        <f>IF($A4650="","",$K4650+(5002-ROW())/10000)</f>
        <v/>
      </c>
    </row>
    <row r="4651">
      <c r="K4651">
        <f>IF($A4651="","",SUM($E4651:$J4651))</f>
        <v/>
      </c>
      <c r="M4651">
        <f>IF($A4651="","",MAX(0,ROUNDUP(DASHBOARD!$F$3-$D4651,0)))</f>
        <v/>
      </c>
      <c r="N4651">
        <f>IF($A4651="","",$K4651+(5002-ROW())/10000)</f>
        <v/>
      </c>
    </row>
    <row r="4652">
      <c r="K4652">
        <f>IF($A4652="","",SUM($E4652:$J4652))</f>
        <v/>
      </c>
      <c r="M4652">
        <f>IF($A4652="","",MAX(0,ROUNDUP(DASHBOARD!$F$3-$D4652,0)))</f>
        <v/>
      </c>
      <c r="N4652">
        <f>IF($A4652="","",$K4652+(5002-ROW())/10000)</f>
        <v/>
      </c>
    </row>
    <row r="4653">
      <c r="K4653">
        <f>IF($A4653="","",SUM($E4653:$J4653))</f>
        <v/>
      </c>
      <c r="M4653">
        <f>IF($A4653="","",MAX(0,ROUNDUP(DASHBOARD!$F$3-$D4653,0)))</f>
        <v/>
      </c>
      <c r="N4653">
        <f>IF($A4653="","",$K4653+(5002-ROW())/10000)</f>
        <v/>
      </c>
    </row>
    <row r="4654">
      <c r="K4654">
        <f>IF($A4654="","",SUM($E4654:$J4654))</f>
        <v/>
      </c>
      <c r="M4654">
        <f>IF($A4654="","",MAX(0,ROUNDUP(DASHBOARD!$F$3-$D4654,0)))</f>
        <v/>
      </c>
      <c r="N4654">
        <f>IF($A4654="","",$K4654+(5002-ROW())/10000)</f>
        <v/>
      </c>
    </row>
    <row r="4655">
      <c r="K4655">
        <f>IF($A4655="","",SUM($E4655:$J4655))</f>
        <v/>
      </c>
      <c r="M4655">
        <f>IF($A4655="","",MAX(0,ROUNDUP(DASHBOARD!$F$3-$D4655,0)))</f>
        <v/>
      </c>
      <c r="N4655">
        <f>IF($A4655="","",$K4655+(5002-ROW())/10000)</f>
        <v/>
      </c>
    </row>
    <row r="4656">
      <c r="K4656">
        <f>IF($A4656="","",SUM($E4656:$J4656))</f>
        <v/>
      </c>
      <c r="M4656">
        <f>IF($A4656="","",MAX(0,ROUNDUP(DASHBOARD!$F$3-$D4656,0)))</f>
        <v/>
      </c>
      <c r="N4656">
        <f>IF($A4656="","",$K4656+(5002-ROW())/10000)</f>
        <v/>
      </c>
    </row>
    <row r="4657">
      <c r="K4657">
        <f>IF($A4657="","",SUM($E4657:$J4657))</f>
        <v/>
      </c>
      <c r="M4657">
        <f>IF($A4657="","",MAX(0,ROUNDUP(DASHBOARD!$F$3-$D4657,0)))</f>
        <v/>
      </c>
      <c r="N4657">
        <f>IF($A4657="","",$K4657+(5002-ROW())/10000)</f>
        <v/>
      </c>
    </row>
    <row r="4658">
      <c r="K4658">
        <f>IF($A4658="","",SUM($E4658:$J4658))</f>
        <v/>
      </c>
      <c r="M4658">
        <f>IF($A4658="","",MAX(0,ROUNDUP(DASHBOARD!$F$3-$D4658,0)))</f>
        <v/>
      </c>
      <c r="N4658">
        <f>IF($A4658="","",$K4658+(5002-ROW())/10000)</f>
        <v/>
      </c>
    </row>
    <row r="4659">
      <c r="K4659">
        <f>IF($A4659="","",SUM($E4659:$J4659))</f>
        <v/>
      </c>
      <c r="M4659">
        <f>IF($A4659="","",MAX(0,ROUNDUP(DASHBOARD!$F$3-$D4659,0)))</f>
        <v/>
      </c>
      <c r="N4659">
        <f>IF($A4659="","",$K4659+(5002-ROW())/10000)</f>
        <v/>
      </c>
    </row>
    <row r="4660">
      <c r="K4660">
        <f>IF($A4660="","",SUM($E4660:$J4660))</f>
        <v/>
      </c>
      <c r="M4660">
        <f>IF($A4660="","",MAX(0,ROUNDUP(DASHBOARD!$F$3-$D4660,0)))</f>
        <v/>
      </c>
      <c r="N4660">
        <f>IF($A4660="","",$K4660+(5002-ROW())/10000)</f>
        <v/>
      </c>
    </row>
    <row r="4661">
      <c r="K4661">
        <f>IF($A4661="","",SUM($E4661:$J4661))</f>
        <v/>
      </c>
      <c r="M4661">
        <f>IF($A4661="","",MAX(0,ROUNDUP(DASHBOARD!$F$3-$D4661,0)))</f>
        <v/>
      </c>
      <c r="N4661">
        <f>IF($A4661="","",$K4661+(5002-ROW())/10000)</f>
        <v/>
      </c>
    </row>
    <row r="4662">
      <c r="K4662">
        <f>IF($A4662="","",SUM($E4662:$J4662))</f>
        <v/>
      </c>
      <c r="M4662">
        <f>IF($A4662="","",MAX(0,ROUNDUP(DASHBOARD!$F$3-$D4662,0)))</f>
        <v/>
      </c>
      <c r="N4662">
        <f>IF($A4662="","",$K4662+(5002-ROW())/10000)</f>
        <v/>
      </c>
    </row>
    <row r="4663">
      <c r="K4663">
        <f>IF($A4663="","",SUM($E4663:$J4663))</f>
        <v/>
      </c>
      <c r="M4663">
        <f>IF($A4663="","",MAX(0,ROUNDUP(DASHBOARD!$F$3-$D4663,0)))</f>
        <v/>
      </c>
      <c r="N4663">
        <f>IF($A4663="","",$K4663+(5002-ROW())/10000)</f>
        <v/>
      </c>
    </row>
    <row r="4664">
      <c r="K4664">
        <f>IF($A4664="","",SUM($E4664:$J4664))</f>
        <v/>
      </c>
      <c r="M4664">
        <f>IF($A4664="","",MAX(0,ROUNDUP(DASHBOARD!$F$3-$D4664,0)))</f>
        <v/>
      </c>
      <c r="N4664">
        <f>IF($A4664="","",$K4664+(5002-ROW())/10000)</f>
        <v/>
      </c>
    </row>
    <row r="4665">
      <c r="K4665">
        <f>IF($A4665="","",SUM($E4665:$J4665))</f>
        <v/>
      </c>
      <c r="M4665">
        <f>IF($A4665="","",MAX(0,ROUNDUP(DASHBOARD!$F$3-$D4665,0)))</f>
        <v/>
      </c>
      <c r="N4665">
        <f>IF($A4665="","",$K4665+(5002-ROW())/10000)</f>
        <v/>
      </c>
    </row>
    <row r="4666">
      <c r="K4666">
        <f>IF($A4666="","",SUM($E4666:$J4666))</f>
        <v/>
      </c>
      <c r="M4666">
        <f>IF($A4666="","",MAX(0,ROUNDUP(DASHBOARD!$F$3-$D4666,0)))</f>
        <v/>
      </c>
      <c r="N4666">
        <f>IF($A4666="","",$K4666+(5002-ROW())/10000)</f>
        <v/>
      </c>
    </row>
    <row r="4667">
      <c r="K4667">
        <f>IF($A4667="","",SUM($E4667:$J4667))</f>
        <v/>
      </c>
      <c r="M4667">
        <f>IF($A4667="","",MAX(0,ROUNDUP(DASHBOARD!$F$3-$D4667,0)))</f>
        <v/>
      </c>
      <c r="N4667">
        <f>IF($A4667="","",$K4667+(5002-ROW())/10000)</f>
        <v/>
      </c>
    </row>
    <row r="4668">
      <c r="K4668">
        <f>IF($A4668="","",SUM($E4668:$J4668))</f>
        <v/>
      </c>
      <c r="M4668">
        <f>IF($A4668="","",MAX(0,ROUNDUP(DASHBOARD!$F$3-$D4668,0)))</f>
        <v/>
      </c>
      <c r="N4668">
        <f>IF($A4668="","",$K4668+(5002-ROW())/10000)</f>
        <v/>
      </c>
    </row>
    <row r="4669">
      <c r="K4669">
        <f>IF($A4669="","",SUM($E4669:$J4669))</f>
        <v/>
      </c>
      <c r="M4669">
        <f>IF($A4669="","",MAX(0,ROUNDUP(DASHBOARD!$F$3-$D4669,0)))</f>
        <v/>
      </c>
      <c r="N4669">
        <f>IF($A4669="","",$K4669+(5002-ROW())/10000)</f>
        <v/>
      </c>
    </row>
    <row r="4670">
      <c r="K4670">
        <f>IF($A4670="","",SUM($E4670:$J4670))</f>
        <v/>
      </c>
      <c r="M4670">
        <f>IF($A4670="","",MAX(0,ROUNDUP(DASHBOARD!$F$3-$D4670,0)))</f>
        <v/>
      </c>
      <c r="N4670">
        <f>IF($A4670="","",$K4670+(5002-ROW())/10000)</f>
        <v/>
      </c>
    </row>
    <row r="4671">
      <c r="K4671">
        <f>IF($A4671="","",SUM($E4671:$J4671))</f>
        <v/>
      </c>
      <c r="M4671">
        <f>IF($A4671="","",MAX(0,ROUNDUP(DASHBOARD!$F$3-$D4671,0)))</f>
        <v/>
      </c>
      <c r="N4671">
        <f>IF($A4671="","",$K4671+(5002-ROW())/10000)</f>
        <v/>
      </c>
    </row>
    <row r="4672">
      <c r="K4672">
        <f>IF($A4672="","",SUM($E4672:$J4672))</f>
        <v/>
      </c>
      <c r="M4672">
        <f>IF($A4672="","",MAX(0,ROUNDUP(DASHBOARD!$F$3-$D4672,0)))</f>
        <v/>
      </c>
      <c r="N4672">
        <f>IF($A4672="","",$K4672+(5002-ROW())/10000)</f>
        <v/>
      </c>
    </row>
    <row r="4673">
      <c r="K4673">
        <f>IF($A4673="","",SUM($E4673:$J4673))</f>
        <v/>
      </c>
      <c r="M4673">
        <f>IF($A4673="","",MAX(0,ROUNDUP(DASHBOARD!$F$3-$D4673,0)))</f>
        <v/>
      </c>
      <c r="N4673">
        <f>IF($A4673="","",$K4673+(5002-ROW())/10000)</f>
        <v/>
      </c>
    </row>
    <row r="4674">
      <c r="K4674">
        <f>IF($A4674="","",SUM($E4674:$J4674))</f>
        <v/>
      </c>
      <c r="M4674">
        <f>IF($A4674="","",MAX(0,ROUNDUP(DASHBOARD!$F$3-$D4674,0)))</f>
        <v/>
      </c>
      <c r="N4674">
        <f>IF($A4674="","",$K4674+(5002-ROW())/10000)</f>
        <v/>
      </c>
    </row>
    <row r="4675">
      <c r="K4675">
        <f>IF($A4675="","",SUM($E4675:$J4675))</f>
        <v/>
      </c>
      <c r="M4675">
        <f>IF($A4675="","",MAX(0,ROUNDUP(DASHBOARD!$F$3-$D4675,0)))</f>
        <v/>
      </c>
      <c r="N4675">
        <f>IF($A4675="","",$K4675+(5002-ROW())/10000)</f>
        <v/>
      </c>
    </row>
    <row r="4676">
      <c r="K4676">
        <f>IF($A4676="","",SUM($E4676:$J4676))</f>
        <v/>
      </c>
      <c r="M4676">
        <f>IF($A4676="","",MAX(0,ROUNDUP(DASHBOARD!$F$3-$D4676,0)))</f>
        <v/>
      </c>
      <c r="N4676">
        <f>IF($A4676="","",$K4676+(5002-ROW())/10000)</f>
        <v/>
      </c>
    </row>
    <row r="4677">
      <c r="K4677">
        <f>IF($A4677="","",SUM($E4677:$J4677))</f>
        <v/>
      </c>
      <c r="M4677">
        <f>IF($A4677="","",MAX(0,ROUNDUP(DASHBOARD!$F$3-$D4677,0)))</f>
        <v/>
      </c>
      <c r="N4677">
        <f>IF($A4677="","",$K4677+(5002-ROW())/10000)</f>
        <v/>
      </c>
    </row>
    <row r="4678">
      <c r="K4678">
        <f>IF($A4678="","",SUM($E4678:$J4678))</f>
        <v/>
      </c>
      <c r="M4678">
        <f>IF($A4678="","",MAX(0,ROUNDUP(DASHBOARD!$F$3-$D4678,0)))</f>
        <v/>
      </c>
      <c r="N4678">
        <f>IF($A4678="","",$K4678+(5002-ROW())/10000)</f>
        <v/>
      </c>
    </row>
    <row r="4679">
      <c r="K4679">
        <f>IF($A4679="","",SUM($E4679:$J4679))</f>
        <v/>
      </c>
      <c r="M4679">
        <f>IF($A4679="","",MAX(0,ROUNDUP(DASHBOARD!$F$3-$D4679,0)))</f>
        <v/>
      </c>
      <c r="N4679">
        <f>IF($A4679="","",$K4679+(5002-ROW())/10000)</f>
        <v/>
      </c>
    </row>
    <row r="4680">
      <c r="K4680">
        <f>IF($A4680="","",SUM($E4680:$J4680))</f>
        <v/>
      </c>
      <c r="M4680">
        <f>IF($A4680="","",MAX(0,ROUNDUP(DASHBOARD!$F$3-$D4680,0)))</f>
        <v/>
      </c>
      <c r="N4680">
        <f>IF($A4680="","",$K4680+(5002-ROW())/10000)</f>
        <v/>
      </c>
    </row>
    <row r="4681">
      <c r="K4681">
        <f>IF($A4681="","",SUM($E4681:$J4681))</f>
        <v/>
      </c>
      <c r="M4681">
        <f>IF($A4681="","",MAX(0,ROUNDUP(DASHBOARD!$F$3-$D4681,0)))</f>
        <v/>
      </c>
      <c r="N4681">
        <f>IF($A4681="","",$K4681+(5002-ROW())/10000)</f>
        <v/>
      </c>
    </row>
    <row r="4682">
      <c r="K4682">
        <f>IF($A4682="","",SUM($E4682:$J4682))</f>
        <v/>
      </c>
      <c r="M4682">
        <f>IF($A4682="","",MAX(0,ROUNDUP(DASHBOARD!$F$3-$D4682,0)))</f>
        <v/>
      </c>
      <c r="N4682">
        <f>IF($A4682="","",$K4682+(5002-ROW())/10000)</f>
        <v/>
      </c>
    </row>
    <row r="4683">
      <c r="K4683">
        <f>IF($A4683="","",SUM($E4683:$J4683))</f>
        <v/>
      </c>
      <c r="M4683">
        <f>IF($A4683="","",MAX(0,ROUNDUP(DASHBOARD!$F$3-$D4683,0)))</f>
        <v/>
      </c>
      <c r="N4683">
        <f>IF($A4683="","",$K4683+(5002-ROW())/10000)</f>
        <v/>
      </c>
    </row>
    <row r="4684">
      <c r="K4684">
        <f>IF($A4684="","",SUM($E4684:$J4684))</f>
        <v/>
      </c>
      <c r="M4684">
        <f>IF($A4684="","",MAX(0,ROUNDUP(DASHBOARD!$F$3-$D4684,0)))</f>
        <v/>
      </c>
      <c r="N4684">
        <f>IF($A4684="","",$K4684+(5002-ROW())/10000)</f>
        <v/>
      </c>
    </row>
    <row r="4685">
      <c r="K4685">
        <f>IF($A4685="","",SUM($E4685:$J4685))</f>
        <v/>
      </c>
      <c r="M4685">
        <f>IF($A4685="","",MAX(0,ROUNDUP(DASHBOARD!$F$3-$D4685,0)))</f>
        <v/>
      </c>
      <c r="N4685">
        <f>IF($A4685="","",$K4685+(5002-ROW())/10000)</f>
        <v/>
      </c>
    </row>
    <row r="4686">
      <c r="K4686">
        <f>IF($A4686="","",SUM($E4686:$J4686))</f>
        <v/>
      </c>
      <c r="M4686">
        <f>IF($A4686="","",MAX(0,ROUNDUP(DASHBOARD!$F$3-$D4686,0)))</f>
        <v/>
      </c>
      <c r="N4686">
        <f>IF($A4686="","",$K4686+(5002-ROW())/10000)</f>
        <v/>
      </c>
    </row>
    <row r="4687">
      <c r="K4687">
        <f>IF($A4687="","",SUM($E4687:$J4687))</f>
        <v/>
      </c>
      <c r="M4687">
        <f>IF($A4687="","",MAX(0,ROUNDUP(DASHBOARD!$F$3-$D4687,0)))</f>
        <v/>
      </c>
      <c r="N4687">
        <f>IF($A4687="","",$K4687+(5002-ROW())/10000)</f>
        <v/>
      </c>
    </row>
    <row r="4688">
      <c r="K4688">
        <f>IF($A4688="","",SUM($E4688:$J4688))</f>
        <v/>
      </c>
      <c r="M4688">
        <f>IF($A4688="","",MAX(0,ROUNDUP(DASHBOARD!$F$3-$D4688,0)))</f>
        <v/>
      </c>
      <c r="N4688">
        <f>IF($A4688="","",$K4688+(5002-ROW())/10000)</f>
        <v/>
      </c>
    </row>
    <row r="4689">
      <c r="K4689">
        <f>IF($A4689="","",SUM($E4689:$J4689))</f>
        <v/>
      </c>
      <c r="M4689">
        <f>IF($A4689="","",MAX(0,ROUNDUP(DASHBOARD!$F$3-$D4689,0)))</f>
        <v/>
      </c>
      <c r="N4689">
        <f>IF($A4689="","",$K4689+(5002-ROW())/10000)</f>
        <v/>
      </c>
    </row>
    <row r="4690">
      <c r="K4690">
        <f>IF($A4690="","",SUM($E4690:$J4690))</f>
        <v/>
      </c>
      <c r="M4690">
        <f>IF($A4690="","",MAX(0,ROUNDUP(DASHBOARD!$F$3-$D4690,0)))</f>
        <v/>
      </c>
      <c r="N4690">
        <f>IF($A4690="","",$K4690+(5002-ROW())/10000)</f>
        <v/>
      </c>
    </row>
    <row r="4691">
      <c r="K4691">
        <f>IF($A4691="","",SUM($E4691:$J4691))</f>
        <v/>
      </c>
      <c r="M4691">
        <f>IF($A4691="","",MAX(0,ROUNDUP(DASHBOARD!$F$3-$D4691,0)))</f>
        <v/>
      </c>
      <c r="N4691">
        <f>IF($A4691="","",$K4691+(5002-ROW())/10000)</f>
        <v/>
      </c>
    </row>
    <row r="4692">
      <c r="K4692">
        <f>IF($A4692="","",SUM($E4692:$J4692))</f>
        <v/>
      </c>
      <c r="M4692">
        <f>IF($A4692="","",MAX(0,ROUNDUP(DASHBOARD!$F$3-$D4692,0)))</f>
        <v/>
      </c>
      <c r="N4692">
        <f>IF($A4692="","",$K4692+(5002-ROW())/10000)</f>
        <v/>
      </c>
    </row>
    <row r="4693">
      <c r="K4693">
        <f>IF($A4693="","",SUM($E4693:$J4693))</f>
        <v/>
      </c>
      <c r="M4693">
        <f>IF($A4693="","",MAX(0,ROUNDUP(DASHBOARD!$F$3-$D4693,0)))</f>
        <v/>
      </c>
      <c r="N4693">
        <f>IF($A4693="","",$K4693+(5002-ROW())/10000)</f>
        <v/>
      </c>
    </row>
    <row r="4694">
      <c r="K4694">
        <f>IF($A4694="","",SUM($E4694:$J4694))</f>
        <v/>
      </c>
      <c r="M4694">
        <f>IF($A4694="","",MAX(0,ROUNDUP(DASHBOARD!$F$3-$D4694,0)))</f>
        <v/>
      </c>
      <c r="N4694">
        <f>IF($A4694="","",$K4694+(5002-ROW())/10000)</f>
        <v/>
      </c>
    </row>
    <row r="4695">
      <c r="K4695">
        <f>IF($A4695="","",SUM($E4695:$J4695))</f>
        <v/>
      </c>
      <c r="M4695">
        <f>IF($A4695="","",MAX(0,ROUNDUP(DASHBOARD!$F$3-$D4695,0)))</f>
        <v/>
      </c>
      <c r="N4695">
        <f>IF($A4695="","",$K4695+(5002-ROW())/10000)</f>
        <v/>
      </c>
    </row>
    <row r="4696">
      <c r="K4696">
        <f>IF($A4696="","",SUM($E4696:$J4696))</f>
        <v/>
      </c>
      <c r="M4696">
        <f>IF($A4696="","",MAX(0,ROUNDUP(DASHBOARD!$F$3-$D4696,0)))</f>
        <v/>
      </c>
      <c r="N4696">
        <f>IF($A4696="","",$K4696+(5002-ROW())/10000)</f>
        <v/>
      </c>
    </row>
    <row r="4697">
      <c r="K4697">
        <f>IF($A4697="","",SUM($E4697:$J4697))</f>
        <v/>
      </c>
      <c r="M4697">
        <f>IF($A4697="","",MAX(0,ROUNDUP(DASHBOARD!$F$3-$D4697,0)))</f>
        <v/>
      </c>
      <c r="N4697">
        <f>IF($A4697="","",$K4697+(5002-ROW())/10000)</f>
        <v/>
      </c>
    </row>
    <row r="4698">
      <c r="K4698">
        <f>IF($A4698="","",SUM($E4698:$J4698))</f>
        <v/>
      </c>
      <c r="M4698">
        <f>IF($A4698="","",MAX(0,ROUNDUP(DASHBOARD!$F$3-$D4698,0)))</f>
        <v/>
      </c>
      <c r="N4698">
        <f>IF($A4698="","",$K4698+(5002-ROW())/10000)</f>
        <v/>
      </c>
    </row>
    <row r="4699">
      <c r="K4699">
        <f>IF($A4699="","",SUM($E4699:$J4699))</f>
        <v/>
      </c>
      <c r="M4699">
        <f>IF($A4699="","",MAX(0,ROUNDUP(DASHBOARD!$F$3-$D4699,0)))</f>
        <v/>
      </c>
      <c r="N4699">
        <f>IF($A4699="","",$K4699+(5002-ROW())/10000)</f>
        <v/>
      </c>
    </row>
    <row r="4700">
      <c r="K4700">
        <f>IF($A4700="","",SUM($E4700:$J4700))</f>
        <v/>
      </c>
      <c r="M4700">
        <f>IF($A4700="","",MAX(0,ROUNDUP(DASHBOARD!$F$3-$D4700,0)))</f>
        <v/>
      </c>
      <c r="N4700">
        <f>IF($A4700="","",$K4700+(5002-ROW())/10000)</f>
        <v/>
      </c>
    </row>
    <row r="4701">
      <c r="K4701">
        <f>IF($A4701="","",SUM($E4701:$J4701))</f>
        <v/>
      </c>
      <c r="M4701">
        <f>IF($A4701="","",MAX(0,ROUNDUP(DASHBOARD!$F$3-$D4701,0)))</f>
        <v/>
      </c>
      <c r="N4701">
        <f>IF($A4701="","",$K4701+(5002-ROW())/10000)</f>
        <v/>
      </c>
    </row>
    <row r="4702">
      <c r="K4702">
        <f>IF($A4702="","",SUM($E4702:$J4702))</f>
        <v/>
      </c>
      <c r="M4702">
        <f>IF($A4702="","",MAX(0,ROUNDUP(DASHBOARD!$F$3-$D4702,0)))</f>
        <v/>
      </c>
      <c r="N4702">
        <f>IF($A4702="","",$K4702+(5002-ROW())/10000)</f>
        <v/>
      </c>
    </row>
    <row r="4703">
      <c r="K4703">
        <f>IF($A4703="","",SUM($E4703:$J4703))</f>
        <v/>
      </c>
      <c r="M4703">
        <f>IF($A4703="","",MAX(0,ROUNDUP(DASHBOARD!$F$3-$D4703,0)))</f>
        <v/>
      </c>
      <c r="N4703">
        <f>IF($A4703="","",$K4703+(5002-ROW())/10000)</f>
        <v/>
      </c>
    </row>
    <row r="4704">
      <c r="K4704">
        <f>IF($A4704="","",SUM($E4704:$J4704))</f>
        <v/>
      </c>
      <c r="M4704">
        <f>IF($A4704="","",MAX(0,ROUNDUP(DASHBOARD!$F$3-$D4704,0)))</f>
        <v/>
      </c>
      <c r="N4704">
        <f>IF($A4704="","",$K4704+(5002-ROW())/10000)</f>
        <v/>
      </c>
    </row>
    <row r="4705">
      <c r="K4705">
        <f>IF($A4705="","",SUM($E4705:$J4705))</f>
        <v/>
      </c>
      <c r="M4705">
        <f>IF($A4705="","",MAX(0,ROUNDUP(DASHBOARD!$F$3-$D4705,0)))</f>
        <v/>
      </c>
      <c r="N4705">
        <f>IF($A4705="","",$K4705+(5002-ROW())/10000)</f>
        <v/>
      </c>
    </row>
    <row r="4706">
      <c r="K4706">
        <f>IF($A4706="","",SUM($E4706:$J4706))</f>
        <v/>
      </c>
      <c r="M4706">
        <f>IF($A4706="","",MAX(0,ROUNDUP(DASHBOARD!$F$3-$D4706,0)))</f>
        <v/>
      </c>
      <c r="N4706">
        <f>IF($A4706="","",$K4706+(5002-ROW())/10000)</f>
        <v/>
      </c>
    </row>
    <row r="4707">
      <c r="K4707">
        <f>IF($A4707="","",SUM($E4707:$J4707))</f>
        <v/>
      </c>
      <c r="M4707">
        <f>IF($A4707="","",MAX(0,ROUNDUP(DASHBOARD!$F$3-$D4707,0)))</f>
        <v/>
      </c>
      <c r="N4707">
        <f>IF($A4707="","",$K4707+(5002-ROW())/10000)</f>
        <v/>
      </c>
    </row>
    <row r="4708">
      <c r="K4708">
        <f>IF($A4708="","",SUM($E4708:$J4708))</f>
        <v/>
      </c>
      <c r="M4708">
        <f>IF($A4708="","",MAX(0,ROUNDUP(DASHBOARD!$F$3-$D4708,0)))</f>
        <v/>
      </c>
      <c r="N4708">
        <f>IF($A4708="","",$K4708+(5002-ROW())/10000)</f>
        <v/>
      </c>
    </row>
    <row r="4709">
      <c r="K4709">
        <f>IF($A4709="","",SUM($E4709:$J4709))</f>
        <v/>
      </c>
      <c r="M4709">
        <f>IF($A4709="","",MAX(0,ROUNDUP(DASHBOARD!$F$3-$D4709,0)))</f>
        <v/>
      </c>
      <c r="N4709">
        <f>IF($A4709="","",$K4709+(5002-ROW())/10000)</f>
        <v/>
      </c>
    </row>
    <row r="4710">
      <c r="K4710">
        <f>IF($A4710="","",SUM($E4710:$J4710))</f>
        <v/>
      </c>
      <c r="M4710">
        <f>IF($A4710="","",MAX(0,ROUNDUP(DASHBOARD!$F$3-$D4710,0)))</f>
        <v/>
      </c>
      <c r="N4710">
        <f>IF($A4710="","",$K4710+(5002-ROW())/10000)</f>
        <v/>
      </c>
    </row>
    <row r="4711">
      <c r="K4711">
        <f>IF($A4711="","",SUM($E4711:$J4711))</f>
        <v/>
      </c>
      <c r="M4711">
        <f>IF($A4711="","",MAX(0,ROUNDUP(DASHBOARD!$F$3-$D4711,0)))</f>
        <v/>
      </c>
      <c r="N4711">
        <f>IF($A4711="","",$K4711+(5002-ROW())/10000)</f>
        <v/>
      </c>
    </row>
    <row r="4712">
      <c r="K4712">
        <f>IF($A4712="","",SUM($E4712:$J4712))</f>
        <v/>
      </c>
      <c r="M4712">
        <f>IF($A4712="","",MAX(0,ROUNDUP(DASHBOARD!$F$3-$D4712,0)))</f>
        <v/>
      </c>
      <c r="N4712">
        <f>IF($A4712="","",$K4712+(5002-ROW())/10000)</f>
        <v/>
      </c>
    </row>
    <row r="4713">
      <c r="K4713">
        <f>IF($A4713="","",SUM($E4713:$J4713))</f>
        <v/>
      </c>
      <c r="M4713">
        <f>IF($A4713="","",MAX(0,ROUNDUP(DASHBOARD!$F$3-$D4713,0)))</f>
        <v/>
      </c>
      <c r="N4713">
        <f>IF($A4713="","",$K4713+(5002-ROW())/10000)</f>
        <v/>
      </c>
    </row>
    <row r="4714">
      <c r="K4714">
        <f>IF($A4714="","",SUM($E4714:$J4714))</f>
        <v/>
      </c>
      <c r="M4714">
        <f>IF($A4714="","",MAX(0,ROUNDUP(DASHBOARD!$F$3-$D4714,0)))</f>
        <v/>
      </c>
      <c r="N4714">
        <f>IF($A4714="","",$K4714+(5002-ROW())/10000)</f>
        <v/>
      </c>
    </row>
    <row r="4715">
      <c r="K4715">
        <f>IF($A4715="","",SUM($E4715:$J4715))</f>
        <v/>
      </c>
      <c r="M4715">
        <f>IF($A4715="","",MAX(0,ROUNDUP(DASHBOARD!$F$3-$D4715,0)))</f>
        <v/>
      </c>
      <c r="N4715">
        <f>IF($A4715="","",$K4715+(5002-ROW())/10000)</f>
        <v/>
      </c>
    </row>
    <row r="4716">
      <c r="K4716">
        <f>IF($A4716="","",SUM($E4716:$J4716))</f>
        <v/>
      </c>
      <c r="M4716">
        <f>IF($A4716="","",MAX(0,ROUNDUP(DASHBOARD!$F$3-$D4716,0)))</f>
        <v/>
      </c>
      <c r="N4716">
        <f>IF($A4716="","",$K4716+(5002-ROW())/10000)</f>
        <v/>
      </c>
    </row>
    <row r="4717">
      <c r="K4717">
        <f>IF($A4717="","",SUM($E4717:$J4717))</f>
        <v/>
      </c>
      <c r="M4717">
        <f>IF($A4717="","",MAX(0,ROUNDUP(DASHBOARD!$F$3-$D4717,0)))</f>
        <v/>
      </c>
      <c r="N4717">
        <f>IF($A4717="","",$K4717+(5002-ROW())/10000)</f>
        <v/>
      </c>
    </row>
    <row r="4718">
      <c r="K4718">
        <f>IF($A4718="","",SUM($E4718:$J4718))</f>
        <v/>
      </c>
      <c r="M4718">
        <f>IF($A4718="","",MAX(0,ROUNDUP(DASHBOARD!$F$3-$D4718,0)))</f>
        <v/>
      </c>
      <c r="N4718">
        <f>IF($A4718="","",$K4718+(5002-ROW())/10000)</f>
        <v/>
      </c>
    </row>
    <row r="4719">
      <c r="K4719">
        <f>IF($A4719="","",SUM($E4719:$J4719))</f>
        <v/>
      </c>
      <c r="M4719">
        <f>IF($A4719="","",MAX(0,ROUNDUP(DASHBOARD!$F$3-$D4719,0)))</f>
        <v/>
      </c>
      <c r="N4719">
        <f>IF($A4719="","",$K4719+(5002-ROW())/10000)</f>
        <v/>
      </c>
    </row>
    <row r="4720">
      <c r="K4720">
        <f>IF($A4720="","",SUM($E4720:$J4720))</f>
        <v/>
      </c>
      <c r="M4720">
        <f>IF($A4720="","",MAX(0,ROUNDUP(DASHBOARD!$F$3-$D4720,0)))</f>
        <v/>
      </c>
      <c r="N4720">
        <f>IF($A4720="","",$K4720+(5002-ROW())/10000)</f>
        <v/>
      </c>
    </row>
    <row r="4721">
      <c r="K4721">
        <f>IF($A4721="","",SUM($E4721:$J4721))</f>
        <v/>
      </c>
      <c r="M4721">
        <f>IF($A4721="","",MAX(0,ROUNDUP(DASHBOARD!$F$3-$D4721,0)))</f>
        <v/>
      </c>
      <c r="N4721">
        <f>IF($A4721="","",$K4721+(5002-ROW())/10000)</f>
        <v/>
      </c>
    </row>
    <row r="4722">
      <c r="K4722">
        <f>IF($A4722="","",SUM($E4722:$J4722))</f>
        <v/>
      </c>
      <c r="M4722">
        <f>IF($A4722="","",MAX(0,ROUNDUP(DASHBOARD!$F$3-$D4722,0)))</f>
        <v/>
      </c>
      <c r="N4722">
        <f>IF($A4722="","",$K4722+(5002-ROW())/10000)</f>
        <v/>
      </c>
    </row>
    <row r="4723">
      <c r="K4723">
        <f>IF($A4723="","",SUM($E4723:$J4723))</f>
        <v/>
      </c>
      <c r="M4723">
        <f>IF($A4723="","",MAX(0,ROUNDUP(DASHBOARD!$F$3-$D4723,0)))</f>
        <v/>
      </c>
      <c r="N4723">
        <f>IF($A4723="","",$K4723+(5002-ROW())/10000)</f>
        <v/>
      </c>
    </row>
    <row r="4724">
      <c r="K4724">
        <f>IF($A4724="","",SUM($E4724:$J4724))</f>
        <v/>
      </c>
      <c r="M4724">
        <f>IF($A4724="","",MAX(0,ROUNDUP(DASHBOARD!$F$3-$D4724,0)))</f>
        <v/>
      </c>
      <c r="N4724">
        <f>IF($A4724="","",$K4724+(5002-ROW())/10000)</f>
        <v/>
      </c>
    </row>
    <row r="4725">
      <c r="K4725">
        <f>IF($A4725="","",SUM($E4725:$J4725))</f>
        <v/>
      </c>
      <c r="M4725">
        <f>IF($A4725="","",MAX(0,ROUNDUP(DASHBOARD!$F$3-$D4725,0)))</f>
        <v/>
      </c>
      <c r="N4725">
        <f>IF($A4725="","",$K4725+(5002-ROW())/10000)</f>
        <v/>
      </c>
    </row>
    <row r="4726">
      <c r="K4726">
        <f>IF($A4726="","",SUM($E4726:$J4726))</f>
        <v/>
      </c>
      <c r="M4726">
        <f>IF($A4726="","",MAX(0,ROUNDUP(DASHBOARD!$F$3-$D4726,0)))</f>
        <v/>
      </c>
      <c r="N4726">
        <f>IF($A4726="","",$K4726+(5002-ROW())/10000)</f>
        <v/>
      </c>
    </row>
    <row r="4727">
      <c r="K4727">
        <f>IF($A4727="","",SUM($E4727:$J4727))</f>
        <v/>
      </c>
      <c r="M4727">
        <f>IF($A4727="","",MAX(0,ROUNDUP(DASHBOARD!$F$3-$D4727,0)))</f>
        <v/>
      </c>
      <c r="N4727">
        <f>IF($A4727="","",$K4727+(5002-ROW())/10000)</f>
        <v/>
      </c>
    </row>
    <row r="4728">
      <c r="K4728">
        <f>IF($A4728="","",SUM($E4728:$J4728))</f>
        <v/>
      </c>
      <c r="M4728">
        <f>IF($A4728="","",MAX(0,ROUNDUP(DASHBOARD!$F$3-$D4728,0)))</f>
        <v/>
      </c>
      <c r="N4728">
        <f>IF($A4728="","",$K4728+(5002-ROW())/10000)</f>
        <v/>
      </c>
    </row>
    <row r="4729">
      <c r="K4729">
        <f>IF($A4729="","",SUM($E4729:$J4729))</f>
        <v/>
      </c>
      <c r="M4729">
        <f>IF($A4729="","",MAX(0,ROUNDUP(DASHBOARD!$F$3-$D4729,0)))</f>
        <v/>
      </c>
      <c r="N4729">
        <f>IF($A4729="","",$K4729+(5002-ROW())/10000)</f>
        <v/>
      </c>
    </row>
    <row r="4730">
      <c r="K4730">
        <f>IF($A4730="","",SUM($E4730:$J4730))</f>
        <v/>
      </c>
      <c r="M4730">
        <f>IF($A4730="","",MAX(0,ROUNDUP(DASHBOARD!$F$3-$D4730,0)))</f>
        <v/>
      </c>
      <c r="N4730">
        <f>IF($A4730="","",$K4730+(5002-ROW())/10000)</f>
        <v/>
      </c>
    </row>
    <row r="4731">
      <c r="K4731">
        <f>IF($A4731="","",SUM($E4731:$J4731))</f>
        <v/>
      </c>
      <c r="M4731">
        <f>IF($A4731="","",MAX(0,ROUNDUP(DASHBOARD!$F$3-$D4731,0)))</f>
        <v/>
      </c>
      <c r="N4731">
        <f>IF($A4731="","",$K4731+(5002-ROW())/10000)</f>
        <v/>
      </c>
    </row>
    <row r="4732">
      <c r="K4732">
        <f>IF($A4732="","",SUM($E4732:$J4732))</f>
        <v/>
      </c>
      <c r="M4732">
        <f>IF($A4732="","",MAX(0,ROUNDUP(DASHBOARD!$F$3-$D4732,0)))</f>
        <v/>
      </c>
      <c r="N4732">
        <f>IF($A4732="","",$K4732+(5002-ROW())/10000)</f>
        <v/>
      </c>
    </row>
    <row r="4733">
      <c r="K4733">
        <f>IF($A4733="","",SUM($E4733:$J4733))</f>
        <v/>
      </c>
      <c r="M4733">
        <f>IF($A4733="","",MAX(0,ROUNDUP(DASHBOARD!$F$3-$D4733,0)))</f>
        <v/>
      </c>
      <c r="N4733">
        <f>IF($A4733="","",$K4733+(5002-ROW())/10000)</f>
        <v/>
      </c>
    </row>
    <row r="4734">
      <c r="K4734">
        <f>IF($A4734="","",SUM($E4734:$J4734))</f>
        <v/>
      </c>
      <c r="M4734">
        <f>IF($A4734="","",MAX(0,ROUNDUP(DASHBOARD!$F$3-$D4734,0)))</f>
        <v/>
      </c>
      <c r="N4734">
        <f>IF($A4734="","",$K4734+(5002-ROW())/10000)</f>
        <v/>
      </c>
    </row>
    <row r="4735">
      <c r="K4735">
        <f>IF($A4735="","",SUM($E4735:$J4735))</f>
        <v/>
      </c>
      <c r="M4735">
        <f>IF($A4735="","",MAX(0,ROUNDUP(DASHBOARD!$F$3-$D4735,0)))</f>
        <v/>
      </c>
      <c r="N4735">
        <f>IF($A4735="","",$K4735+(5002-ROW())/10000)</f>
        <v/>
      </c>
    </row>
    <row r="4736">
      <c r="K4736">
        <f>IF($A4736="","",SUM($E4736:$J4736))</f>
        <v/>
      </c>
      <c r="M4736">
        <f>IF($A4736="","",MAX(0,ROUNDUP(DASHBOARD!$F$3-$D4736,0)))</f>
        <v/>
      </c>
      <c r="N4736">
        <f>IF($A4736="","",$K4736+(5002-ROW())/10000)</f>
        <v/>
      </c>
    </row>
    <row r="4737">
      <c r="K4737">
        <f>IF($A4737="","",SUM($E4737:$J4737))</f>
        <v/>
      </c>
      <c r="M4737">
        <f>IF($A4737="","",MAX(0,ROUNDUP(DASHBOARD!$F$3-$D4737,0)))</f>
        <v/>
      </c>
      <c r="N4737">
        <f>IF($A4737="","",$K4737+(5002-ROW())/10000)</f>
        <v/>
      </c>
    </row>
    <row r="4738">
      <c r="K4738">
        <f>IF($A4738="","",SUM($E4738:$J4738))</f>
        <v/>
      </c>
      <c r="M4738">
        <f>IF($A4738="","",MAX(0,ROUNDUP(DASHBOARD!$F$3-$D4738,0)))</f>
        <v/>
      </c>
      <c r="N4738">
        <f>IF($A4738="","",$K4738+(5002-ROW())/10000)</f>
        <v/>
      </c>
    </row>
    <row r="4739">
      <c r="K4739">
        <f>IF($A4739="","",SUM($E4739:$J4739))</f>
        <v/>
      </c>
      <c r="M4739">
        <f>IF($A4739="","",MAX(0,ROUNDUP(DASHBOARD!$F$3-$D4739,0)))</f>
        <v/>
      </c>
      <c r="N4739">
        <f>IF($A4739="","",$K4739+(5002-ROW())/10000)</f>
        <v/>
      </c>
    </row>
    <row r="4740">
      <c r="K4740">
        <f>IF($A4740="","",SUM($E4740:$J4740))</f>
        <v/>
      </c>
      <c r="M4740">
        <f>IF($A4740="","",MAX(0,ROUNDUP(DASHBOARD!$F$3-$D4740,0)))</f>
        <v/>
      </c>
      <c r="N4740">
        <f>IF($A4740="","",$K4740+(5002-ROW())/10000)</f>
        <v/>
      </c>
    </row>
    <row r="4741">
      <c r="K4741">
        <f>IF($A4741="","",SUM($E4741:$J4741))</f>
        <v/>
      </c>
      <c r="M4741">
        <f>IF($A4741="","",MAX(0,ROUNDUP(DASHBOARD!$F$3-$D4741,0)))</f>
        <v/>
      </c>
      <c r="N4741">
        <f>IF($A4741="","",$K4741+(5002-ROW())/10000)</f>
        <v/>
      </c>
    </row>
    <row r="4742">
      <c r="K4742">
        <f>IF($A4742="","",SUM($E4742:$J4742))</f>
        <v/>
      </c>
      <c r="M4742">
        <f>IF($A4742="","",MAX(0,ROUNDUP(DASHBOARD!$F$3-$D4742,0)))</f>
        <v/>
      </c>
      <c r="N4742">
        <f>IF($A4742="","",$K4742+(5002-ROW())/10000)</f>
        <v/>
      </c>
    </row>
    <row r="4743">
      <c r="K4743">
        <f>IF($A4743="","",SUM($E4743:$J4743))</f>
        <v/>
      </c>
      <c r="M4743">
        <f>IF($A4743="","",MAX(0,ROUNDUP(DASHBOARD!$F$3-$D4743,0)))</f>
        <v/>
      </c>
      <c r="N4743">
        <f>IF($A4743="","",$K4743+(5002-ROW())/10000)</f>
        <v/>
      </c>
    </row>
    <row r="4744">
      <c r="K4744">
        <f>IF($A4744="","",SUM($E4744:$J4744))</f>
        <v/>
      </c>
      <c r="M4744">
        <f>IF($A4744="","",MAX(0,ROUNDUP(DASHBOARD!$F$3-$D4744,0)))</f>
        <v/>
      </c>
      <c r="N4744">
        <f>IF($A4744="","",$K4744+(5002-ROW())/10000)</f>
        <v/>
      </c>
    </row>
    <row r="4745">
      <c r="K4745">
        <f>IF($A4745="","",SUM($E4745:$J4745))</f>
        <v/>
      </c>
      <c r="M4745">
        <f>IF($A4745="","",MAX(0,ROUNDUP(DASHBOARD!$F$3-$D4745,0)))</f>
        <v/>
      </c>
      <c r="N4745">
        <f>IF($A4745="","",$K4745+(5002-ROW())/10000)</f>
        <v/>
      </c>
    </row>
    <row r="4746">
      <c r="K4746">
        <f>IF($A4746="","",SUM($E4746:$J4746))</f>
        <v/>
      </c>
      <c r="M4746">
        <f>IF($A4746="","",MAX(0,ROUNDUP(DASHBOARD!$F$3-$D4746,0)))</f>
        <v/>
      </c>
      <c r="N4746">
        <f>IF($A4746="","",$K4746+(5002-ROW())/10000)</f>
        <v/>
      </c>
    </row>
    <row r="4747">
      <c r="K4747">
        <f>IF($A4747="","",SUM($E4747:$J4747))</f>
        <v/>
      </c>
      <c r="M4747">
        <f>IF($A4747="","",MAX(0,ROUNDUP(DASHBOARD!$F$3-$D4747,0)))</f>
        <v/>
      </c>
      <c r="N4747">
        <f>IF($A4747="","",$K4747+(5002-ROW())/10000)</f>
        <v/>
      </c>
    </row>
    <row r="4748">
      <c r="K4748">
        <f>IF($A4748="","",SUM($E4748:$J4748))</f>
        <v/>
      </c>
      <c r="M4748">
        <f>IF($A4748="","",MAX(0,ROUNDUP(DASHBOARD!$F$3-$D4748,0)))</f>
        <v/>
      </c>
      <c r="N4748">
        <f>IF($A4748="","",$K4748+(5002-ROW())/10000)</f>
        <v/>
      </c>
    </row>
    <row r="4749">
      <c r="K4749">
        <f>IF($A4749="","",SUM($E4749:$J4749))</f>
        <v/>
      </c>
      <c r="M4749">
        <f>IF($A4749="","",MAX(0,ROUNDUP(DASHBOARD!$F$3-$D4749,0)))</f>
        <v/>
      </c>
      <c r="N4749">
        <f>IF($A4749="","",$K4749+(5002-ROW())/10000)</f>
        <v/>
      </c>
    </row>
    <row r="4750">
      <c r="K4750">
        <f>IF($A4750="","",SUM($E4750:$J4750))</f>
        <v/>
      </c>
      <c r="M4750">
        <f>IF($A4750="","",MAX(0,ROUNDUP(DASHBOARD!$F$3-$D4750,0)))</f>
        <v/>
      </c>
      <c r="N4750">
        <f>IF($A4750="","",$K4750+(5002-ROW())/10000)</f>
        <v/>
      </c>
    </row>
    <row r="4751">
      <c r="K4751">
        <f>IF($A4751="","",SUM($E4751:$J4751))</f>
        <v/>
      </c>
      <c r="M4751">
        <f>IF($A4751="","",MAX(0,ROUNDUP(DASHBOARD!$F$3-$D4751,0)))</f>
        <v/>
      </c>
      <c r="N4751">
        <f>IF($A4751="","",$K4751+(5002-ROW())/10000)</f>
        <v/>
      </c>
    </row>
    <row r="4752">
      <c r="K4752">
        <f>IF($A4752="","",SUM($E4752:$J4752))</f>
        <v/>
      </c>
      <c r="M4752">
        <f>IF($A4752="","",MAX(0,ROUNDUP(DASHBOARD!$F$3-$D4752,0)))</f>
        <v/>
      </c>
      <c r="N4752">
        <f>IF($A4752="","",$K4752+(5002-ROW())/10000)</f>
        <v/>
      </c>
    </row>
    <row r="4753">
      <c r="K4753">
        <f>IF($A4753="","",SUM($E4753:$J4753))</f>
        <v/>
      </c>
      <c r="M4753">
        <f>IF($A4753="","",MAX(0,ROUNDUP(DASHBOARD!$F$3-$D4753,0)))</f>
        <v/>
      </c>
      <c r="N4753">
        <f>IF($A4753="","",$K4753+(5002-ROW())/10000)</f>
        <v/>
      </c>
    </row>
    <row r="4754">
      <c r="K4754">
        <f>IF($A4754="","",SUM($E4754:$J4754))</f>
        <v/>
      </c>
      <c r="M4754">
        <f>IF($A4754="","",MAX(0,ROUNDUP(DASHBOARD!$F$3-$D4754,0)))</f>
        <v/>
      </c>
      <c r="N4754">
        <f>IF($A4754="","",$K4754+(5002-ROW())/10000)</f>
        <v/>
      </c>
    </row>
    <row r="4755">
      <c r="K4755">
        <f>IF($A4755="","",SUM($E4755:$J4755))</f>
        <v/>
      </c>
      <c r="M4755">
        <f>IF($A4755="","",MAX(0,ROUNDUP(DASHBOARD!$F$3-$D4755,0)))</f>
        <v/>
      </c>
      <c r="N4755">
        <f>IF($A4755="","",$K4755+(5002-ROW())/10000)</f>
        <v/>
      </c>
    </row>
    <row r="4756">
      <c r="K4756">
        <f>IF($A4756="","",SUM($E4756:$J4756))</f>
        <v/>
      </c>
      <c r="M4756">
        <f>IF($A4756="","",MAX(0,ROUNDUP(DASHBOARD!$F$3-$D4756,0)))</f>
        <v/>
      </c>
      <c r="N4756">
        <f>IF($A4756="","",$K4756+(5002-ROW())/10000)</f>
        <v/>
      </c>
    </row>
    <row r="4757">
      <c r="K4757">
        <f>IF($A4757="","",SUM($E4757:$J4757))</f>
        <v/>
      </c>
      <c r="M4757">
        <f>IF($A4757="","",MAX(0,ROUNDUP(DASHBOARD!$F$3-$D4757,0)))</f>
        <v/>
      </c>
      <c r="N4757">
        <f>IF($A4757="","",$K4757+(5002-ROW())/10000)</f>
        <v/>
      </c>
    </row>
    <row r="4758">
      <c r="K4758">
        <f>IF($A4758="","",SUM($E4758:$J4758))</f>
        <v/>
      </c>
      <c r="M4758">
        <f>IF($A4758="","",MAX(0,ROUNDUP(DASHBOARD!$F$3-$D4758,0)))</f>
        <v/>
      </c>
      <c r="N4758">
        <f>IF($A4758="","",$K4758+(5002-ROW())/10000)</f>
        <v/>
      </c>
    </row>
    <row r="4759">
      <c r="K4759">
        <f>IF($A4759="","",SUM($E4759:$J4759))</f>
        <v/>
      </c>
      <c r="M4759">
        <f>IF($A4759="","",MAX(0,ROUNDUP(DASHBOARD!$F$3-$D4759,0)))</f>
        <v/>
      </c>
      <c r="N4759">
        <f>IF($A4759="","",$K4759+(5002-ROW())/10000)</f>
        <v/>
      </c>
    </row>
    <row r="4760">
      <c r="K4760">
        <f>IF($A4760="","",SUM($E4760:$J4760))</f>
        <v/>
      </c>
      <c r="M4760">
        <f>IF($A4760="","",MAX(0,ROUNDUP(DASHBOARD!$F$3-$D4760,0)))</f>
        <v/>
      </c>
      <c r="N4760">
        <f>IF($A4760="","",$K4760+(5002-ROW())/10000)</f>
        <v/>
      </c>
    </row>
    <row r="4761">
      <c r="K4761">
        <f>IF($A4761="","",SUM($E4761:$J4761))</f>
        <v/>
      </c>
      <c r="M4761">
        <f>IF($A4761="","",MAX(0,ROUNDUP(DASHBOARD!$F$3-$D4761,0)))</f>
        <v/>
      </c>
      <c r="N4761">
        <f>IF($A4761="","",$K4761+(5002-ROW())/10000)</f>
        <v/>
      </c>
    </row>
    <row r="4762">
      <c r="K4762">
        <f>IF($A4762="","",SUM($E4762:$J4762))</f>
        <v/>
      </c>
      <c r="M4762">
        <f>IF($A4762="","",MAX(0,ROUNDUP(DASHBOARD!$F$3-$D4762,0)))</f>
        <v/>
      </c>
      <c r="N4762">
        <f>IF($A4762="","",$K4762+(5002-ROW())/10000)</f>
        <v/>
      </c>
    </row>
    <row r="4763">
      <c r="K4763">
        <f>IF($A4763="","",SUM($E4763:$J4763))</f>
        <v/>
      </c>
      <c r="M4763">
        <f>IF($A4763="","",MAX(0,ROUNDUP(DASHBOARD!$F$3-$D4763,0)))</f>
        <v/>
      </c>
      <c r="N4763">
        <f>IF($A4763="","",$K4763+(5002-ROW())/10000)</f>
        <v/>
      </c>
    </row>
    <row r="4764">
      <c r="K4764">
        <f>IF($A4764="","",SUM($E4764:$J4764))</f>
        <v/>
      </c>
      <c r="M4764">
        <f>IF($A4764="","",MAX(0,ROUNDUP(DASHBOARD!$F$3-$D4764,0)))</f>
        <v/>
      </c>
      <c r="N4764">
        <f>IF($A4764="","",$K4764+(5002-ROW())/10000)</f>
        <v/>
      </c>
    </row>
    <row r="4765">
      <c r="K4765">
        <f>IF($A4765="","",SUM($E4765:$J4765))</f>
        <v/>
      </c>
      <c r="M4765">
        <f>IF($A4765="","",MAX(0,ROUNDUP(DASHBOARD!$F$3-$D4765,0)))</f>
        <v/>
      </c>
      <c r="N4765">
        <f>IF($A4765="","",$K4765+(5002-ROW())/10000)</f>
        <v/>
      </c>
    </row>
    <row r="4766">
      <c r="K4766">
        <f>IF($A4766="","",SUM($E4766:$J4766))</f>
        <v/>
      </c>
      <c r="M4766">
        <f>IF($A4766="","",MAX(0,ROUNDUP(DASHBOARD!$F$3-$D4766,0)))</f>
        <v/>
      </c>
      <c r="N4766">
        <f>IF($A4766="","",$K4766+(5002-ROW())/10000)</f>
        <v/>
      </c>
    </row>
    <row r="4767">
      <c r="K4767">
        <f>IF($A4767="","",SUM($E4767:$J4767))</f>
        <v/>
      </c>
      <c r="M4767">
        <f>IF($A4767="","",MAX(0,ROUNDUP(DASHBOARD!$F$3-$D4767,0)))</f>
        <v/>
      </c>
      <c r="N4767">
        <f>IF($A4767="","",$K4767+(5002-ROW())/10000)</f>
        <v/>
      </c>
    </row>
    <row r="4768">
      <c r="K4768">
        <f>IF($A4768="","",SUM($E4768:$J4768))</f>
        <v/>
      </c>
      <c r="M4768">
        <f>IF($A4768="","",MAX(0,ROUNDUP(DASHBOARD!$F$3-$D4768,0)))</f>
        <v/>
      </c>
      <c r="N4768">
        <f>IF($A4768="","",$K4768+(5002-ROW())/10000)</f>
        <v/>
      </c>
    </row>
    <row r="4769">
      <c r="K4769">
        <f>IF($A4769="","",SUM($E4769:$J4769))</f>
        <v/>
      </c>
      <c r="M4769">
        <f>IF($A4769="","",MAX(0,ROUNDUP(DASHBOARD!$F$3-$D4769,0)))</f>
        <v/>
      </c>
      <c r="N4769">
        <f>IF($A4769="","",$K4769+(5002-ROW())/10000)</f>
        <v/>
      </c>
    </row>
    <row r="4770">
      <c r="K4770">
        <f>IF($A4770="","",SUM($E4770:$J4770))</f>
        <v/>
      </c>
      <c r="M4770">
        <f>IF($A4770="","",MAX(0,ROUNDUP(DASHBOARD!$F$3-$D4770,0)))</f>
        <v/>
      </c>
      <c r="N4770">
        <f>IF($A4770="","",$K4770+(5002-ROW())/10000)</f>
        <v/>
      </c>
    </row>
    <row r="4771">
      <c r="K4771">
        <f>IF($A4771="","",SUM($E4771:$J4771))</f>
        <v/>
      </c>
      <c r="M4771">
        <f>IF($A4771="","",MAX(0,ROUNDUP(DASHBOARD!$F$3-$D4771,0)))</f>
        <v/>
      </c>
      <c r="N4771">
        <f>IF($A4771="","",$K4771+(5002-ROW())/10000)</f>
        <v/>
      </c>
    </row>
    <row r="4772">
      <c r="K4772">
        <f>IF($A4772="","",SUM($E4772:$J4772))</f>
        <v/>
      </c>
      <c r="M4772">
        <f>IF($A4772="","",MAX(0,ROUNDUP(DASHBOARD!$F$3-$D4772,0)))</f>
        <v/>
      </c>
      <c r="N4772">
        <f>IF($A4772="","",$K4772+(5002-ROW())/10000)</f>
        <v/>
      </c>
    </row>
    <row r="4773">
      <c r="K4773">
        <f>IF($A4773="","",SUM($E4773:$J4773))</f>
        <v/>
      </c>
      <c r="M4773">
        <f>IF($A4773="","",MAX(0,ROUNDUP(DASHBOARD!$F$3-$D4773,0)))</f>
        <v/>
      </c>
      <c r="N4773">
        <f>IF($A4773="","",$K4773+(5002-ROW())/10000)</f>
        <v/>
      </c>
    </row>
    <row r="4774">
      <c r="K4774">
        <f>IF($A4774="","",SUM($E4774:$J4774))</f>
        <v/>
      </c>
      <c r="M4774">
        <f>IF($A4774="","",MAX(0,ROUNDUP(DASHBOARD!$F$3-$D4774,0)))</f>
        <v/>
      </c>
      <c r="N4774">
        <f>IF($A4774="","",$K4774+(5002-ROW())/10000)</f>
        <v/>
      </c>
    </row>
    <row r="4775">
      <c r="K4775">
        <f>IF($A4775="","",SUM($E4775:$J4775))</f>
        <v/>
      </c>
      <c r="M4775">
        <f>IF($A4775="","",MAX(0,ROUNDUP(DASHBOARD!$F$3-$D4775,0)))</f>
        <v/>
      </c>
      <c r="N4775">
        <f>IF($A4775="","",$K4775+(5002-ROW())/10000)</f>
        <v/>
      </c>
    </row>
    <row r="4776">
      <c r="K4776">
        <f>IF($A4776="","",SUM($E4776:$J4776))</f>
        <v/>
      </c>
      <c r="M4776">
        <f>IF($A4776="","",MAX(0,ROUNDUP(DASHBOARD!$F$3-$D4776,0)))</f>
        <v/>
      </c>
      <c r="N4776">
        <f>IF($A4776="","",$K4776+(5002-ROW())/10000)</f>
        <v/>
      </c>
    </row>
    <row r="4777">
      <c r="K4777">
        <f>IF($A4777="","",SUM($E4777:$J4777))</f>
        <v/>
      </c>
      <c r="M4777">
        <f>IF($A4777="","",MAX(0,ROUNDUP(DASHBOARD!$F$3-$D4777,0)))</f>
        <v/>
      </c>
      <c r="N4777">
        <f>IF($A4777="","",$K4777+(5002-ROW())/10000)</f>
        <v/>
      </c>
    </row>
    <row r="4778">
      <c r="K4778">
        <f>IF($A4778="","",SUM($E4778:$J4778))</f>
        <v/>
      </c>
      <c r="M4778">
        <f>IF($A4778="","",MAX(0,ROUNDUP(DASHBOARD!$F$3-$D4778,0)))</f>
        <v/>
      </c>
      <c r="N4778">
        <f>IF($A4778="","",$K4778+(5002-ROW())/10000)</f>
        <v/>
      </c>
    </row>
    <row r="4779">
      <c r="K4779">
        <f>IF($A4779="","",SUM($E4779:$J4779))</f>
        <v/>
      </c>
      <c r="M4779">
        <f>IF($A4779="","",MAX(0,ROUNDUP(DASHBOARD!$F$3-$D4779,0)))</f>
        <v/>
      </c>
      <c r="N4779">
        <f>IF($A4779="","",$K4779+(5002-ROW())/10000)</f>
        <v/>
      </c>
    </row>
    <row r="4780">
      <c r="K4780">
        <f>IF($A4780="","",SUM($E4780:$J4780))</f>
        <v/>
      </c>
      <c r="M4780">
        <f>IF($A4780="","",MAX(0,ROUNDUP(DASHBOARD!$F$3-$D4780,0)))</f>
        <v/>
      </c>
      <c r="N4780">
        <f>IF($A4780="","",$K4780+(5002-ROW())/10000)</f>
        <v/>
      </c>
    </row>
    <row r="4781">
      <c r="K4781">
        <f>IF($A4781="","",SUM($E4781:$J4781))</f>
        <v/>
      </c>
      <c r="M4781">
        <f>IF($A4781="","",MAX(0,ROUNDUP(DASHBOARD!$F$3-$D4781,0)))</f>
        <v/>
      </c>
      <c r="N4781">
        <f>IF($A4781="","",$K4781+(5002-ROW())/10000)</f>
        <v/>
      </c>
    </row>
    <row r="4782">
      <c r="K4782">
        <f>IF($A4782="","",SUM($E4782:$J4782))</f>
        <v/>
      </c>
      <c r="M4782">
        <f>IF($A4782="","",MAX(0,ROUNDUP(DASHBOARD!$F$3-$D4782,0)))</f>
        <v/>
      </c>
      <c r="N4782">
        <f>IF($A4782="","",$K4782+(5002-ROW())/10000)</f>
        <v/>
      </c>
    </row>
    <row r="4783">
      <c r="K4783">
        <f>IF($A4783="","",SUM($E4783:$J4783))</f>
        <v/>
      </c>
      <c r="M4783">
        <f>IF($A4783="","",MAX(0,ROUNDUP(DASHBOARD!$F$3-$D4783,0)))</f>
        <v/>
      </c>
      <c r="N4783">
        <f>IF($A4783="","",$K4783+(5002-ROW())/10000)</f>
        <v/>
      </c>
    </row>
    <row r="4784">
      <c r="K4784">
        <f>IF($A4784="","",SUM($E4784:$J4784))</f>
        <v/>
      </c>
      <c r="M4784">
        <f>IF($A4784="","",MAX(0,ROUNDUP(DASHBOARD!$F$3-$D4784,0)))</f>
        <v/>
      </c>
      <c r="N4784">
        <f>IF($A4784="","",$K4784+(5002-ROW())/10000)</f>
        <v/>
      </c>
    </row>
    <row r="4785">
      <c r="K4785">
        <f>IF($A4785="","",SUM($E4785:$J4785))</f>
        <v/>
      </c>
      <c r="M4785">
        <f>IF($A4785="","",MAX(0,ROUNDUP(DASHBOARD!$F$3-$D4785,0)))</f>
        <v/>
      </c>
      <c r="N4785">
        <f>IF($A4785="","",$K4785+(5002-ROW())/10000)</f>
        <v/>
      </c>
    </row>
    <row r="4786">
      <c r="K4786">
        <f>IF($A4786="","",SUM($E4786:$J4786))</f>
        <v/>
      </c>
      <c r="M4786">
        <f>IF($A4786="","",MAX(0,ROUNDUP(DASHBOARD!$F$3-$D4786,0)))</f>
        <v/>
      </c>
      <c r="N4786">
        <f>IF($A4786="","",$K4786+(5002-ROW())/10000)</f>
        <v/>
      </c>
    </row>
    <row r="4787">
      <c r="K4787">
        <f>IF($A4787="","",SUM($E4787:$J4787))</f>
        <v/>
      </c>
      <c r="M4787">
        <f>IF($A4787="","",MAX(0,ROUNDUP(DASHBOARD!$F$3-$D4787,0)))</f>
        <v/>
      </c>
      <c r="N4787">
        <f>IF($A4787="","",$K4787+(5002-ROW())/10000)</f>
        <v/>
      </c>
    </row>
    <row r="4788">
      <c r="K4788">
        <f>IF($A4788="","",SUM($E4788:$J4788))</f>
        <v/>
      </c>
      <c r="M4788">
        <f>IF($A4788="","",MAX(0,ROUNDUP(DASHBOARD!$F$3-$D4788,0)))</f>
        <v/>
      </c>
      <c r="N4788">
        <f>IF($A4788="","",$K4788+(5002-ROW())/10000)</f>
        <v/>
      </c>
    </row>
    <row r="4789">
      <c r="K4789">
        <f>IF($A4789="","",SUM($E4789:$J4789))</f>
        <v/>
      </c>
      <c r="M4789">
        <f>IF($A4789="","",MAX(0,ROUNDUP(DASHBOARD!$F$3-$D4789,0)))</f>
        <v/>
      </c>
      <c r="N4789">
        <f>IF($A4789="","",$K4789+(5002-ROW())/10000)</f>
        <v/>
      </c>
    </row>
    <row r="4790">
      <c r="K4790">
        <f>IF($A4790="","",SUM($E4790:$J4790))</f>
        <v/>
      </c>
      <c r="M4790">
        <f>IF($A4790="","",MAX(0,ROUNDUP(DASHBOARD!$F$3-$D4790,0)))</f>
        <v/>
      </c>
      <c r="N4790">
        <f>IF($A4790="","",$K4790+(5002-ROW())/10000)</f>
        <v/>
      </c>
    </row>
    <row r="4791">
      <c r="K4791">
        <f>IF($A4791="","",SUM($E4791:$J4791))</f>
        <v/>
      </c>
      <c r="M4791">
        <f>IF($A4791="","",MAX(0,ROUNDUP(DASHBOARD!$F$3-$D4791,0)))</f>
        <v/>
      </c>
      <c r="N4791">
        <f>IF($A4791="","",$K4791+(5002-ROW())/10000)</f>
        <v/>
      </c>
    </row>
    <row r="4792">
      <c r="K4792">
        <f>IF($A4792="","",SUM($E4792:$J4792))</f>
        <v/>
      </c>
      <c r="M4792">
        <f>IF($A4792="","",MAX(0,ROUNDUP(DASHBOARD!$F$3-$D4792,0)))</f>
        <v/>
      </c>
      <c r="N4792">
        <f>IF($A4792="","",$K4792+(5002-ROW())/10000)</f>
        <v/>
      </c>
    </row>
    <row r="4793">
      <c r="K4793">
        <f>IF($A4793="","",SUM($E4793:$J4793))</f>
        <v/>
      </c>
      <c r="M4793">
        <f>IF($A4793="","",MAX(0,ROUNDUP(DASHBOARD!$F$3-$D4793,0)))</f>
        <v/>
      </c>
      <c r="N4793">
        <f>IF($A4793="","",$K4793+(5002-ROW())/10000)</f>
        <v/>
      </c>
    </row>
    <row r="4794">
      <c r="K4794">
        <f>IF($A4794="","",SUM($E4794:$J4794))</f>
        <v/>
      </c>
      <c r="M4794">
        <f>IF($A4794="","",MAX(0,ROUNDUP(DASHBOARD!$F$3-$D4794,0)))</f>
        <v/>
      </c>
      <c r="N4794">
        <f>IF($A4794="","",$K4794+(5002-ROW())/10000)</f>
        <v/>
      </c>
    </row>
    <row r="4795">
      <c r="K4795">
        <f>IF($A4795="","",SUM($E4795:$J4795))</f>
        <v/>
      </c>
      <c r="M4795">
        <f>IF($A4795="","",MAX(0,ROUNDUP(DASHBOARD!$F$3-$D4795,0)))</f>
        <v/>
      </c>
      <c r="N4795">
        <f>IF($A4795="","",$K4795+(5002-ROW())/10000)</f>
        <v/>
      </c>
    </row>
    <row r="4796">
      <c r="K4796">
        <f>IF($A4796="","",SUM($E4796:$J4796))</f>
        <v/>
      </c>
      <c r="M4796">
        <f>IF($A4796="","",MAX(0,ROUNDUP(DASHBOARD!$F$3-$D4796,0)))</f>
        <v/>
      </c>
      <c r="N4796">
        <f>IF($A4796="","",$K4796+(5002-ROW())/10000)</f>
        <v/>
      </c>
    </row>
    <row r="4797">
      <c r="K4797">
        <f>IF($A4797="","",SUM($E4797:$J4797))</f>
        <v/>
      </c>
      <c r="M4797">
        <f>IF($A4797="","",MAX(0,ROUNDUP(DASHBOARD!$F$3-$D4797,0)))</f>
        <v/>
      </c>
      <c r="N4797">
        <f>IF($A4797="","",$K4797+(5002-ROW())/10000)</f>
        <v/>
      </c>
    </row>
    <row r="4798">
      <c r="K4798">
        <f>IF($A4798="","",SUM($E4798:$J4798))</f>
        <v/>
      </c>
      <c r="M4798">
        <f>IF($A4798="","",MAX(0,ROUNDUP(DASHBOARD!$F$3-$D4798,0)))</f>
        <v/>
      </c>
      <c r="N4798">
        <f>IF($A4798="","",$K4798+(5002-ROW())/10000)</f>
        <v/>
      </c>
    </row>
    <row r="4799">
      <c r="K4799">
        <f>IF($A4799="","",SUM($E4799:$J4799))</f>
        <v/>
      </c>
      <c r="M4799">
        <f>IF($A4799="","",MAX(0,ROUNDUP(DASHBOARD!$F$3-$D4799,0)))</f>
        <v/>
      </c>
      <c r="N4799">
        <f>IF($A4799="","",$K4799+(5002-ROW())/10000)</f>
        <v/>
      </c>
    </row>
    <row r="4800">
      <c r="K4800">
        <f>IF($A4800="","",SUM($E4800:$J4800))</f>
        <v/>
      </c>
      <c r="M4800">
        <f>IF($A4800="","",MAX(0,ROUNDUP(DASHBOARD!$F$3-$D4800,0)))</f>
        <v/>
      </c>
      <c r="N4800">
        <f>IF($A4800="","",$K4800+(5002-ROW())/10000)</f>
        <v/>
      </c>
    </row>
    <row r="4801">
      <c r="K4801">
        <f>IF($A4801="","",SUM($E4801:$J4801))</f>
        <v/>
      </c>
      <c r="M4801">
        <f>IF($A4801="","",MAX(0,ROUNDUP(DASHBOARD!$F$3-$D4801,0)))</f>
        <v/>
      </c>
      <c r="N4801">
        <f>IF($A4801="","",$K4801+(5002-ROW())/10000)</f>
        <v/>
      </c>
    </row>
    <row r="4802">
      <c r="K4802">
        <f>IF($A4802="","",SUM($E4802:$J4802))</f>
        <v/>
      </c>
      <c r="M4802">
        <f>IF($A4802="","",MAX(0,ROUNDUP(DASHBOARD!$F$3-$D4802,0)))</f>
        <v/>
      </c>
      <c r="N4802">
        <f>IF($A4802="","",$K4802+(5002-ROW())/10000)</f>
        <v/>
      </c>
    </row>
    <row r="4803">
      <c r="K4803">
        <f>IF($A4803="","",SUM($E4803:$J4803))</f>
        <v/>
      </c>
      <c r="M4803">
        <f>IF($A4803="","",MAX(0,ROUNDUP(DASHBOARD!$F$3-$D4803,0)))</f>
        <v/>
      </c>
      <c r="N4803">
        <f>IF($A4803="","",$K4803+(5002-ROW())/10000)</f>
        <v/>
      </c>
    </row>
    <row r="4804">
      <c r="K4804">
        <f>IF($A4804="","",SUM($E4804:$J4804))</f>
        <v/>
      </c>
      <c r="M4804">
        <f>IF($A4804="","",MAX(0,ROUNDUP(DASHBOARD!$F$3-$D4804,0)))</f>
        <v/>
      </c>
      <c r="N4804">
        <f>IF($A4804="","",$K4804+(5002-ROW())/10000)</f>
        <v/>
      </c>
    </row>
    <row r="4805">
      <c r="K4805">
        <f>IF($A4805="","",SUM($E4805:$J4805))</f>
        <v/>
      </c>
      <c r="M4805">
        <f>IF($A4805="","",MAX(0,ROUNDUP(DASHBOARD!$F$3-$D4805,0)))</f>
        <v/>
      </c>
      <c r="N4805">
        <f>IF($A4805="","",$K4805+(5002-ROW())/10000)</f>
        <v/>
      </c>
    </row>
    <row r="4806">
      <c r="K4806">
        <f>IF($A4806="","",SUM($E4806:$J4806))</f>
        <v/>
      </c>
      <c r="M4806">
        <f>IF($A4806="","",MAX(0,ROUNDUP(DASHBOARD!$F$3-$D4806,0)))</f>
        <v/>
      </c>
      <c r="N4806">
        <f>IF($A4806="","",$K4806+(5002-ROW())/10000)</f>
        <v/>
      </c>
    </row>
    <row r="4807">
      <c r="K4807">
        <f>IF($A4807="","",SUM($E4807:$J4807))</f>
        <v/>
      </c>
      <c r="M4807">
        <f>IF($A4807="","",MAX(0,ROUNDUP(DASHBOARD!$F$3-$D4807,0)))</f>
        <v/>
      </c>
      <c r="N4807">
        <f>IF($A4807="","",$K4807+(5002-ROW())/10000)</f>
        <v/>
      </c>
    </row>
    <row r="4808">
      <c r="K4808">
        <f>IF($A4808="","",SUM($E4808:$J4808))</f>
        <v/>
      </c>
      <c r="M4808">
        <f>IF($A4808="","",MAX(0,ROUNDUP(DASHBOARD!$F$3-$D4808,0)))</f>
        <v/>
      </c>
      <c r="N4808">
        <f>IF($A4808="","",$K4808+(5002-ROW())/10000)</f>
        <v/>
      </c>
    </row>
    <row r="4809">
      <c r="K4809">
        <f>IF($A4809="","",SUM($E4809:$J4809))</f>
        <v/>
      </c>
      <c r="M4809">
        <f>IF($A4809="","",MAX(0,ROUNDUP(DASHBOARD!$F$3-$D4809,0)))</f>
        <v/>
      </c>
      <c r="N4809">
        <f>IF($A4809="","",$K4809+(5002-ROW())/10000)</f>
        <v/>
      </c>
    </row>
    <row r="4810">
      <c r="K4810">
        <f>IF($A4810="","",SUM($E4810:$J4810))</f>
        <v/>
      </c>
      <c r="M4810">
        <f>IF($A4810="","",MAX(0,ROUNDUP(DASHBOARD!$F$3-$D4810,0)))</f>
        <v/>
      </c>
      <c r="N4810">
        <f>IF($A4810="","",$K4810+(5002-ROW())/10000)</f>
        <v/>
      </c>
    </row>
    <row r="4811">
      <c r="K4811">
        <f>IF($A4811="","",SUM($E4811:$J4811))</f>
        <v/>
      </c>
      <c r="M4811">
        <f>IF($A4811="","",MAX(0,ROUNDUP(DASHBOARD!$F$3-$D4811,0)))</f>
        <v/>
      </c>
      <c r="N4811">
        <f>IF($A4811="","",$K4811+(5002-ROW())/10000)</f>
        <v/>
      </c>
    </row>
    <row r="4812">
      <c r="K4812">
        <f>IF($A4812="","",SUM($E4812:$J4812))</f>
        <v/>
      </c>
      <c r="M4812">
        <f>IF($A4812="","",MAX(0,ROUNDUP(DASHBOARD!$F$3-$D4812,0)))</f>
        <v/>
      </c>
      <c r="N4812">
        <f>IF($A4812="","",$K4812+(5002-ROW())/10000)</f>
        <v/>
      </c>
    </row>
    <row r="4813">
      <c r="K4813">
        <f>IF($A4813="","",SUM($E4813:$J4813))</f>
        <v/>
      </c>
      <c r="M4813">
        <f>IF($A4813="","",MAX(0,ROUNDUP(DASHBOARD!$F$3-$D4813,0)))</f>
        <v/>
      </c>
      <c r="N4813">
        <f>IF($A4813="","",$K4813+(5002-ROW())/10000)</f>
        <v/>
      </c>
    </row>
    <row r="4814">
      <c r="K4814">
        <f>IF($A4814="","",SUM($E4814:$J4814))</f>
        <v/>
      </c>
      <c r="M4814">
        <f>IF($A4814="","",MAX(0,ROUNDUP(DASHBOARD!$F$3-$D4814,0)))</f>
        <v/>
      </c>
      <c r="N4814">
        <f>IF($A4814="","",$K4814+(5002-ROW())/10000)</f>
        <v/>
      </c>
    </row>
    <row r="4815">
      <c r="K4815">
        <f>IF($A4815="","",SUM($E4815:$J4815))</f>
        <v/>
      </c>
      <c r="M4815">
        <f>IF($A4815="","",MAX(0,ROUNDUP(DASHBOARD!$F$3-$D4815,0)))</f>
        <v/>
      </c>
      <c r="N4815">
        <f>IF($A4815="","",$K4815+(5002-ROW())/10000)</f>
        <v/>
      </c>
    </row>
    <row r="4816">
      <c r="K4816">
        <f>IF($A4816="","",SUM($E4816:$J4816))</f>
        <v/>
      </c>
      <c r="M4816">
        <f>IF($A4816="","",MAX(0,ROUNDUP(DASHBOARD!$F$3-$D4816,0)))</f>
        <v/>
      </c>
      <c r="N4816">
        <f>IF($A4816="","",$K4816+(5002-ROW())/10000)</f>
        <v/>
      </c>
    </row>
    <row r="4817">
      <c r="K4817">
        <f>IF($A4817="","",SUM($E4817:$J4817))</f>
        <v/>
      </c>
      <c r="M4817">
        <f>IF($A4817="","",MAX(0,ROUNDUP(DASHBOARD!$F$3-$D4817,0)))</f>
        <v/>
      </c>
      <c r="N4817">
        <f>IF($A4817="","",$K4817+(5002-ROW())/10000)</f>
        <v/>
      </c>
    </row>
    <row r="4818">
      <c r="K4818">
        <f>IF($A4818="","",SUM($E4818:$J4818))</f>
        <v/>
      </c>
      <c r="M4818">
        <f>IF($A4818="","",MAX(0,ROUNDUP(DASHBOARD!$F$3-$D4818,0)))</f>
        <v/>
      </c>
      <c r="N4818">
        <f>IF($A4818="","",$K4818+(5002-ROW())/10000)</f>
        <v/>
      </c>
    </row>
    <row r="4819">
      <c r="K4819">
        <f>IF($A4819="","",SUM($E4819:$J4819))</f>
        <v/>
      </c>
      <c r="M4819">
        <f>IF($A4819="","",MAX(0,ROUNDUP(DASHBOARD!$F$3-$D4819,0)))</f>
        <v/>
      </c>
      <c r="N4819">
        <f>IF($A4819="","",$K4819+(5002-ROW())/10000)</f>
        <v/>
      </c>
    </row>
    <row r="4820">
      <c r="K4820">
        <f>IF($A4820="","",SUM($E4820:$J4820))</f>
        <v/>
      </c>
      <c r="M4820">
        <f>IF($A4820="","",MAX(0,ROUNDUP(DASHBOARD!$F$3-$D4820,0)))</f>
        <v/>
      </c>
      <c r="N4820">
        <f>IF($A4820="","",$K4820+(5002-ROW())/10000)</f>
        <v/>
      </c>
    </row>
    <row r="4821">
      <c r="K4821">
        <f>IF($A4821="","",SUM($E4821:$J4821))</f>
        <v/>
      </c>
      <c r="M4821">
        <f>IF($A4821="","",MAX(0,ROUNDUP(DASHBOARD!$F$3-$D4821,0)))</f>
        <v/>
      </c>
      <c r="N4821">
        <f>IF($A4821="","",$K4821+(5002-ROW())/10000)</f>
        <v/>
      </c>
    </row>
    <row r="4822">
      <c r="K4822">
        <f>IF($A4822="","",SUM($E4822:$J4822))</f>
        <v/>
      </c>
      <c r="M4822">
        <f>IF($A4822="","",MAX(0,ROUNDUP(DASHBOARD!$F$3-$D4822,0)))</f>
        <v/>
      </c>
      <c r="N4822">
        <f>IF($A4822="","",$K4822+(5002-ROW())/10000)</f>
        <v/>
      </c>
    </row>
    <row r="4823">
      <c r="K4823">
        <f>IF($A4823="","",SUM($E4823:$J4823))</f>
        <v/>
      </c>
      <c r="M4823">
        <f>IF($A4823="","",MAX(0,ROUNDUP(DASHBOARD!$F$3-$D4823,0)))</f>
        <v/>
      </c>
      <c r="N4823">
        <f>IF($A4823="","",$K4823+(5002-ROW())/10000)</f>
        <v/>
      </c>
    </row>
    <row r="4824">
      <c r="K4824">
        <f>IF($A4824="","",SUM($E4824:$J4824))</f>
        <v/>
      </c>
      <c r="M4824">
        <f>IF($A4824="","",MAX(0,ROUNDUP(DASHBOARD!$F$3-$D4824,0)))</f>
        <v/>
      </c>
      <c r="N4824">
        <f>IF($A4824="","",$K4824+(5002-ROW())/10000)</f>
        <v/>
      </c>
    </row>
    <row r="4825">
      <c r="K4825">
        <f>IF($A4825="","",SUM($E4825:$J4825))</f>
        <v/>
      </c>
      <c r="M4825">
        <f>IF($A4825="","",MAX(0,ROUNDUP(DASHBOARD!$F$3-$D4825,0)))</f>
        <v/>
      </c>
      <c r="N4825">
        <f>IF($A4825="","",$K4825+(5002-ROW())/10000)</f>
        <v/>
      </c>
    </row>
    <row r="4826">
      <c r="K4826">
        <f>IF($A4826="","",SUM($E4826:$J4826))</f>
        <v/>
      </c>
      <c r="M4826">
        <f>IF($A4826="","",MAX(0,ROUNDUP(DASHBOARD!$F$3-$D4826,0)))</f>
        <v/>
      </c>
      <c r="N4826">
        <f>IF($A4826="","",$K4826+(5002-ROW())/10000)</f>
        <v/>
      </c>
    </row>
    <row r="4827">
      <c r="K4827">
        <f>IF($A4827="","",SUM($E4827:$J4827))</f>
        <v/>
      </c>
      <c r="M4827">
        <f>IF($A4827="","",MAX(0,ROUNDUP(DASHBOARD!$F$3-$D4827,0)))</f>
        <v/>
      </c>
      <c r="N4827">
        <f>IF($A4827="","",$K4827+(5002-ROW())/10000)</f>
        <v/>
      </c>
    </row>
    <row r="4828">
      <c r="K4828">
        <f>IF($A4828="","",SUM($E4828:$J4828))</f>
        <v/>
      </c>
      <c r="M4828">
        <f>IF($A4828="","",MAX(0,ROUNDUP(DASHBOARD!$F$3-$D4828,0)))</f>
        <v/>
      </c>
      <c r="N4828">
        <f>IF($A4828="","",$K4828+(5002-ROW())/10000)</f>
        <v/>
      </c>
    </row>
    <row r="4829">
      <c r="K4829">
        <f>IF($A4829="","",SUM($E4829:$J4829))</f>
        <v/>
      </c>
      <c r="M4829">
        <f>IF($A4829="","",MAX(0,ROUNDUP(DASHBOARD!$F$3-$D4829,0)))</f>
        <v/>
      </c>
      <c r="N4829">
        <f>IF($A4829="","",$K4829+(5002-ROW())/10000)</f>
        <v/>
      </c>
    </row>
    <row r="4830">
      <c r="K4830">
        <f>IF($A4830="","",SUM($E4830:$J4830))</f>
        <v/>
      </c>
      <c r="M4830">
        <f>IF($A4830="","",MAX(0,ROUNDUP(DASHBOARD!$F$3-$D4830,0)))</f>
        <v/>
      </c>
      <c r="N4830">
        <f>IF($A4830="","",$K4830+(5002-ROW())/10000)</f>
        <v/>
      </c>
    </row>
    <row r="4831">
      <c r="K4831">
        <f>IF($A4831="","",SUM($E4831:$J4831))</f>
        <v/>
      </c>
      <c r="M4831">
        <f>IF($A4831="","",MAX(0,ROUNDUP(DASHBOARD!$F$3-$D4831,0)))</f>
        <v/>
      </c>
      <c r="N4831">
        <f>IF($A4831="","",$K4831+(5002-ROW())/10000)</f>
        <v/>
      </c>
    </row>
    <row r="4832">
      <c r="K4832">
        <f>IF($A4832="","",SUM($E4832:$J4832))</f>
        <v/>
      </c>
      <c r="M4832">
        <f>IF($A4832="","",MAX(0,ROUNDUP(DASHBOARD!$F$3-$D4832,0)))</f>
        <v/>
      </c>
      <c r="N4832">
        <f>IF($A4832="","",$K4832+(5002-ROW())/10000)</f>
        <v/>
      </c>
    </row>
    <row r="4833">
      <c r="K4833">
        <f>IF($A4833="","",SUM($E4833:$J4833))</f>
        <v/>
      </c>
      <c r="M4833">
        <f>IF($A4833="","",MAX(0,ROUNDUP(DASHBOARD!$F$3-$D4833,0)))</f>
        <v/>
      </c>
      <c r="N4833">
        <f>IF($A4833="","",$K4833+(5002-ROW())/10000)</f>
        <v/>
      </c>
    </row>
    <row r="4834">
      <c r="K4834">
        <f>IF($A4834="","",SUM($E4834:$J4834))</f>
        <v/>
      </c>
      <c r="M4834">
        <f>IF($A4834="","",MAX(0,ROUNDUP(DASHBOARD!$F$3-$D4834,0)))</f>
        <v/>
      </c>
      <c r="N4834">
        <f>IF($A4834="","",$K4834+(5002-ROW())/10000)</f>
        <v/>
      </c>
    </row>
    <row r="4835">
      <c r="K4835">
        <f>IF($A4835="","",SUM($E4835:$J4835))</f>
        <v/>
      </c>
      <c r="M4835">
        <f>IF($A4835="","",MAX(0,ROUNDUP(DASHBOARD!$F$3-$D4835,0)))</f>
        <v/>
      </c>
      <c r="N4835">
        <f>IF($A4835="","",$K4835+(5002-ROW())/10000)</f>
        <v/>
      </c>
    </row>
    <row r="4836">
      <c r="K4836">
        <f>IF($A4836="","",SUM($E4836:$J4836))</f>
        <v/>
      </c>
      <c r="M4836">
        <f>IF($A4836="","",MAX(0,ROUNDUP(DASHBOARD!$F$3-$D4836,0)))</f>
        <v/>
      </c>
      <c r="N4836">
        <f>IF($A4836="","",$K4836+(5002-ROW())/10000)</f>
        <v/>
      </c>
    </row>
    <row r="4837">
      <c r="K4837">
        <f>IF($A4837="","",SUM($E4837:$J4837))</f>
        <v/>
      </c>
      <c r="M4837">
        <f>IF($A4837="","",MAX(0,ROUNDUP(DASHBOARD!$F$3-$D4837,0)))</f>
        <v/>
      </c>
      <c r="N4837">
        <f>IF($A4837="","",$K4837+(5002-ROW())/10000)</f>
        <v/>
      </c>
    </row>
    <row r="4838">
      <c r="K4838">
        <f>IF($A4838="","",SUM($E4838:$J4838))</f>
        <v/>
      </c>
      <c r="M4838">
        <f>IF($A4838="","",MAX(0,ROUNDUP(DASHBOARD!$F$3-$D4838,0)))</f>
        <v/>
      </c>
      <c r="N4838">
        <f>IF($A4838="","",$K4838+(5002-ROW())/10000)</f>
        <v/>
      </c>
    </row>
    <row r="4839">
      <c r="K4839">
        <f>IF($A4839="","",SUM($E4839:$J4839))</f>
        <v/>
      </c>
      <c r="M4839">
        <f>IF($A4839="","",MAX(0,ROUNDUP(DASHBOARD!$F$3-$D4839,0)))</f>
        <v/>
      </c>
      <c r="N4839">
        <f>IF($A4839="","",$K4839+(5002-ROW())/10000)</f>
        <v/>
      </c>
    </row>
    <row r="4840">
      <c r="K4840">
        <f>IF($A4840="","",SUM($E4840:$J4840))</f>
        <v/>
      </c>
      <c r="M4840">
        <f>IF($A4840="","",MAX(0,ROUNDUP(DASHBOARD!$F$3-$D4840,0)))</f>
        <v/>
      </c>
      <c r="N4840">
        <f>IF($A4840="","",$K4840+(5002-ROW())/10000)</f>
        <v/>
      </c>
    </row>
    <row r="4841">
      <c r="K4841">
        <f>IF($A4841="","",SUM($E4841:$J4841))</f>
        <v/>
      </c>
      <c r="M4841">
        <f>IF($A4841="","",MAX(0,ROUNDUP(DASHBOARD!$F$3-$D4841,0)))</f>
        <v/>
      </c>
      <c r="N4841">
        <f>IF($A4841="","",$K4841+(5002-ROW())/10000)</f>
        <v/>
      </c>
    </row>
    <row r="4842">
      <c r="K4842">
        <f>IF($A4842="","",SUM($E4842:$J4842))</f>
        <v/>
      </c>
      <c r="M4842">
        <f>IF($A4842="","",MAX(0,ROUNDUP(DASHBOARD!$F$3-$D4842,0)))</f>
        <v/>
      </c>
      <c r="N4842">
        <f>IF($A4842="","",$K4842+(5002-ROW())/10000)</f>
        <v/>
      </c>
    </row>
    <row r="4843">
      <c r="K4843">
        <f>IF($A4843="","",SUM($E4843:$J4843))</f>
        <v/>
      </c>
      <c r="M4843">
        <f>IF($A4843="","",MAX(0,ROUNDUP(DASHBOARD!$F$3-$D4843,0)))</f>
        <v/>
      </c>
      <c r="N4843">
        <f>IF($A4843="","",$K4843+(5002-ROW())/10000)</f>
        <v/>
      </c>
    </row>
    <row r="4844">
      <c r="K4844">
        <f>IF($A4844="","",SUM($E4844:$J4844))</f>
        <v/>
      </c>
      <c r="M4844">
        <f>IF($A4844="","",MAX(0,ROUNDUP(DASHBOARD!$F$3-$D4844,0)))</f>
        <v/>
      </c>
      <c r="N4844">
        <f>IF($A4844="","",$K4844+(5002-ROW())/10000)</f>
        <v/>
      </c>
    </row>
    <row r="4845">
      <c r="K4845">
        <f>IF($A4845="","",SUM($E4845:$J4845))</f>
        <v/>
      </c>
      <c r="M4845">
        <f>IF($A4845="","",MAX(0,ROUNDUP(DASHBOARD!$F$3-$D4845,0)))</f>
        <v/>
      </c>
      <c r="N4845">
        <f>IF($A4845="","",$K4845+(5002-ROW())/10000)</f>
        <v/>
      </c>
    </row>
    <row r="4846">
      <c r="K4846">
        <f>IF($A4846="","",SUM($E4846:$J4846))</f>
        <v/>
      </c>
      <c r="M4846">
        <f>IF($A4846="","",MAX(0,ROUNDUP(DASHBOARD!$F$3-$D4846,0)))</f>
        <v/>
      </c>
      <c r="N4846">
        <f>IF($A4846="","",$K4846+(5002-ROW())/10000)</f>
        <v/>
      </c>
    </row>
    <row r="4847">
      <c r="K4847">
        <f>IF($A4847="","",SUM($E4847:$J4847))</f>
        <v/>
      </c>
      <c r="M4847">
        <f>IF($A4847="","",MAX(0,ROUNDUP(DASHBOARD!$F$3-$D4847,0)))</f>
        <v/>
      </c>
      <c r="N4847">
        <f>IF($A4847="","",$K4847+(5002-ROW())/10000)</f>
        <v/>
      </c>
    </row>
    <row r="4848">
      <c r="K4848">
        <f>IF($A4848="","",SUM($E4848:$J4848))</f>
        <v/>
      </c>
      <c r="M4848">
        <f>IF($A4848="","",MAX(0,ROUNDUP(DASHBOARD!$F$3-$D4848,0)))</f>
        <v/>
      </c>
      <c r="N4848">
        <f>IF($A4848="","",$K4848+(5002-ROW())/10000)</f>
        <v/>
      </c>
    </row>
    <row r="4849">
      <c r="K4849">
        <f>IF($A4849="","",SUM($E4849:$J4849))</f>
        <v/>
      </c>
      <c r="M4849">
        <f>IF($A4849="","",MAX(0,ROUNDUP(DASHBOARD!$F$3-$D4849,0)))</f>
        <v/>
      </c>
      <c r="N4849">
        <f>IF($A4849="","",$K4849+(5002-ROW())/10000)</f>
        <v/>
      </c>
    </row>
    <row r="4850">
      <c r="K4850">
        <f>IF($A4850="","",SUM($E4850:$J4850))</f>
        <v/>
      </c>
      <c r="M4850">
        <f>IF($A4850="","",MAX(0,ROUNDUP(DASHBOARD!$F$3-$D4850,0)))</f>
        <v/>
      </c>
      <c r="N4850">
        <f>IF($A4850="","",$K4850+(5002-ROW())/10000)</f>
        <v/>
      </c>
    </row>
    <row r="4851">
      <c r="K4851">
        <f>IF($A4851="","",SUM($E4851:$J4851))</f>
        <v/>
      </c>
      <c r="M4851">
        <f>IF($A4851="","",MAX(0,ROUNDUP(DASHBOARD!$F$3-$D4851,0)))</f>
        <v/>
      </c>
      <c r="N4851">
        <f>IF($A4851="","",$K4851+(5002-ROW())/10000)</f>
        <v/>
      </c>
    </row>
    <row r="4852">
      <c r="K4852">
        <f>IF($A4852="","",SUM($E4852:$J4852))</f>
        <v/>
      </c>
      <c r="M4852">
        <f>IF($A4852="","",MAX(0,ROUNDUP(DASHBOARD!$F$3-$D4852,0)))</f>
        <v/>
      </c>
      <c r="N4852">
        <f>IF($A4852="","",$K4852+(5002-ROW())/10000)</f>
        <v/>
      </c>
    </row>
    <row r="4853">
      <c r="K4853">
        <f>IF($A4853="","",SUM($E4853:$J4853))</f>
        <v/>
      </c>
      <c r="M4853">
        <f>IF($A4853="","",MAX(0,ROUNDUP(DASHBOARD!$F$3-$D4853,0)))</f>
        <v/>
      </c>
      <c r="N4853">
        <f>IF($A4853="","",$K4853+(5002-ROW())/10000)</f>
        <v/>
      </c>
    </row>
    <row r="4854">
      <c r="K4854">
        <f>IF($A4854="","",SUM($E4854:$J4854))</f>
        <v/>
      </c>
      <c r="M4854">
        <f>IF($A4854="","",MAX(0,ROUNDUP(DASHBOARD!$F$3-$D4854,0)))</f>
        <v/>
      </c>
      <c r="N4854">
        <f>IF($A4854="","",$K4854+(5002-ROW())/10000)</f>
        <v/>
      </c>
    </row>
    <row r="4855">
      <c r="K4855">
        <f>IF($A4855="","",SUM($E4855:$J4855))</f>
        <v/>
      </c>
      <c r="M4855">
        <f>IF($A4855="","",MAX(0,ROUNDUP(DASHBOARD!$F$3-$D4855,0)))</f>
        <v/>
      </c>
      <c r="N4855">
        <f>IF($A4855="","",$K4855+(5002-ROW())/10000)</f>
        <v/>
      </c>
    </row>
    <row r="4856">
      <c r="K4856">
        <f>IF($A4856="","",SUM($E4856:$J4856))</f>
        <v/>
      </c>
      <c r="M4856">
        <f>IF($A4856="","",MAX(0,ROUNDUP(DASHBOARD!$F$3-$D4856,0)))</f>
        <v/>
      </c>
      <c r="N4856">
        <f>IF($A4856="","",$K4856+(5002-ROW())/10000)</f>
        <v/>
      </c>
    </row>
    <row r="4857">
      <c r="K4857">
        <f>IF($A4857="","",SUM($E4857:$J4857))</f>
        <v/>
      </c>
      <c r="M4857">
        <f>IF($A4857="","",MAX(0,ROUNDUP(DASHBOARD!$F$3-$D4857,0)))</f>
        <v/>
      </c>
      <c r="N4857">
        <f>IF($A4857="","",$K4857+(5002-ROW())/10000)</f>
        <v/>
      </c>
    </row>
    <row r="4858">
      <c r="K4858">
        <f>IF($A4858="","",SUM($E4858:$J4858))</f>
        <v/>
      </c>
      <c r="M4858">
        <f>IF($A4858="","",MAX(0,ROUNDUP(DASHBOARD!$F$3-$D4858,0)))</f>
        <v/>
      </c>
      <c r="N4858">
        <f>IF($A4858="","",$K4858+(5002-ROW())/10000)</f>
        <v/>
      </c>
    </row>
    <row r="4859">
      <c r="K4859">
        <f>IF($A4859="","",SUM($E4859:$J4859))</f>
        <v/>
      </c>
      <c r="M4859">
        <f>IF($A4859="","",MAX(0,ROUNDUP(DASHBOARD!$F$3-$D4859,0)))</f>
        <v/>
      </c>
      <c r="N4859">
        <f>IF($A4859="","",$K4859+(5002-ROW())/10000)</f>
        <v/>
      </c>
    </row>
    <row r="4860">
      <c r="K4860">
        <f>IF($A4860="","",SUM($E4860:$J4860))</f>
        <v/>
      </c>
      <c r="M4860">
        <f>IF($A4860="","",MAX(0,ROUNDUP(DASHBOARD!$F$3-$D4860,0)))</f>
        <v/>
      </c>
      <c r="N4860">
        <f>IF($A4860="","",$K4860+(5002-ROW())/10000)</f>
        <v/>
      </c>
    </row>
    <row r="4861">
      <c r="K4861">
        <f>IF($A4861="","",SUM($E4861:$J4861))</f>
        <v/>
      </c>
      <c r="M4861">
        <f>IF($A4861="","",MAX(0,ROUNDUP(DASHBOARD!$F$3-$D4861,0)))</f>
        <v/>
      </c>
      <c r="N4861">
        <f>IF($A4861="","",$K4861+(5002-ROW())/10000)</f>
        <v/>
      </c>
    </row>
    <row r="4862">
      <c r="K4862">
        <f>IF($A4862="","",SUM($E4862:$J4862))</f>
        <v/>
      </c>
      <c r="M4862">
        <f>IF($A4862="","",MAX(0,ROUNDUP(DASHBOARD!$F$3-$D4862,0)))</f>
        <v/>
      </c>
      <c r="N4862">
        <f>IF($A4862="","",$K4862+(5002-ROW())/10000)</f>
        <v/>
      </c>
    </row>
    <row r="4863">
      <c r="K4863">
        <f>IF($A4863="","",SUM($E4863:$J4863))</f>
        <v/>
      </c>
      <c r="M4863">
        <f>IF($A4863="","",MAX(0,ROUNDUP(DASHBOARD!$F$3-$D4863,0)))</f>
        <v/>
      </c>
      <c r="N4863">
        <f>IF($A4863="","",$K4863+(5002-ROW())/10000)</f>
        <v/>
      </c>
    </row>
    <row r="4864">
      <c r="K4864">
        <f>IF($A4864="","",SUM($E4864:$J4864))</f>
        <v/>
      </c>
      <c r="M4864">
        <f>IF($A4864="","",MAX(0,ROUNDUP(DASHBOARD!$F$3-$D4864,0)))</f>
        <v/>
      </c>
      <c r="N4864">
        <f>IF($A4864="","",$K4864+(5002-ROW())/10000)</f>
        <v/>
      </c>
    </row>
    <row r="4865">
      <c r="K4865">
        <f>IF($A4865="","",SUM($E4865:$J4865))</f>
        <v/>
      </c>
      <c r="M4865">
        <f>IF($A4865="","",MAX(0,ROUNDUP(DASHBOARD!$F$3-$D4865,0)))</f>
        <v/>
      </c>
      <c r="N4865">
        <f>IF($A4865="","",$K4865+(5002-ROW())/10000)</f>
        <v/>
      </c>
    </row>
    <row r="4866">
      <c r="K4866">
        <f>IF($A4866="","",SUM($E4866:$J4866))</f>
        <v/>
      </c>
      <c r="M4866">
        <f>IF($A4866="","",MAX(0,ROUNDUP(DASHBOARD!$F$3-$D4866,0)))</f>
        <v/>
      </c>
      <c r="N4866">
        <f>IF($A4866="","",$K4866+(5002-ROW())/10000)</f>
        <v/>
      </c>
    </row>
    <row r="4867">
      <c r="K4867">
        <f>IF($A4867="","",SUM($E4867:$J4867))</f>
        <v/>
      </c>
      <c r="M4867">
        <f>IF($A4867="","",MAX(0,ROUNDUP(DASHBOARD!$F$3-$D4867,0)))</f>
        <v/>
      </c>
      <c r="N4867">
        <f>IF($A4867="","",$K4867+(5002-ROW())/10000)</f>
        <v/>
      </c>
    </row>
    <row r="4868">
      <c r="K4868">
        <f>IF($A4868="","",SUM($E4868:$J4868))</f>
        <v/>
      </c>
      <c r="M4868">
        <f>IF($A4868="","",MAX(0,ROUNDUP(DASHBOARD!$F$3-$D4868,0)))</f>
        <v/>
      </c>
      <c r="N4868">
        <f>IF($A4868="","",$K4868+(5002-ROW())/10000)</f>
        <v/>
      </c>
    </row>
    <row r="4869">
      <c r="K4869">
        <f>IF($A4869="","",SUM($E4869:$J4869))</f>
        <v/>
      </c>
      <c r="M4869">
        <f>IF($A4869="","",MAX(0,ROUNDUP(DASHBOARD!$F$3-$D4869,0)))</f>
        <v/>
      </c>
      <c r="N4869">
        <f>IF($A4869="","",$K4869+(5002-ROW())/10000)</f>
        <v/>
      </c>
    </row>
    <row r="4870">
      <c r="K4870">
        <f>IF($A4870="","",SUM($E4870:$J4870))</f>
        <v/>
      </c>
      <c r="M4870">
        <f>IF($A4870="","",MAX(0,ROUNDUP(DASHBOARD!$F$3-$D4870,0)))</f>
        <v/>
      </c>
      <c r="N4870">
        <f>IF($A4870="","",$K4870+(5002-ROW())/10000)</f>
        <v/>
      </c>
    </row>
    <row r="4871">
      <c r="K4871">
        <f>IF($A4871="","",SUM($E4871:$J4871))</f>
        <v/>
      </c>
      <c r="M4871">
        <f>IF($A4871="","",MAX(0,ROUNDUP(DASHBOARD!$F$3-$D4871,0)))</f>
        <v/>
      </c>
      <c r="N4871">
        <f>IF($A4871="","",$K4871+(5002-ROW())/10000)</f>
        <v/>
      </c>
    </row>
    <row r="4872">
      <c r="K4872">
        <f>IF($A4872="","",SUM($E4872:$J4872))</f>
        <v/>
      </c>
      <c r="M4872">
        <f>IF($A4872="","",MAX(0,ROUNDUP(DASHBOARD!$F$3-$D4872,0)))</f>
        <v/>
      </c>
      <c r="N4872">
        <f>IF($A4872="","",$K4872+(5002-ROW())/10000)</f>
        <v/>
      </c>
    </row>
    <row r="4873">
      <c r="K4873">
        <f>IF($A4873="","",SUM($E4873:$J4873))</f>
        <v/>
      </c>
      <c r="M4873">
        <f>IF($A4873="","",MAX(0,ROUNDUP(DASHBOARD!$F$3-$D4873,0)))</f>
        <v/>
      </c>
      <c r="N4873">
        <f>IF($A4873="","",$K4873+(5002-ROW())/10000)</f>
        <v/>
      </c>
    </row>
    <row r="4874">
      <c r="K4874">
        <f>IF($A4874="","",SUM($E4874:$J4874))</f>
        <v/>
      </c>
      <c r="M4874">
        <f>IF($A4874="","",MAX(0,ROUNDUP(DASHBOARD!$F$3-$D4874,0)))</f>
        <v/>
      </c>
      <c r="N4874">
        <f>IF($A4874="","",$K4874+(5002-ROW())/10000)</f>
        <v/>
      </c>
    </row>
    <row r="4875">
      <c r="K4875">
        <f>IF($A4875="","",SUM($E4875:$J4875))</f>
        <v/>
      </c>
      <c r="M4875">
        <f>IF($A4875="","",MAX(0,ROUNDUP(DASHBOARD!$F$3-$D4875,0)))</f>
        <v/>
      </c>
      <c r="N4875">
        <f>IF($A4875="","",$K4875+(5002-ROW())/10000)</f>
        <v/>
      </c>
    </row>
    <row r="4876">
      <c r="K4876">
        <f>IF($A4876="","",SUM($E4876:$J4876))</f>
        <v/>
      </c>
      <c r="M4876">
        <f>IF($A4876="","",MAX(0,ROUNDUP(DASHBOARD!$F$3-$D4876,0)))</f>
        <v/>
      </c>
      <c r="N4876">
        <f>IF($A4876="","",$K4876+(5002-ROW())/10000)</f>
        <v/>
      </c>
    </row>
    <row r="4877">
      <c r="K4877">
        <f>IF($A4877="","",SUM($E4877:$J4877))</f>
        <v/>
      </c>
      <c r="M4877">
        <f>IF($A4877="","",MAX(0,ROUNDUP(DASHBOARD!$F$3-$D4877,0)))</f>
        <v/>
      </c>
      <c r="N4877">
        <f>IF($A4877="","",$K4877+(5002-ROW())/10000)</f>
        <v/>
      </c>
    </row>
    <row r="4878">
      <c r="K4878">
        <f>IF($A4878="","",SUM($E4878:$J4878))</f>
        <v/>
      </c>
      <c r="M4878">
        <f>IF($A4878="","",MAX(0,ROUNDUP(DASHBOARD!$F$3-$D4878,0)))</f>
        <v/>
      </c>
      <c r="N4878">
        <f>IF($A4878="","",$K4878+(5002-ROW())/10000)</f>
        <v/>
      </c>
    </row>
    <row r="4879">
      <c r="K4879">
        <f>IF($A4879="","",SUM($E4879:$J4879))</f>
        <v/>
      </c>
      <c r="M4879">
        <f>IF($A4879="","",MAX(0,ROUNDUP(DASHBOARD!$F$3-$D4879,0)))</f>
        <v/>
      </c>
      <c r="N4879">
        <f>IF($A4879="","",$K4879+(5002-ROW())/10000)</f>
        <v/>
      </c>
    </row>
    <row r="4880">
      <c r="K4880">
        <f>IF($A4880="","",SUM($E4880:$J4880))</f>
        <v/>
      </c>
      <c r="M4880">
        <f>IF($A4880="","",MAX(0,ROUNDUP(DASHBOARD!$F$3-$D4880,0)))</f>
        <v/>
      </c>
      <c r="N4880">
        <f>IF($A4880="","",$K4880+(5002-ROW())/10000)</f>
        <v/>
      </c>
    </row>
    <row r="4881">
      <c r="K4881">
        <f>IF($A4881="","",SUM($E4881:$J4881))</f>
        <v/>
      </c>
      <c r="M4881">
        <f>IF($A4881="","",MAX(0,ROUNDUP(DASHBOARD!$F$3-$D4881,0)))</f>
        <v/>
      </c>
      <c r="N4881">
        <f>IF($A4881="","",$K4881+(5002-ROW())/10000)</f>
        <v/>
      </c>
    </row>
    <row r="4882">
      <c r="K4882">
        <f>IF($A4882="","",SUM($E4882:$J4882))</f>
        <v/>
      </c>
      <c r="M4882">
        <f>IF($A4882="","",MAX(0,ROUNDUP(DASHBOARD!$F$3-$D4882,0)))</f>
        <v/>
      </c>
      <c r="N4882">
        <f>IF($A4882="","",$K4882+(5002-ROW())/10000)</f>
        <v/>
      </c>
    </row>
    <row r="4883">
      <c r="K4883">
        <f>IF($A4883="","",SUM($E4883:$J4883))</f>
        <v/>
      </c>
      <c r="M4883">
        <f>IF($A4883="","",MAX(0,ROUNDUP(DASHBOARD!$F$3-$D4883,0)))</f>
        <v/>
      </c>
      <c r="N4883">
        <f>IF($A4883="","",$K4883+(5002-ROW())/10000)</f>
        <v/>
      </c>
    </row>
    <row r="4884">
      <c r="K4884">
        <f>IF($A4884="","",SUM($E4884:$J4884))</f>
        <v/>
      </c>
      <c r="M4884">
        <f>IF($A4884="","",MAX(0,ROUNDUP(DASHBOARD!$F$3-$D4884,0)))</f>
        <v/>
      </c>
      <c r="N4884">
        <f>IF($A4884="","",$K4884+(5002-ROW())/10000)</f>
        <v/>
      </c>
    </row>
    <row r="4885">
      <c r="K4885">
        <f>IF($A4885="","",SUM($E4885:$J4885))</f>
        <v/>
      </c>
      <c r="M4885">
        <f>IF($A4885="","",MAX(0,ROUNDUP(DASHBOARD!$F$3-$D4885,0)))</f>
        <v/>
      </c>
      <c r="N4885">
        <f>IF($A4885="","",$K4885+(5002-ROW())/10000)</f>
        <v/>
      </c>
    </row>
    <row r="4886">
      <c r="K4886">
        <f>IF($A4886="","",SUM($E4886:$J4886))</f>
        <v/>
      </c>
      <c r="M4886">
        <f>IF($A4886="","",MAX(0,ROUNDUP(DASHBOARD!$F$3-$D4886,0)))</f>
        <v/>
      </c>
      <c r="N4886">
        <f>IF($A4886="","",$K4886+(5002-ROW())/10000)</f>
        <v/>
      </c>
    </row>
    <row r="4887">
      <c r="K4887">
        <f>IF($A4887="","",SUM($E4887:$J4887))</f>
        <v/>
      </c>
      <c r="M4887">
        <f>IF($A4887="","",MAX(0,ROUNDUP(DASHBOARD!$F$3-$D4887,0)))</f>
        <v/>
      </c>
      <c r="N4887">
        <f>IF($A4887="","",$K4887+(5002-ROW())/10000)</f>
        <v/>
      </c>
    </row>
    <row r="4888">
      <c r="K4888">
        <f>IF($A4888="","",SUM($E4888:$J4888))</f>
        <v/>
      </c>
      <c r="M4888">
        <f>IF($A4888="","",MAX(0,ROUNDUP(DASHBOARD!$F$3-$D4888,0)))</f>
        <v/>
      </c>
      <c r="N4888">
        <f>IF($A4888="","",$K4888+(5002-ROW())/10000)</f>
        <v/>
      </c>
    </row>
    <row r="4889">
      <c r="K4889">
        <f>IF($A4889="","",SUM($E4889:$J4889))</f>
        <v/>
      </c>
      <c r="M4889">
        <f>IF($A4889="","",MAX(0,ROUNDUP(DASHBOARD!$F$3-$D4889,0)))</f>
        <v/>
      </c>
      <c r="N4889">
        <f>IF($A4889="","",$K4889+(5002-ROW())/10000)</f>
        <v/>
      </c>
    </row>
    <row r="4890">
      <c r="K4890">
        <f>IF($A4890="","",SUM($E4890:$J4890))</f>
        <v/>
      </c>
      <c r="M4890">
        <f>IF($A4890="","",MAX(0,ROUNDUP(DASHBOARD!$F$3-$D4890,0)))</f>
        <v/>
      </c>
      <c r="N4890">
        <f>IF($A4890="","",$K4890+(5002-ROW())/10000)</f>
        <v/>
      </c>
    </row>
    <row r="4891">
      <c r="K4891">
        <f>IF($A4891="","",SUM($E4891:$J4891))</f>
        <v/>
      </c>
      <c r="M4891">
        <f>IF($A4891="","",MAX(0,ROUNDUP(DASHBOARD!$F$3-$D4891,0)))</f>
        <v/>
      </c>
      <c r="N4891">
        <f>IF($A4891="","",$K4891+(5002-ROW())/10000)</f>
        <v/>
      </c>
    </row>
    <row r="4892">
      <c r="K4892">
        <f>IF($A4892="","",SUM($E4892:$J4892))</f>
        <v/>
      </c>
      <c r="M4892">
        <f>IF($A4892="","",MAX(0,ROUNDUP(DASHBOARD!$F$3-$D4892,0)))</f>
        <v/>
      </c>
      <c r="N4892">
        <f>IF($A4892="","",$K4892+(5002-ROW())/10000)</f>
        <v/>
      </c>
    </row>
    <row r="4893">
      <c r="K4893">
        <f>IF($A4893="","",SUM($E4893:$J4893))</f>
        <v/>
      </c>
      <c r="M4893">
        <f>IF($A4893="","",MAX(0,ROUNDUP(DASHBOARD!$F$3-$D4893,0)))</f>
        <v/>
      </c>
      <c r="N4893">
        <f>IF($A4893="","",$K4893+(5002-ROW())/10000)</f>
        <v/>
      </c>
    </row>
    <row r="4894">
      <c r="K4894">
        <f>IF($A4894="","",SUM($E4894:$J4894))</f>
        <v/>
      </c>
      <c r="M4894">
        <f>IF($A4894="","",MAX(0,ROUNDUP(DASHBOARD!$F$3-$D4894,0)))</f>
        <v/>
      </c>
      <c r="N4894">
        <f>IF($A4894="","",$K4894+(5002-ROW())/10000)</f>
        <v/>
      </c>
    </row>
    <row r="4895">
      <c r="K4895">
        <f>IF($A4895="","",SUM($E4895:$J4895))</f>
        <v/>
      </c>
      <c r="M4895">
        <f>IF($A4895="","",MAX(0,ROUNDUP(DASHBOARD!$F$3-$D4895,0)))</f>
        <v/>
      </c>
      <c r="N4895">
        <f>IF($A4895="","",$K4895+(5002-ROW())/10000)</f>
        <v/>
      </c>
    </row>
    <row r="4896">
      <c r="K4896">
        <f>IF($A4896="","",SUM($E4896:$J4896))</f>
        <v/>
      </c>
      <c r="M4896">
        <f>IF($A4896="","",MAX(0,ROUNDUP(DASHBOARD!$F$3-$D4896,0)))</f>
        <v/>
      </c>
      <c r="N4896">
        <f>IF($A4896="","",$K4896+(5002-ROW())/10000)</f>
        <v/>
      </c>
    </row>
    <row r="4897">
      <c r="K4897">
        <f>IF($A4897="","",SUM($E4897:$J4897))</f>
        <v/>
      </c>
      <c r="M4897">
        <f>IF($A4897="","",MAX(0,ROUNDUP(DASHBOARD!$F$3-$D4897,0)))</f>
        <v/>
      </c>
      <c r="N4897">
        <f>IF($A4897="","",$K4897+(5002-ROW())/10000)</f>
        <v/>
      </c>
    </row>
    <row r="4898">
      <c r="K4898">
        <f>IF($A4898="","",SUM($E4898:$J4898))</f>
        <v/>
      </c>
      <c r="M4898">
        <f>IF($A4898="","",MAX(0,ROUNDUP(DASHBOARD!$F$3-$D4898,0)))</f>
        <v/>
      </c>
      <c r="N4898">
        <f>IF($A4898="","",$K4898+(5002-ROW())/10000)</f>
        <v/>
      </c>
    </row>
    <row r="4899">
      <c r="K4899">
        <f>IF($A4899="","",SUM($E4899:$J4899))</f>
        <v/>
      </c>
      <c r="M4899">
        <f>IF($A4899="","",MAX(0,ROUNDUP(DASHBOARD!$F$3-$D4899,0)))</f>
        <v/>
      </c>
      <c r="N4899">
        <f>IF($A4899="","",$K4899+(5002-ROW())/10000)</f>
        <v/>
      </c>
    </row>
    <row r="4900">
      <c r="K4900">
        <f>IF($A4900="","",SUM($E4900:$J4900))</f>
        <v/>
      </c>
      <c r="M4900">
        <f>IF($A4900="","",MAX(0,ROUNDUP(DASHBOARD!$F$3-$D4900,0)))</f>
        <v/>
      </c>
      <c r="N4900">
        <f>IF($A4900="","",$K4900+(5002-ROW())/10000)</f>
        <v/>
      </c>
    </row>
    <row r="4901">
      <c r="K4901">
        <f>IF($A4901="","",SUM($E4901:$J4901))</f>
        <v/>
      </c>
      <c r="M4901">
        <f>IF($A4901="","",MAX(0,ROUNDUP(DASHBOARD!$F$3-$D4901,0)))</f>
        <v/>
      </c>
      <c r="N4901">
        <f>IF($A4901="","",$K4901+(5002-ROW())/10000)</f>
        <v/>
      </c>
    </row>
    <row r="4902">
      <c r="K4902">
        <f>IF($A4902="","",SUM($E4902:$J4902))</f>
        <v/>
      </c>
      <c r="M4902">
        <f>IF($A4902="","",MAX(0,ROUNDUP(DASHBOARD!$F$3-$D4902,0)))</f>
        <v/>
      </c>
      <c r="N4902">
        <f>IF($A4902="","",$K4902+(5002-ROW())/10000)</f>
        <v/>
      </c>
    </row>
    <row r="4903">
      <c r="K4903">
        <f>IF($A4903="","",SUM($E4903:$J4903))</f>
        <v/>
      </c>
      <c r="M4903">
        <f>IF($A4903="","",MAX(0,ROUNDUP(DASHBOARD!$F$3-$D4903,0)))</f>
        <v/>
      </c>
      <c r="N4903">
        <f>IF($A4903="","",$K4903+(5002-ROW())/10000)</f>
        <v/>
      </c>
    </row>
    <row r="4904">
      <c r="K4904">
        <f>IF($A4904="","",SUM($E4904:$J4904))</f>
        <v/>
      </c>
      <c r="M4904">
        <f>IF($A4904="","",MAX(0,ROUNDUP(DASHBOARD!$F$3-$D4904,0)))</f>
        <v/>
      </c>
      <c r="N4904">
        <f>IF($A4904="","",$K4904+(5002-ROW())/10000)</f>
        <v/>
      </c>
    </row>
    <row r="4905">
      <c r="K4905">
        <f>IF($A4905="","",SUM($E4905:$J4905))</f>
        <v/>
      </c>
      <c r="M4905">
        <f>IF($A4905="","",MAX(0,ROUNDUP(DASHBOARD!$F$3-$D4905,0)))</f>
        <v/>
      </c>
      <c r="N4905">
        <f>IF($A4905="","",$K4905+(5002-ROW())/10000)</f>
        <v/>
      </c>
    </row>
    <row r="4906">
      <c r="K4906">
        <f>IF($A4906="","",SUM($E4906:$J4906))</f>
        <v/>
      </c>
      <c r="M4906">
        <f>IF($A4906="","",MAX(0,ROUNDUP(DASHBOARD!$F$3-$D4906,0)))</f>
        <v/>
      </c>
      <c r="N4906">
        <f>IF($A4906="","",$K4906+(5002-ROW())/10000)</f>
        <v/>
      </c>
    </row>
    <row r="4907">
      <c r="K4907">
        <f>IF($A4907="","",SUM($E4907:$J4907))</f>
        <v/>
      </c>
      <c r="M4907">
        <f>IF($A4907="","",MAX(0,ROUNDUP(DASHBOARD!$F$3-$D4907,0)))</f>
        <v/>
      </c>
      <c r="N4907">
        <f>IF($A4907="","",$K4907+(5002-ROW())/10000)</f>
        <v/>
      </c>
    </row>
    <row r="4908">
      <c r="K4908">
        <f>IF($A4908="","",SUM($E4908:$J4908))</f>
        <v/>
      </c>
      <c r="M4908">
        <f>IF($A4908="","",MAX(0,ROUNDUP(DASHBOARD!$F$3-$D4908,0)))</f>
        <v/>
      </c>
      <c r="N4908">
        <f>IF($A4908="","",$K4908+(5002-ROW())/10000)</f>
        <v/>
      </c>
    </row>
    <row r="4909">
      <c r="K4909">
        <f>IF($A4909="","",SUM($E4909:$J4909))</f>
        <v/>
      </c>
      <c r="M4909">
        <f>IF($A4909="","",MAX(0,ROUNDUP(DASHBOARD!$F$3-$D4909,0)))</f>
        <v/>
      </c>
      <c r="N4909">
        <f>IF($A4909="","",$K4909+(5002-ROW())/10000)</f>
        <v/>
      </c>
    </row>
    <row r="4910">
      <c r="K4910">
        <f>IF($A4910="","",SUM($E4910:$J4910))</f>
        <v/>
      </c>
      <c r="M4910">
        <f>IF($A4910="","",MAX(0,ROUNDUP(DASHBOARD!$F$3-$D4910,0)))</f>
        <v/>
      </c>
      <c r="N4910">
        <f>IF($A4910="","",$K4910+(5002-ROW())/10000)</f>
        <v/>
      </c>
    </row>
    <row r="4911">
      <c r="K4911">
        <f>IF($A4911="","",SUM($E4911:$J4911))</f>
        <v/>
      </c>
      <c r="M4911">
        <f>IF($A4911="","",MAX(0,ROUNDUP(DASHBOARD!$F$3-$D4911,0)))</f>
        <v/>
      </c>
      <c r="N4911">
        <f>IF($A4911="","",$K4911+(5002-ROW())/10000)</f>
        <v/>
      </c>
    </row>
    <row r="4912">
      <c r="K4912">
        <f>IF($A4912="","",SUM($E4912:$J4912))</f>
        <v/>
      </c>
      <c r="M4912">
        <f>IF($A4912="","",MAX(0,ROUNDUP(DASHBOARD!$F$3-$D4912,0)))</f>
        <v/>
      </c>
      <c r="N4912">
        <f>IF($A4912="","",$K4912+(5002-ROW())/10000)</f>
        <v/>
      </c>
    </row>
    <row r="4913">
      <c r="K4913">
        <f>IF($A4913="","",SUM($E4913:$J4913))</f>
        <v/>
      </c>
      <c r="M4913">
        <f>IF($A4913="","",MAX(0,ROUNDUP(DASHBOARD!$F$3-$D4913,0)))</f>
        <v/>
      </c>
      <c r="N4913">
        <f>IF($A4913="","",$K4913+(5002-ROW())/10000)</f>
        <v/>
      </c>
    </row>
    <row r="4914">
      <c r="K4914">
        <f>IF($A4914="","",SUM($E4914:$J4914))</f>
        <v/>
      </c>
      <c r="M4914">
        <f>IF($A4914="","",MAX(0,ROUNDUP(DASHBOARD!$F$3-$D4914,0)))</f>
        <v/>
      </c>
      <c r="N4914">
        <f>IF($A4914="","",$K4914+(5002-ROW())/10000)</f>
        <v/>
      </c>
    </row>
    <row r="4915">
      <c r="K4915">
        <f>IF($A4915="","",SUM($E4915:$J4915))</f>
        <v/>
      </c>
      <c r="M4915">
        <f>IF($A4915="","",MAX(0,ROUNDUP(DASHBOARD!$F$3-$D4915,0)))</f>
        <v/>
      </c>
      <c r="N4915">
        <f>IF($A4915="","",$K4915+(5002-ROW())/10000)</f>
        <v/>
      </c>
    </row>
    <row r="4916">
      <c r="K4916">
        <f>IF($A4916="","",SUM($E4916:$J4916))</f>
        <v/>
      </c>
      <c r="M4916">
        <f>IF($A4916="","",MAX(0,ROUNDUP(DASHBOARD!$F$3-$D4916,0)))</f>
        <v/>
      </c>
      <c r="N4916">
        <f>IF($A4916="","",$K4916+(5002-ROW())/10000)</f>
        <v/>
      </c>
    </row>
    <row r="4917">
      <c r="K4917">
        <f>IF($A4917="","",SUM($E4917:$J4917))</f>
        <v/>
      </c>
      <c r="M4917">
        <f>IF($A4917="","",MAX(0,ROUNDUP(DASHBOARD!$F$3-$D4917,0)))</f>
        <v/>
      </c>
      <c r="N4917">
        <f>IF($A4917="","",$K4917+(5002-ROW())/10000)</f>
        <v/>
      </c>
    </row>
    <row r="4918">
      <c r="K4918">
        <f>IF($A4918="","",SUM($E4918:$J4918))</f>
        <v/>
      </c>
      <c r="M4918">
        <f>IF($A4918="","",MAX(0,ROUNDUP(DASHBOARD!$F$3-$D4918,0)))</f>
        <v/>
      </c>
      <c r="N4918">
        <f>IF($A4918="","",$K4918+(5002-ROW())/10000)</f>
        <v/>
      </c>
    </row>
    <row r="4919">
      <c r="K4919">
        <f>IF($A4919="","",SUM($E4919:$J4919))</f>
        <v/>
      </c>
      <c r="M4919">
        <f>IF($A4919="","",MAX(0,ROUNDUP(DASHBOARD!$F$3-$D4919,0)))</f>
        <v/>
      </c>
      <c r="N4919">
        <f>IF($A4919="","",$K4919+(5002-ROW())/10000)</f>
        <v/>
      </c>
    </row>
    <row r="4920">
      <c r="K4920">
        <f>IF($A4920="","",SUM($E4920:$J4920))</f>
        <v/>
      </c>
      <c r="M4920">
        <f>IF($A4920="","",MAX(0,ROUNDUP(DASHBOARD!$F$3-$D4920,0)))</f>
        <v/>
      </c>
      <c r="N4920">
        <f>IF($A4920="","",$K4920+(5002-ROW())/10000)</f>
        <v/>
      </c>
    </row>
    <row r="4921">
      <c r="K4921">
        <f>IF($A4921="","",SUM($E4921:$J4921))</f>
        <v/>
      </c>
      <c r="M4921">
        <f>IF($A4921="","",MAX(0,ROUNDUP(DASHBOARD!$F$3-$D4921,0)))</f>
        <v/>
      </c>
      <c r="N4921">
        <f>IF($A4921="","",$K4921+(5002-ROW())/10000)</f>
        <v/>
      </c>
    </row>
    <row r="4922">
      <c r="K4922">
        <f>IF($A4922="","",SUM($E4922:$J4922))</f>
        <v/>
      </c>
      <c r="M4922">
        <f>IF($A4922="","",MAX(0,ROUNDUP(DASHBOARD!$F$3-$D4922,0)))</f>
        <v/>
      </c>
      <c r="N4922">
        <f>IF($A4922="","",$K4922+(5002-ROW())/10000)</f>
        <v/>
      </c>
    </row>
    <row r="4923">
      <c r="K4923">
        <f>IF($A4923="","",SUM($E4923:$J4923))</f>
        <v/>
      </c>
      <c r="M4923">
        <f>IF($A4923="","",MAX(0,ROUNDUP(DASHBOARD!$F$3-$D4923,0)))</f>
        <v/>
      </c>
      <c r="N4923">
        <f>IF($A4923="","",$K4923+(5002-ROW())/10000)</f>
        <v/>
      </c>
    </row>
    <row r="4924">
      <c r="K4924">
        <f>IF($A4924="","",SUM($E4924:$J4924))</f>
        <v/>
      </c>
      <c r="M4924">
        <f>IF($A4924="","",MAX(0,ROUNDUP(DASHBOARD!$F$3-$D4924,0)))</f>
        <v/>
      </c>
      <c r="N4924">
        <f>IF($A4924="","",$K4924+(5002-ROW())/10000)</f>
        <v/>
      </c>
    </row>
    <row r="4925">
      <c r="K4925">
        <f>IF($A4925="","",SUM($E4925:$J4925))</f>
        <v/>
      </c>
      <c r="M4925">
        <f>IF($A4925="","",MAX(0,ROUNDUP(DASHBOARD!$F$3-$D4925,0)))</f>
        <v/>
      </c>
      <c r="N4925">
        <f>IF($A4925="","",$K4925+(5002-ROW())/10000)</f>
        <v/>
      </c>
    </row>
    <row r="4926">
      <c r="K4926">
        <f>IF($A4926="","",SUM($E4926:$J4926))</f>
        <v/>
      </c>
      <c r="M4926">
        <f>IF($A4926="","",MAX(0,ROUNDUP(DASHBOARD!$F$3-$D4926,0)))</f>
        <v/>
      </c>
      <c r="N4926">
        <f>IF($A4926="","",$K4926+(5002-ROW())/10000)</f>
        <v/>
      </c>
    </row>
    <row r="4927">
      <c r="K4927">
        <f>IF($A4927="","",SUM($E4927:$J4927))</f>
        <v/>
      </c>
      <c r="M4927">
        <f>IF($A4927="","",MAX(0,ROUNDUP(DASHBOARD!$F$3-$D4927,0)))</f>
        <v/>
      </c>
      <c r="N4927">
        <f>IF($A4927="","",$K4927+(5002-ROW())/10000)</f>
        <v/>
      </c>
    </row>
    <row r="4928">
      <c r="K4928">
        <f>IF($A4928="","",SUM($E4928:$J4928))</f>
        <v/>
      </c>
      <c r="M4928">
        <f>IF($A4928="","",MAX(0,ROUNDUP(DASHBOARD!$F$3-$D4928,0)))</f>
        <v/>
      </c>
      <c r="N4928">
        <f>IF($A4928="","",$K4928+(5002-ROW())/10000)</f>
        <v/>
      </c>
    </row>
    <row r="4929">
      <c r="K4929">
        <f>IF($A4929="","",SUM($E4929:$J4929))</f>
        <v/>
      </c>
      <c r="M4929">
        <f>IF($A4929="","",MAX(0,ROUNDUP(DASHBOARD!$F$3-$D4929,0)))</f>
        <v/>
      </c>
      <c r="N4929">
        <f>IF($A4929="","",$K4929+(5002-ROW())/10000)</f>
        <v/>
      </c>
    </row>
    <row r="4930">
      <c r="K4930">
        <f>IF($A4930="","",SUM($E4930:$J4930))</f>
        <v/>
      </c>
      <c r="M4930">
        <f>IF($A4930="","",MAX(0,ROUNDUP(DASHBOARD!$F$3-$D4930,0)))</f>
        <v/>
      </c>
      <c r="N4930">
        <f>IF($A4930="","",$K4930+(5002-ROW())/10000)</f>
        <v/>
      </c>
    </row>
    <row r="4931">
      <c r="K4931">
        <f>IF($A4931="","",SUM($E4931:$J4931))</f>
        <v/>
      </c>
      <c r="M4931">
        <f>IF($A4931="","",MAX(0,ROUNDUP(DASHBOARD!$F$3-$D4931,0)))</f>
        <v/>
      </c>
      <c r="N4931">
        <f>IF($A4931="","",$K4931+(5002-ROW())/10000)</f>
        <v/>
      </c>
    </row>
    <row r="4932">
      <c r="K4932">
        <f>IF($A4932="","",SUM($E4932:$J4932))</f>
        <v/>
      </c>
      <c r="M4932">
        <f>IF($A4932="","",MAX(0,ROUNDUP(DASHBOARD!$F$3-$D4932,0)))</f>
        <v/>
      </c>
      <c r="N4932">
        <f>IF($A4932="","",$K4932+(5002-ROW())/10000)</f>
        <v/>
      </c>
    </row>
    <row r="4933">
      <c r="K4933">
        <f>IF($A4933="","",SUM($E4933:$J4933))</f>
        <v/>
      </c>
      <c r="M4933">
        <f>IF($A4933="","",MAX(0,ROUNDUP(DASHBOARD!$F$3-$D4933,0)))</f>
        <v/>
      </c>
      <c r="N4933">
        <f>IF($A4933="","",$K4933+(5002-ROW())/10000)</f>
        <v/>
      </c>
    </row>
    <row r="4934">
      <c r="K4934">
        <f>IF($A4934="","",SUM($E4934:$J4934))</f>
        <v/>
      </c>
      <c r="M4934">
        <f>IF($A4934="","",MAX(0,ROUNDUP(DASHBOARD!$F$3-$D4934,0)))</f>
        <v/>
      </c>
      <c r="N4934">
        <f>IF($A4934="","",$K4934+(5002-ROW())/10000)</f>
        <v/>
      </c>
    </row>
    <row r="4935">
      <c r="K4935">
        <f>IF($A4935="","",SUM($E4935:$J4935))</f>
        <v/>
      </c>
      <c r="M4935">
        <f>IF($A4935="","",MAX(0,ROUNDUP(DASHBOARD!$F$3-$D4935,0)))</f>
        <v/>
      </c>
      <c r="N4935">
        <f>IF($A4935="","",$K4935+(5002-ROW())/10000)</f>
        <v/>
      </c>
    </row>
    <row r="4936">
      <c r="K4936">
        <f>IF($A4936="","",SUM($E4936:$J4936))</f>
        <v/>
      </c>
      <c r="M4936">
        <f>IF($A4936="","",MAX(0,ROUNDUP(DASHBOARD!$F$3-$D4936,0)))</f>
        <v/>
      </c>
      <c r="N4936">
        <f>IF($A4936="","",$K4936+(5002-ROW())/10000)</f>
        <v/>
      </c>
    </row>
    <row r="4937">
      <c r="K4937">
        <f>IF($A4937="","",SUM($E4937:$J4937))</f>
        <v/>
      </c>
      <c r="M4937">
        <f>IF($A4937="","",MAX(0,ROUNDUP(DASHBOARD!$F$3-$D4937,0)))</f>
        <v/>
      </c>
      <c r="N4937">
        <f>IF($A4937="","",$K4937+(5002-ROW())/10000)</f>
        <v/>
      </c>
    </row>
    <row r="4938">
      <c r="K4938">
        <f>IF($A4938="","",SUM($E4938:$J4938))</f>
        <v/>
      </c>
      <c r="M4938">
        <f>IF($A4938="","",MAX(0,ROUNDUP(DASHBOARD!$F$3-$D4938,0)))</f>
        <v/>
      </c>
      <c r="N4938">
        <f>IF($A4938="","",$K4938+(5002-ROW())/10000)</f>
        <v/>
      </c>
    </row>
    <row r="4939">
      <c r="K4939">
        <f>IF($A4939="","",SUM($E4939:$J4939))</f>
        <v/>
      </c>
      <c r="M4939">
        <f>IF($A4939="","",MAX(0,ROUNDUP(DASHBOARD!$F$3-$D4939,0)))</f>
        <v/>
      </c>
      <c r="N4939">
        <f>IF($A4939="","",$K4939+(5002-ROW())/10000)</f>
        <v/>
      </c>
    </row>
    <row r="4940">
      <c r="K4940">
        <f>IF($A4940="","",SUM($E4940:$J4940))</f>
        <v/>
      </c>
      <c r="M4940">
        <f>IF($A4940="","",MAX(0,ROUNDUP(DASHBOARD!$F$3-$D4940,0)))</f>
        <v/>
      </c>
      <c r="N4940">
        <f>IF($A4940="","",$K4940+(5002-ROW())/10000)</f>
        <v/>
      </c>
    </row>
    <row r="4941">
      <c r="K4941">
        <f>IF($A4941="","",SUM($E4941:$J4941))</f>
        <v/>
      </c>
      <c r="M4941">
        <f>IF($A4941="","",MAX(0,ROUNDUP(DASHBOARD!$F$3-$D4941,0)))</f>
        <v/>
      </c>
      <c r="N4941">
        <f>IF($A4941="","",$K4941+(5002-ROW())/10000)</f>
        <v/>
      </c>
    </row>
    <row r="4942">
      <c r="K4942">
        <f>IF($A4942="","",SUM($E4942:$J4942))</f>
        <v/>
      </c>
      <c r="M4942">
        <f>IF($A4942="","",MAX(0,ROUNDUP(DASHBOARD!$F$3-$D4942,0)))</f>
        <v/>
      </c>
      <c r="N4942">
        <f>IF($A4942="","",$K4942+(5002-ROW())/10000)</f>
        <v/>
      </c>
    </row>
    <row r="4943">
      <c r="K4943">
        <f>IF($A4943="","",SUM($E4943:$J4943))</f>
        <v/>
      </c>
      <c r="M4943">
        <f>IF($A4943="","",MAX(0,ROUNDUP(DASHBOARD!$F$3-$D4943,0)))</f>
        <v/>
      </c>
      <c r="N4943">
        <f>IF($A4943="","",$K4943+(5002-ROW())/10000)</f>
        <v/>
      </c>
    </row>
    <row r="4944">
      <c r="K4944">
        <f>IF($A4944="","",SUM($E4944:$J4944))</f>
        <v/>
      </c>
      <c r="M4944">
        <f>IF($A4944="","",MAX(0,ROUNDUP(DASHBOARD!$F$3-$D4944,0)))</f>
        <v/>
      </c>
      <c r="N4944">
        <f>IF($A4944="","",$K4944+(5002-ROW())/10000)</f>
        <v/>
      </c>
    </row>
    <row r="4945">
      <c r="K4945">
        <f>IF($A4945="","",SUM($E4945:$J4945))</f>
        <v/>
      </c>
      <c r="M4945">
        <f>IF($A4945="","",MAX(0,ROUNDUP(DASHBOARD!$F$3-$D4945,0)))</f>
        <v/>
      </c>
      <c r="N4945">
        <f>IF($A4945="","",$K4945+(5002-ROW())/10000)</f>
        <v/>
      </c>
    </row>
    <row r="4946">
      <c r="K4946">
        <f>IF($A4946="","",SUM($E4946:$J4946))</f>
        <v/>
      </c>
      <c r="M4946">
        <f>IF($A4946="","",MAX(0,ROUNDUP(DASHBOARD!$F$3-$D4946,0)))</f>
        <v/>
      </c>
      <c r="N4946">
        <f>IF($A4946="","",$K4946+(5002-ROW())/10000)</f>
        <v/>
      </c>
    </row>
    <row r="4947">
      <c r="K4947">
        <f>IF($A4947="","",SUM($E4947:$J4947))</f>
        <v/>
      </c>
      <c r="M4947">
        <f>IF($A4947="","",MAX(0,ROUNDUP(DASHBOARD!$F$3-$D4947,0)))</f>
        <v/>
      </c>
      <c r="N4947">
        <f>IF($A4947="","",$K4947+(5002-ROW())/10000)</f>
        <v/>
      </c>
    </row>
    <row r="4948">
      <c r="K4948">
        <f>IF($A4948="","",SUM($E4948:$J4948))</f>
        <v/>
      </c>
      <c r="M4948">
        <f>IF($A4948="","",MAX(0,ROUNDUP(DASHBOARD!$F$3-$D4948,0)))</f>
        <v/>
      </c>
      <c r="N4948">
        <f>IF($A4948="","",$K4948+(5002-ROW())/10000)</f>
        <v/>
      </c>
    </row>
    <row r="4949">
      <c r="K4949">
        <f>IF($A4949="","",SUM($E4949:$J4949))</f>
        <v/>
      </c>
      <c r="M4949">
        <f>IF($A4949="","",MAX(0,ROUNDUP(DASHBOARD!$F$3-$D4949,0)))</f>
        <v/>
      </c>
      <c r="N4949">
        <f>IF($A4949="","",$K4949+(5002-ROW())/10000)</f>
        <v/>
      </c>
    </row>
    <row r="4950">
      <c r="K4950">
        <f>IF($A4950="","",SUM($E4950:$J4950))</f>
        <v/>
      </c>
      <c r="M4950">
        <f>IF($A4950="","",MAX(0,ROUNDUP(DASHBOARD!$F$3-$D4950,0)))</f>
        <v/>
      </c>
      <c r="N4950">
        <f>IF($A4950="","",$K4950+(5002-ROW())/10000)</f>
        <v/>
      </c>
    </row>
    <row r="4951">
      <c r="K4951">
        <f>IF($A4951="","",SUM($E4951:$J4951))</f>
        <v/>
      </c>
      <c r="M4951">
        <f>IF($A4951="","",MAX(0,ROUNDUP(DASHBOARD!$F$3-$D4951,0)))</f>
        <v/>
      </c>
      <c r="N4951">
        <f>IF($A4951="","",$K4951+(5002-ROW())/10000)</f>
        <v/>
      </c>
    </row>
    <row r="4952">
      <c r="K4952">
        <f>IF($A4952="","",SUM($E4952:$J4952))</f>
        <v/>
      </c>
      <c r="M4952">
        <f>IF($A4952="","",MAX(0,ROUNDUP(DASHBOARD!$F$3-$D4952,0)))</f>
        <v/>
      </c>
      <c r="N4952">
        <f>IF($A4952="","",$K4952+(5002-ROW())/10000)</f>
        <v/>
      </c>
    </row>
    <row r="4953">
      <c r="K4953">
        <f>IF($A4953="","",SUM($E4953:$J4953))</f>
        <v/>
      </c>
      <c r="M4953">
        <f>IF($A4953="","",MAX(0,ROUNDUP(DASHBOARD!$F$3-$D4953,0)))</f>
        <v/>
      </c>
      <c r="N4953">
        <f>IF($A4953="","",$K4953+(5002-ROW())/10000)</f>
        <v/>
      </c>
    </row>
    <row r="4954">
      <c r="K4954">
        <f>IF($A4954="","",SUM($E4954:$J4954))</f>
        <v/>
      </c>
      <c r="M4954">
        <f>IF($A4954="","",MAX(0,ROUNDUP(DASHBOARD!$F$3-$D4954,0)))</f>
        <v/>
      </c>
      <c r="N4954">
        <f>IF($A4954="","",$K4954+(5002-ROW())/10000)</f>
        <v/>
      </c>
    </row>
    <row r="4955">
      <c r="K4955">
        <f>IF($A4955="","",SUM($E4955:$J4955))</f>
        <v/>
      </c>
      <c r="M4955">
        <f>IF($A4955="","",MAX(0,ROUNDUP(DASHBOARD!$F$3-$D4955,0)))</f>
        <v/>
      </c>
      <c r="N4955">
        <f>IF($A4955="","",$K4955+(5002-ROW())/10000)</f>
        <v/>
      </c>
    </row>
    <row r="4956">
      <c r="K4956">
        <f>IF($A4956="","",SUM($E4956:$J4956))</f>
        <v/>
      </c>
      <c r="M4956">
        <f>IF($A4956="","",MAX(0,ROUNDUP(DASHBOARD!$F$3-$D4956,0)))</f>
        <v/>
      </c>
      <c r="N4956">
        <f>IF($A4956="","",$K4956+(5002-ROW())/10000)</f>
        <v/>
      </c>
    </row>
    <row r="4957">
      <c r="K4957">
        <f>IF($A4957="","",SUM($E4957:$J4957))</f>
        <v/>
      </c>
      <c r="M4957">
        <f>IF($A4957="","",MAX(0,ROUNDUP(DASHBOARD!$F$3-$D4957,0)))</f>
        <v/>
      </c>
      <c r="N4957">
        <f>IF($A4957="","",$K4957+(5002-ROW())/10000)</f>
        <v/>
      </c>
    </row>
    <row r="4958">
      <c r="K4958">
        <f>IF($A4958="","",SUM($E4958:$J4958))</f>
        <v/>
      </c>
      <c r="M4958">
        <f>IF($A4958="","",MAX(0,ROUNDUP(DASHBOARD!$F$3-$D4958,0)))</f>
        <v/>
      </c>
      <c r="N4958">
        <f>IF($A4958="","",$K4958+(5002-ROW())/10000)</f>
        <v/>
      </c>
    </row>
    <row r="4959">
      <c r="K4959">
        <f>IF($A4959="","",SUM($E4959:$J4959))</f>
        <v/>
      </c>
      <c r="M4959">
        <f>IF($A4959="","",MAX(0,ROUNDUP(DASHBOARD!$F$3-$D4959,0)))</f>
        <v/>
      </c>
      <c r="N4959">
        <f>IF($A4959="","",$K4959+(5002-ROW())/10000)</f>
        <v/>
      </c>
    </row>
    <row r="4960">
      <c r="K4960">
        <f>IF($A4960="","",SUM($E4960:$J4960))</f>
        <v/>
      </c>
      <c r="M4960">
        <f>IF($A4960="","",MAX(0,ROUNDUP(DASHBOARD!$F$3-$D4960,0)))</f>
        <v/>
      </c>
      <c r="N4960">
        <f>IF($A4960="","",$K4960+(5002-ROW())/10000)</f>
        <v/>
      </c>
    </row>
    <row r="4961">
      <c r="K4961">
        <f>IF($A4961="","",SUM($E4961:$J4961))</f>
        <v/>
      </c>
      <c r="M4961">
        <f>IF($A4961="","",MAX(0,ROUNDUP(DASHBOARD!$F$3-$D4961,0)))</f>
        <v/>
      </c>
      <c r="N4961">
        <f>IF($A4961="","",$K4961+(5002-ROW())/10000)</f>
        <v/>
      </c>
    </row>
    <row r="4962">
      <c r="K4962">
        <f>IF($A4962="","",SUM($E4962:$J4962))</f>
        <v/>
      </c>
      <c r="M4962">
        <f>IF($A4962="","",MAX(0,ROUNDUP(DASHBOARD!$F$3-$D4962,0)))</f>
        <v/>
      </c>
      <c r="N4962">
        <f>IF($A4962="","",$K4962+(5002-ROW())/10000)</f>
        <v/>
      </c>
    </row>
    <row r="4963">
      <c r="K4963">
        <f>IF($A4963="","",SUM($E4963:$J4963))</f>
        <v/>
      </c>
      <c r="M4963">
        <f>IF($A4963="","",MAX(0,ROUNDUP(DASHBOARD!$F$3-$D4963,0)))</f>
        <v/>
      </c>
      <c r="N4963">
        <f>IF($A4963="","",$K4963+(5002-ROW())/10000)</f>
        <v/>
      </c>
    </row>
    <row r="4964">
      <c r="K4964">
        <f>IF($A4964="","",SUM($E4964:$J4964))</f>
        <v/>
      </c>
      <c r="M4964">
        <f>IF($A4964="","",MAX(0,ROUNDUP(DASHBOARD!$F$3-$D4964,0)))</f>
        <v/>
      </c>
      <c r="N4964">
        <f>IF($A4964="","",$K4964+(5002-ROW())/10000)</f>
        <v/>
      </c>
    </row>
    <row r="4965">
      <c r="K4965">
        <f>IF($A4965="","",SUM($E4965:$J4965))</f>
        <v/>
      </c>
      <c r="M4965">
        <f>IF($A4965="","",MAX(0,ROUNDUP(DASHBOARD!$F$3-$D4965,0)))</f>
        <v/>
      </c>
      <c r="N4965">
        <f>IF($A4965="","",$K4965+(5002-ROW())/10000)</f>
        <v/>
      </c>
    </row>
    <row r="4966">
      <c r="K4966">
        <f>IF($A4966="","",SUM($E4966:$J4966))</f>
        <v/>
      </c>
      <c r="M4966">
        <f>IF($A4966="","",MAX(0,ROUNDUP(DASHBOARD!$F$3-$D4966,0)))</f>
        <v/>
      </c>
      <c r="N4966">
        <f>IF($A4966="","",$K4966+(5002-ROW())/10000)</f>
        <v/>
      </c>
    </row>
    <row r="4967">
      <c r="K4967">
        <f>IF($A4967="","",SUM($E4967:$J4967))</f>
        <v/>
      </c>
      <c r="M4967">
        <f>IF($A4967="","",MAX(0,ROUNDUP(DASHBOARD!$F$3-$D4967,0)))</f>
        <v/>
      </c>
      <c r="N4967">
        <f>IF($A4967="","",$K4967+(5002-ROW())/10000)</f>
        <v/>
      </c>
    </row>
    <row r="4968">
      <c r="K4968">
        <f>IF($A4968="","",SUM($E4968:$J4968))</f>
        <v/>
      </c>
      <c r="M4968">
        <f>IF($A4968="","",MAX(0,ROUNDUP(DASHBOARD!$F$3-$D4968,0)))</f>
        <v/>
      </c>
      <c r="N4968">
        <f>IF($A4968="","",$K4968+(5002-ROW())/10000)</f>
        <v/>
      </c>
    </row>
    <row r="4969">
      <c r="K4969">
        <f>IF($A4969="","",SUM($E4969:$J4969))</f>
        <v/>
      </c>
      <c r="M4969">
        <f>IF($A4969="","",MAX(0,ROUNDUP(DASHBOARD!$F$3-$D4969,0)))</f>
        <v/>
      </c>
      <c r="N4969">
        <f>IF($A4969="","",$K4969+(5002-ROW())/10000)</f>
        <v/>
      </c>
    </row>
    <row r="4970">
      <c r="K4970">
        <f>IF($A4970="","",SUM($E4970:$J4970))</f>
        <v/>
      </c>
      <c r="M4970">
        <f>IF($A4970="","",MAX(0,ROUNDUP(DASHBOARD!$F$3-$D4970,0)))</f>
        <v/>
      </c>
      <c r="N4970">
        <f>IF($A4970="","",$K4970+(5002-ROW())/10000)</f>
        <v/>
      </c>
    </row>
    <row r="4971">
      <c r="K4971">
        <f>IF($A4971="","",SUM($E4971:$J4971))</f>
        <v/>
      </c>
      <c r="M4971">
        <f>IF($A4971="","",MAX(0,ROUNDUP(DASHBOARD!$F$3-$D4971,0)))</f>
        <v/>
      </c>
      <c r="N4971">
        <f>IF($A4971="","",$K4971+(5002-ROW())/10000)</f>
        <v/>
      </c>
    </row>
    <row r="4972">
      <c r="K4972">
        <f>IF($A4972="","",SUM($E4972:$J4972))</f>
        <v/>
      </c>
      <c r="M4972">
        <f>IF($A4972="","",MAX(0,ROUNDUP(DASHBOARD!$F$3-$D4972,0)))</f>
        <v/>
      </c>
      <c r="N4972">
        <f>IF($A4972="","",$K4972+(5002-ROW())/10000)</f>
        <v/>
      </c>
    </row>
    <row r="4973">
      <c r="K4973">
        <f>IF($A4973="","",SUM($E4973:$J4973))</f>
        <v/>
      </c>
      <c r="M4973">
        <f>IF($A4973="","",MAX(0,ROUNDUP(DASHBOARD!$F$3-$D4973,0)))</f>
        <v/>
      </c>
      <c r="N4973">
        <f>IF($A4973="","",$K4973+(5002-ROW())/10000)</f>
        <v/>
      </c>
    </row>
    <row r="4974">
      <c r="K4974">
        <f>IF($A4974="","",SUM($E4974:$J4974))</f>
        <v/>
      </c>
      <c r="M4974">
        <f>IF($A4974="","",MAX(0,ROUNDUP(DASHBOARD!$F$3-$D4974,0)))</f>
        <v/>
      </c>
      <c r="N4974">
        <f>IF($A4974="","",$K4974+(5002-ROW())/10000)</f>
        <v/>
      </c>
    </row>
    <row r="4975">
      <c r="K4975">
        <f>IF($A4975="","",SUM($E4975:$J4975))</f>
        <v/>
      </c>
      <c r="M4975">
        <f>IF($A4975="","",MAX(0,ROUNDUP(DASHBOARD!$F$3-$D4975,0)))</f>
        <v/>
      </c>
      <c r="N4975">
        <f>IF($A4975="","",$K4975+(5002-ROW())/10000)</f>
        <v/>
      </c>
    </row>
    <row r="4976">
      <c r="K4976">
        <f>IF($A4976="","",SUM($E4976:$J4976))</f>
        <v/>
      </c>
      <c r="M4976">
        <f>IF($A4976="","",MAX(0,ROUNDUP(DASHBOARD!$F$3-$D4976,0)))</f>
        <v/>
      </c>
      <c r="N4976">
        <f>IF($A4976="","",$K4976+(5002-ROW())/10000)</f>
        <v/>
      </c>
    </row>
    <row r="4977">
      <c r="K4977">
        <f>IF($A4977="","",SUM($E4977:$J4977))</f>
        <v/>
      </c>
      <c r="M4977">
        <f>IF($A4977="","",MAX(0,ROUNDUP(DASHBOARD!$F$3-$D4977,0)))</f>
        <v/>
      </c>
      <c r="N4977">
        <f>IF($A4977="","",$K4977+(5002-ROW())/10000)</f>
        <v/>
      </c>
    </row>
    <row r="4978">
      <c r="K4978">
        <f>IF($A4978="","",SUM($E4978:$J4978))</f>
        <v/>
      </c>
      <c r="M4978">
        <f>IF($A4978="","",MAX(0,ROUNDUP(DASHBOARD!$F$3-$D4978,0)))</f>
        <v/>
      </c>
      <c r="N4978">
        <f>IF($A4978="","",$K4978+(5002-ROW())/10000)</f>
        <v/>
      </c>
    </row>
    <row r="4979">
      <c r="K4979">
        <f>IF($A4979="","",SUM($E4979:$J4979))</f>
        <v/>
      </c>
      <c r="M4979">
        <f>IF($A4979="","",MAX(0,ROUNDUP(DASHBOARD!$F$3-$D4979,0)))</f>
        <v/>
      </c>
      <c r="N4979">
        <f>IF($A4979="","",$K4979+(5002-ROW())/10000)</f>
        <v/>
      </c>
    </row>
    <row r="4980">
      <c r="K4980">
        <f>IF($A4980="","",SUM($E4980:$J4980))</f>
        <v/>
      </c>
      <c r="M4980">
        <f>IF($A4980="","",MAX(0,ROUNDUP(DASHBOARD!$F$3-$D4980,0)))</f>
        <v/>
      </c>
      <c r="N4980">
        <f>IF($A4980="","",$K4980+(5002-ROW())/10000)</f>
        <v/>
      </c>
    </row>
    <row r="4981">
      <c r="K4981">
        <f>IF($A4981="","",SUM($E4981:$J4981))</f>
        <v/>
      </c>
      <c r="M4981">
        <f>IF($A4981="","",MAX(0,ROUNDUP(DASHBOARD!$F$3-$D4981,0)))</f>
        <v/>
      </c>
      <c r="N4981">
        <f>IF($A4981="","",$K4981+(5002-ROW())/10000)</f>
        <v/>
      </c>
    </row>
    <row r="4982">
      <c r="K4982">
        <f>IF($A4982="","",SUM($E4982:$J4982))</f>
        <v/>
      </c>
      <c r="M4982">
        <f>IF($A4982="","",MAX(0,ROUNDUP(DASHBOARD!$F$3-$D4982,0)))</f>
        <v/>
      </c>
      <c r="N4982">
        <f>IF($A4982="","",$K4982+(5002-ROW())/10000)</f>
        <v/>
      </c>
    </row>
    <row r="4983">
      <c r="K4983">
        <f>IF($A4983="","",SUM($E4983:$J4983))</f>
        <v/>
      </c>
      <c r="M4983">
        <f>IF($A4983="","",MAX(0,ROUNDUP(DASHBOARD!$F$3-$D4983,0)))</f>
        <v/>
      </c>
      <c r="N4983">
        <f>IF($A4983="","",$K4983+(5002-ROW())/10000)</f>
        <v/>
      </c>
    </row>
    <row r="4984">
      <c r="K4984">
        <f>IF($A4984="","",SUM($E4984:$J4984))</f>
        <v/>
      </c>
      <c r="M4984">
        <f>IF($A4984="","",MAX(0,ROUNDUP(DASHBOARD!$F$3-$D4984,0)))</f>
        <v/>
      </c>
      <c r="N4984">
        <f>IF($A4984="","",$K4984+(5002-ROW())/10000)</f>
        <v/>
      </c>
    </row>
    <row r="4985">
      <c r="K4985">
        <f>IF($A4985="","",SUM($E4985:$J4985))</f>
        <v/>
      </c>
      <c r="M4985">
        <f>IF($A4985="","",MAX(0,ROUNDUP(DASHBOARD!$F$3-$D4985,0)))</f>
        <v/>
      </c>
      <c r="N4985">
        <f>IF($A4985="","",$K4985+(5002-ROW())/10000)</f>
        <v/>
      </c>
    </row>
    <row r="4986">
      <c r="K4986">
        <f>IF($A4986="","",SUM($E4986:$J4986))</f>
        <v/>
      </c>
      <c r="M4986">
        <f>IF($A4986="","",MAX(0,ROUNDUP(DASHBOARD!$F$3-$D4986,0)))</f>
        <v/>
      </c>
      <c r="N4986">
        <f>IF($A4986="","",$K4986+(5002-ROW())/10000)</f>
        <v/>
      </c>
    </row>
    <row r="4987">
      <c r="K4987">
        <f>IF($A4987="","",SUM($E4987:$J4987))</f>
        <v/>
      </c>
      <c r="M4987">
        <f>IF($A4987="","",MAX(0,ROUNDUP(DASHBOARD!$F$3-$D4987,0)))</f>
        <v/>
      </c>
      <c r="N4987">
        <f>IF($A4987="","",$K4987+(5002-ROW())/10000)</f>
        <v/>
      </c>
    </row>
    <row r="4988">
      <c r="K4988">
        <f>IF($A4988="","",SUM($E4988:$J4988))</f>
        <v/>
      </c>
      <c r="M4988">
        <f>IF($A4988="","",MAX(0,ROUNDUP(DASHBOARD!$F$3-$D4988,0)))</f>
        <v/>
      </c>
      <c r="N4988">
        <f>IF($A4988="","",$K4988+(5002-ROW())/10000)</f>
        <v/>
      </c>
    </row>
    <row r="4989">
      <c r="K4989">
        <f>IF($A4989="","",SUM($E4989:$J4989))</f>
        <v/>
      </c>
      <c r="M4989">
        <f>IF($A4989="","",MAX(0,ROUNDUP(DASHBOARD!$F$3-$D4989,0)))</f>
        <v/>
      </c>
      <c r="N4989">
        <f>IF($A4989="","",$K4989+(5002-ROW())/10000)</f>
        <v/>
      </c>
    </row>
    <row r="4990">
      <c r="K4990">
        <f>IF($A4990="","",SUM($E4990:$J4990))</f>
        <v/>
      </c>
      <c r="M4990">
        <f>IF($A4990="","",MAX(0,ROUNDUP(DASHBOARD!$F$3-$D4990,0)))</f>
        <v/>
      </c>
      <c r="N4990">
        <f>IF($A4990="","",$K4990+(5002-ROW())/10000)</f>
        <v/>
      </c>
    </row>
    <row r="4991">
      <c r="K4991">
        <f>IF($A4991="","",SUM($E4991:$J4991))</f>
        <v/>
      </c>
      <c r="M4991">
        <f>IF($A4991="","",MAX(0,ROUNDUP(DASHBOARD!$F$3-$D4991,0)))</f>
        <v/>
      </c>
      <c r="N4991">
        <f>IF($A4991="","",$K4991+(5002-ROW())/10000)</f>
        <v/>
      </c>
    </row>
    <row r="4992">
      <c r="K4992">
        <f>IF($A4992="","",SUM($E4992:$J4992))</f>
        <v/>
      </c>
      <c r="M4992">
        <f>IF($A4992="","",MAX(0,ROUNDUP(DASHBOARD!$F$3-$D4992,0)))</f>
        <v/>
      </c>
      <c r="N4992">
        <f>IF($A4992="","",$K4992+(5002-ROW())/10000)</f>
        <v/>
      </c>
    </row>
    <row r="4993">
      <c r="K4993">
        <f>IF($A4993="","",SUM($E4993:$J4993))</f>
        <v/>
      </c>
      <c r="M4993">
        <f>IF($A4993="","",MAX(0,ROUNDUP(DASHBOARD!$F$3-$D4993,0)))</f>
        <v/>
      </c>
      <c r="N4993">
        <f>IF($A4993="","",$K4993+(5002-ROW())/10000)</f>
        <v/>
      </c>
    </row>
    <row r="4994">
      <c r="K4994">
        <f>IF($A4994="","",SUM($E4994:$J4994))</f>
        <v/>
      </c>
      <c r="M4994">
        <f>IF($A4994="","",MAX(0,ROUNDUP(DASHBOARD!$F$3-$D4994,0)))</f>
        <v/>
      </c>
      <c r="N4994">
        <f>IF($A4994="","",$K4994+(5002-ROW())/10000)</f>
        <v/>
      </c>
    </row>
    <row r="4995">
      <c r="K4995">
        <f>IF($A4995="","",SUM($E4995:$J4995))</f>
        <v/>
      </c>
      <c r="M4995">
        <f>IF($A4995="","",MAX(0,ROUNDUP(DASHBOARD!$F$3-$D4995,0)))</f>
        <v/>
      </c>
      <c r="N4995">
        <f>IF($A4995="","",$K4995+(5002-ROW())/10000)</f>
        <v/>
      </c>
    </row>
    <row r="4996">
      <c r="K4996">
        <f>IF($A4996="","",SUM($E4996:$J4996))</f>
        <v/>
      </c>
      <c r="M4996">
        <f>IF($A4996="","",MAX(0,ROUNDUP(DASHBOARD!$F$3-$D4996,0)))</f>
        <v/>
      </c>
      <c r="N4996">
        <f>IF($A4996="","",$K4996+(5002-ROW())/10000)</f>
        <v/>
      </c>
    </row>
    <row r="4997">
      <c r="K4997">
        <f>IF($A4997="","",SUM($E4997:$J4997))</f>
        <v/>
      </c>
      <c r="M4997">
        <f>IF($A4997="","",MAX(0,ROUNDUP(DASHBOARD!$F$3-$D4997,0)))</f>
        <v/>
      </c>
      <c r="N4997">
        <f>IF($A4997="","",$K4997+(5002-ROW())/10000)</f>
        <v/>
      </c>
    </row>
    <row r="4998">
      <c r="K4998">
        <f>IF($A4998="","",SUM($E4998:$J4998))</f>
        <v/>
      </c>
      <c r="M4998">
        <f>IF($A4998="","",MAX(0,ROUNDUP(DASHBOARD!$F$3-$D4998,0)))</f>
        <v/>
      </c>
      <c r="N4998">
        <f>IF($A4998="","",$K4998+(5002-ROW())/10000)</f>
        <v/>
      </c>
    </row>
    <row r="4999">
      <c r="K4999">
        <f>IF($A4999="","",SUM($E4999:$J4999))</f>
        <v/>
      </c>
      <c r="M4999">
        <f>IF($A4999="","",MAX(0,ROUNDUP(DASHBOARD!$F$3-$D4999,0)))</f>
        <v/>
      </c>
      <c r="N4999">
        <f>IF($A4999="","",$K4999+(5002-ROW())/10000)</f>
        <v/>
      </c>
    </row>
    <row r="5000">
      <c r="K5000">
        <f>IF($A5000="","",SUM($E5000:$J5000))</f>
        <v/>
      </c>
      <c r="M5000">
        <f>IF($A5000="","",MAX(0,ROUNDUP(DASHBOARD!$F$3-$D5000,0)))</f>
        <v/>
      </c>
      <c r="N5000">
        <f>IF($A5000="","",$K5000+(5002-ROW())/10000)</f>
        <v/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1"/>
  <sheetViews>
    <sheetView showGridLines="0" tabSelected="1" zoomScale="80" zoomScaleNormal="80" workbookViewId="0">
      <selection activeCell="L7" sqref="L7"/>
    </sheetView>
  </sheetViews>
  <sheetFormatPr baseColWidth="10" defaultColWidth="12.61328125" defaultRowHeight="15" customHeight="1"/>
  <cols>
    <col width="1.765625" customWidth="1" min="1" max="1"/>
    <col width="13.23046875" customWidth="1" min="2" max="2"/>
    <col width="15.765625" customWidth="1" min="3" max="7"/>
    <col width="15.4609375" customWidth="1" min="8" max="8"/>
    <col width="14.3828125" customWidth="1" min="9" max="9"/>
    <col width="13.61328125" customWidth="1" min="10" max="10"/>
    <col width="15.15234375" customWidth="1" min="11" max="11"/>
    <col width="9.765625" customWidth="1" min="12" max="17"/>
    <col width="18.84375" customWidth="1" min="18" max="18"/>
    <col width="21.4609375" customWidth="1" min="19" max="19"/>
    <col outlineLevel="1" width="21.4609375" customWidth="1" min="20" max="20"/>
    <col outlineLevel="1" width="14" customWidth="1" min="21" max="21"/>
    <col outlineLevel="1" width="10.765625" customWidth="1" min="22" max="22"/>
    <col width="11.15234375" customWidth="1" min="23" max="23"/>
    <col width="10.61328125" customWidth="1" min="24" max="26"/>
  </cols>
  <sheetData>
    <row r="1" ht="8.6" customFormat="1" customHeight="1" s="133" thickBot="1"/>
    <row r="2" ht="20.25" customHeight="1">
      <c r="A2" s="13" t="n"/>
      <c r="B2" s="14" t="inlineStr">
        <is>
          <t>T. POR CERRAR  +  T. DEL DÍA</t>
        </is>
      </c>
      <c r="C2" s="15" t="n"/>
      <c r="D2" s="15" t="n"/>
      <c r="E2" s="15" t="n"/>
      <c r="F2" s="135" t="inlineStr">
        <is>
          <t>FECHA  DE CORTE</t>
        </is>
      </c>
      <c r="H2" s="16" t="inlineStr">
        <is>
          <t>TABLERO</t>
        </is>
      </c>
      <c r="J2" s="132" t="n"/>
      <c r="K2" s="132" t="n"/>
      <c r="L2" s="136" t="inlineStr">
        <is>
          <t xml:space="preserve">ANTIGÜEDAD DE TARJETAS </t>
        </is>
      </c>
      <c r="M2" s="137" t="n"/>
      <c r="N2" s="121" t="inlineStr">
        <is>
          <t>■  Vencidas &gt; 1 día</t>
        </is>
      </c>
      <c r="O2" s="122" t="n"/>
      <c r="P2" s="123" t="n"/>
      <c r="Q2" s="124">
        <f>$U$22</f>
        <v/>
      </c>
      <c r="R2" s="125">
        <f>$V$22</f>
        <v/>
      </c>
      <c r="S2" s="17" t="n"/>
      <c r="T2" s="18" t="inlineStr">
        <is>
          <t>TABLAS DE APOYO — FUENTE DE LOS GRÁFICOS</t>
        </is>
      </c>
      <c r="U2" s="13" t="n"/>
      <c r="V2" s="13" t="n"/>
      <c r="W2" s="17" t="n"/>
      <c r="X2" s="17" t="n"/>
      <c r="Y2" s="17" t="n"/>
      <c r="Z2" s="17" t="n"/>
    </row>
    <row r="3" ht="20.25" customHeight="1">
      <c r="A3" s="13" t="n"/>
      <c r="B3" s="19" t="inlineStr">
        <is>
          <t>CONTROL OPERATIVO – LAST PLANNER</t>
        </is>
      </c>
      <c r="C3" s="15" t="n"/>
      <c r="D3" s="15" t="n"/>
      <c r="E3" s="15" t="n"/>
      <c r="F3" s="138">
        <f>IFERROR(MAX(DATOS!$D$2:$D$5001),TODAY())</f>
        <v/>
      </c>
      <c r="H3" s="113" t="inlineStr">
        <is>
          <t>CONSTRUCCIÓN DE AULAS</t>
        </is>
      </c>
      <c r="K3" s="113" t="n"/>
      <c r="L3" s="139" t="n"/>
      <c r="M3" s="140" t="n"/>
      <c r="N3" s="114" t="inlineStr">
        <is>
          <t>■  Vencidas 1 día (ayer)</t>
        </is>
      </c>
      <c r="O3" s="93" t="n"/>
      <c r="P3" s="94" t="n"/>
      <c r="Q3" s="95">
        <f>$U$23</f>
        <v/>
      </c>
      <c r="R3" s="126">
        <f>$V$23</f>
        <v/>
      </c>
      <c r="S3" s="17" t="n"/>
      <c r="T3" s="13" t="n"/>
      <c r="U3" s="13" t="n"/>
      <c r="V3" s="13" t="n"/>
      <c r="W3" s="17" t="n"/>
      <c r="X3" s="17" t="n"/>
      <c r="Y3" s="17" t="n"/>
      <c r="Z3" s="17" t="n"/>
    </row>
    <row r="4" ht="20.25" customHeight="1" thickBot="1">
      <c r="A4" s="13" t="n"/>
      <c r="B4" s="20" t="inlineStr">
        <is>
          <t>Corte de pendientes: vencidos de ayer hacia atrás vs. actividades programadas hoy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119" t="inlineStr">
        <is>
          <t>TOTAL</t>
        </is>
      </c>
      <c r="M4" s="120">
        <f>SUM(Q2:Q4)</f>
        <v/>
      </c>
      <c r="N4" s="127" t="inlineStr">
        <is>
          <t>■  Vence hoy</t>
        </is>
      </c>
      <c r="O4" s="128" t="n"/>
      <c r="P4" s="129" t="n"/>
      <c r="Q4" s="130">
        <f>$U$24</f>
        <v/>
      </c>
      <c r="R4" s="131">
        <f>$V$24</f>
        <v/>
      </c>
      <c r="S4" s="17" t="n"/>
      <c r="T4" s="22" t="inlineStr">
        <is>
          <t>CHECKS PENDIENTES POR RESPONSABLE</t>
        </is>
      </c>
      <c r="U4" s="13" t="n"/>
      <c r="V4" s="13" t="n"/>
      <c r="W4" s="17" t="n"/>
      <c r="X4" s="17" t="n"/>
      <c r="Y4" s="17" t="n"/>
      <c r="Z4" s="17" t="n"/>
    </row>
    <row r="5" ht="7.5" customHeight="1" thickBot="1" thickTop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7" t="n"/>
      <c r="T5" s="23" t="inlineStr">
        <is>
          <t>RESPONSABLE</t>
        </is>
      </c>
      <c r="U5" s="24" t="inlineStr">
        <is>
          <t>AYER Y ANTES</t>
        </is>
      </c>
      <c r="V5" s="24" t="inlineStr">
        <is>
          <t>HOY</t>
        </is>
      </c>
      <c r="W5" s="25" t="inlineStr">
        <is>
          <t>TOTAL</t>
        </is>
      </c>
      <c r="X5" s="17" t="n"/>
      <c r="Y5" s="17" t="n"/>
      <c r="Z5" s="17" t="n"/>
    </row>
    <row r="6" ht="39.75" customHeight="1" thickBot="1" thickTop="1">
      <c r="A6" s="13" t="n"/>
      <c r="B6" s="105">
        <f>COUNTA(DATOS!$A$2:$A$5001)</f>
        <v/>
      </c>
      <c r="C6" s="106">
        <f>SUM(DATOS!$K$2:$K$5001)</f>
        <v/>
      </c>
      <c r="D6" s="94" t="n"/>
      <c r="E6" s="98" t="n"/>
      <c r="F6" s="26" t="n"/>
      <c r="G6" s="26" t="n"/>
      <c r="H6" s="26" t="n"/>
      <c r="I6" s="26" t="n"/>
      <c r="J6" s="27" t="n"/>
      <c r="K6" s="27" t="n"/>
      <c r="S6" s="17" t="n"/>
      <c r="T6" s="28" t="inlineStr">
        <is>
          <t>EST</t>
        </is>
      </c>
      <c r="U6" s="29">
        <f>SUMIF(DATOS!$P$2:$P$5001,U$5,DATOS!$E$2:$E$5001)</f>
        <v/>
      </c>
      <c r="V6" s="29">
        <f>SUMIF(DATOS!$P$2:$P$5001,V$5,DATOS!$E$2:$E$5001)</f>
        <v/>
      </c>
      <c r="W6" s="30">
        <f>U6+V6</f>
        <v/>
      </c>
      <c r="X6" s="17" t="n"/>
      <c r="Y6" s="17" t="n"/>
      <c r="Z6" s="17" t="n"/>
    </row>
    <row r="7" ht="19.5" customHeight="1" thickTop="1">
      <c r="A7" s="13" t="n"/>
      <c r="B7" s="103" t="inlineStr">
        <is>
          <t>TARJETAS SIN CERRAR (AYER Y ANTES + HOY)</t>
        </is>
      </c>
      <c r="C7" s="101" t="inlineStr">
        <is>
          <t>CHECKS PENDIENTES (TOTAL DEL CORTE)</t>
        </is>
      </c>
      <c r="D7" s="100" t="n"/>
      <c r="E7" s="97" t="n"/>
      <c r="F7" s="26" t="n"/>
      <c r="G7" s="26" t="n"/>
      <c r="H7" s="26" t="n"/>
      <c r="I7" s="26" t="n"/>
      <c r="J7" s="26" t="n"/>
      <c r="K7" s="26" t="n"/>
      <c r="S7" s="17" t="n"/>
      <c r="T7" s="28" t="inlineStr">
        <is>
          <t>CAL</t>
        </is>
      </c>
      <c r="U7" s="29">
        <f>SUMIF(DATOS!$P$2:$P$5001,U$5,DATOS!$F$2:$F$5001)</f>
        <v/>
      </c>
      <c r="V7" s="29">
        <f>SUMIF(DATOS!$P$2:$P$5001,V$5,DATOS!$F$2:$F$5001)</f>
        <v/>
      </c>
      <c r="W7" s="30">
        <f>U7+V7</f>
        <v/>
      </c>
      <c r="X7" s="17" t="n"/>
      <c r="Y7" s="17" t="n"/>
      <c r="Z7" s="17" t="n"/>
    </row>
    <row r="8" ht="19.5" customHeight="1">
      <c r="A8" s="13" t="n"/>
      <c r="B8" s="141" t="n"/>
      <c r="C8" s="142" t="n"/>
      <c r="D8" s="94" t="n"/>
      <c r="E8" s="96" t="n"/>
      <c r="F8" s="26" t="n"/>
      <c r="G8" s="26" t="n"/>
      <c r="H8" s="26" t="n"/>
      <c r="I8" s="26" t="n"/>
      <c r="J8" s="26" t="n"/>
      <c r="K8" s="26" t="n"/>
      <c r="S8" s="17" t="n"/>
      <c r="T8" s="28" t="inlineStr">
        <is>
          <t>CAMP</t>
        </is>
      </c>
      <c r="U8" s="29">
        <f>SUMIF(DATOS!$P$2:$P$5001,U$5,DATOS!$G$2:$G$5001)</f>
        <v/>
      </c>
      <c r="V8" s="29">
        <f>SUMIF(DATOS!$P$2:$P$5001,V$5,DATOS!$G$2:$G$5001)</f>
        <v/>
      </c>
      <c r="W8" s="30">
        <f>U8+V8</f>
        <v/>
      </c>
      <c r="X8" s="17" t="n"/>
      <c r="Y8" s="17" t="n"/>
      <c r="Z8" s="17" t="n"/>
    </row>
    <row r="9" ht="19.5" customHeight="1">
      <c r="A9" s="13" t="n"/>
      <c r="B9" s="141" t="n"/>
      <c r="C9" s="142" t="n"/>
      <c r="D9" s="100" t="n"/>
      <c r="E9" s="97" t="n"/>
      <c r="F9" s="26" t="n"/>
      <c r="G9" s="26" t="n"/>
      <c r="H9" s="26" t="n"/>
      <c r="I9" s="26" t="n"/>
      <c r="J9" s="26" t="n"/>
      <c r="K9" s="26" t="n"/>
      <c r="S9" s="17" t="n"/>
      <c r="T9" s="28" t="inlineStr">
        <is>
          <t>AMB</t>
        </is>
      </c>
      <c r="U9" s="29">
        <f>SUMIF(DATOS!$P$2:$P$5001,U$5,DATOS!$H$2:$H$5001)</f>
        <v/>
      </c>
      <c r="V9" s="29">
        <f>SUMIF(DATOS!$P$2:$P$5001,V$5,DATOS!$H$2:$H$5001)</f>
        <v/>
      </c>
      <c r="W9" s="30">
        <f>U9+V9</f>
        <v/>
      </c>
      <c r="X9" s="17" t="n"/>
      <c r="Y9" s="17" t="n"/>
      <c r="Z9" s="17" t="n"/>
    </row>
    <row r="10" ht="19.5" customHeight="1">
      <c r="A10" s="13" t="n"/>
      <c r="B10" s="141" t="n"/>
      <c r="C10" s="142" t="n"/>
      <c r="D10" s="134" t="n"/>
      <c r="E10" s="31" t="n"/>
      <c r="F10" s="26" t="n"/>
      <c r="G10" s="26" t="n"/>
      <c r="H10" s="26" t="n"/>
      <c r="I10" s="26" t="n"/>
      <c r="J10" s="32" t="n"/>
      <c r="K10" s="32" t="n"/>
      <c r="S10" s="17" t="n"/>
      <c r="T10" s="28" t="inlineStr">
        <is>
          <t>BIM</t>
        </is>
      </c>
      <c r="U10" s="29">
        <f>SUMIF(DATOS!$P$2:$P$5001,U$5,DATOS!$I$2:$I$5001)</f>
        <v/>
      </c>
      <c r="V10" s="29">
        <f>SUMIF(DATOS!$P$2:$P$5001,V$5,DATOS!$I$2:$I$5001)</f>
        <v/>
      </c>
      <c r="W10" s="30">
        <f>U10+V10</f>
        <v/>
      </c>
      <c r="X10" s="17" t="n"/>
      <c r="Y10" s="17" t="n"/>
      <c r="Z10" s="17" t="n"/>
    </row>
    <row r="11" ht="19.5" customHeight="1" thickBot="1">
      <c r="A11" s="13" t="n"/>
      <c r="B11" s="143" t="n"/>
      <c r="C11" s="144" t="n"/>
      <c r="D11" s="99" t="n"/>
      <c r="E11" s="9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7" t="n"/>
      <c r="T11" s="28" t="inlineStr">
        <is>
          <t>SSOMA</t>
        </is>
      </c>
      <c r="U11" s="29">
        <f>SUMIF(DATOS!$P$2:$P$5001,U$5,DATOS!$J$2:$J$5001)</f>
        <v/>
      </c>
      <c r="V11" s="29">
        <f>SUMIF(DATOS!$P$2:$P$5001,V$5,DATOS!$J$2:$J$5001)</f>
        <v/>
      </c>
      <c r="W11" s="30">
        <f>U11+V11</f>
        <v/>
      </c>
      <c r="X11" s="17" t="n"/>
      <c r="Y11" s="17" t="n"/>
      <c r="Z11" s="17" t="n"/>
    </row>
    <row r="12" ht="19.5" customHeight="1" thickBot="1">
      <c r="A12" s="13" t="n"/>
      <c r="B12" s="145" t="inlineStr">
        <is>
          <t>DETALLE DE TARJETAS — T. POR CERRAR (AYER Y ANTES) Y T. DEL DÍA (HOY)</t>
        </is>
      </c>
      <c r="C12" s="146" t="n"/>
      <c r="D12" s="146" t="n"/>
      <c r="E12" s="146" t="n"/>
      <c r="F12" s="146" t="n"/>
      <c r="G12" s="146" t="n"/>
      <c r="H12" s="146" t="n"/>
      <c r="I12" s="146" t="n"/>
      <c r="J12" s="146" t="n"/>
      <c r="K12" s="146" t="n"/>
      <c r="L12" s="146" t="n"/>
      <c r="M12" s="146" t="n"/>
      <c r="N12" s="146" t="n"/>
      <c r="O12" s="146" t="n"/>
      <c r="P12" s="146" t="n"/>
      <c r="Q12" s="146" t="n"/>
      <c r="R12" s="147" t="n"/>
      <c r="S12" s="17" t="n"/>
      <c r="T12" s="33" t="inlineStr">
        <is>
          <t>TOTAL</t>
        </is>
      </c>
      <c r="U12" s="34">
        <f>SUM(U6:U11)</f>
        <v/>
      </c>
      <c r="V12" s="34">
        <f>SUM(V6:V11)</f>
        <v/>
      </c>
      <c r="W12" s="35">
        <f>SUM(W6:W11)</f>
        <v/>
      </c>
      <c r="X12" s="17" t="n"/>
      <c r="Y12" s="17" t="n"/>
      <c r="Z12" s="17" t="n"/>
    </row>
    <row r="13" ht="27.9" customHeight="1">
      <c r="A13" s="36" t="n"/>
      <c r="B13" s="37" t="inlineStr">
        <is>
          <t>SECTOR / ZONA</t>
        </is>
      </c>
      <c r="C13" s="37" t="inlineStr">
        <is>
          <t>ACTIVIDAD</t>
        </is>
      </c>
      <c r="D13" s="37" t="n"/>
      <c r="E13" s="37" t="n"/>
      <c r="F13" s="37" t="n"/>
      <c r="G13" s="37" t="n"/>
      <c r="H13" s="37" t="inlineStr">
        <is>
          <t>FAMILIA</t>
        </is>
      </c>
      <c r="I13" s="37" t="inlineStr">
        <is>
          <t>VENCE</t>
        </is>
      </c>
      <c r="J13" s="37" t="inlineStr">
        <is>
          <t>ANTIGÜEDAD (días)</t>
        </is>
      </c>
      <c r="K13" s="37" t="inlineStr">
        <is>
          <t>CHECKS PENDIENTES</t>
        </is>
      </c>
      <c r="L13" s="148" t="inlineStr">
        <is>
          <t>PENDIENTES POR RESPONSABLE</t>
        </is>
      </c>
      <c r="R13" s="38" t="inlineStr">
        <is>
          <t>DÍA DEL CORTE</t>
        </is>
      </c>
      <c r="S13" s="39" t="n"/>
      <c r="W13" s="17" t="n"/>
      <c r="X13" s="17" t="n"/>
      <c r="Y13" s="17" t="n"/>
      <c r="Z13" s="17" t="n"/>
    </row>
    <row r="14" ht="19.5" customHeight="1">
      <c r="A14" s="36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inlineStr">
        <is>
          <t>Est.</t>
        </is>
      </c>
      <c r="M14" s="37" t="inlineStr">
        <is>
          <t>Cal.</t>
        </is>
      </c>
      <c r="N14" s="37" t="inlineStr">
        <is>
          <t>Campo</t>
        </is>
      </c>
      <c r="O14" s="37" t="inlineStr">
        <is>
          <t>Amb.</t>
        </is>
      </c>
      <c r="P14" s="37" t="inlineStr">
        <is>
          <t>BIM</t>
        </is>
      </c>
      <c r="Q14" s="37" t="inlineStr">
        <is>
          <t>Seg.</t>
        </is>
      </c>
      <c r="R14" s="40" t="n"/>
      <c r="S14" s="39" t="n"/>
      <c r="W14" s="17" t="n"/>
      <c r="X14" s="17" t="n"/>
      <c r="Y14" s="17" t="n"/>
      <c r="Z14" s="17" t="n"/>
    </row>
    <row r="15" ht="16.3" customHeight="1">
      <c r="A15" s="41" t="n"/>
      <c r="B15" s="42">
        <f t="array" ref="B15">IF(INDEX(DATOS!$A$1:$A$201,ROW()-12)="","",INDEX(DATOS!$A$1:$A$201,ROW()-12))</f>
        <v/>
      </c>
      <c r="C15" s="149">
        <f t="array" ref="C15">IF(INDEX(DATOS!$B$1:$B$201,ROW()-12)="","",INDEX(DATOS!$B$1:$B$201,ROW()-12))</f>
        <v/>
      </c>
      <c r="D15" s="150" t="n"/>
      <c r="E15" s="150" t="n"/>
      <c r="F15" s="150" t="n"/>
      <c r="G15" s="151" t="n"/>
      <c r="H15" s="43">
        <f t="array" ref="H15">IF(INDEX(DATOS!$C$1:$C$201,ROW()-12)="","",INDEX(DATOS!$C$1:$C$201,ROW()-12))</f>
        <v/>
      </c>
      <c r="I15" s="44">
        <f t="array" ref="I15">IF(INDEX(DATOS!$D$1:$D$201,ROW()-12)="","",INDEX(DATOS!$D$1:$D$201,ROW()-12))</f>
        <v/>
      </c>
      <c r="J15" s="45">
        <f t="array" ref="J15">IF(INDEX(DATOS!$M$1:$M$201,ROW()-12)="","",INDEX(DATOS!$M$1:$M$201,ROW()-12))</f>
        <v/>
      </c>
      <c r="K15" s="46">
        <f t="array" ref="K15">IF(INDEX(DATOS!$K$1:$K$201,ROW()-12)="","",INDEX(DATOS!$K$1:$K$201,ROW()-12))</f>
        <v/>
      </c>
      <c r="L15" s="47">
        <f t="array" ref="L15">IF(INDEX(DATOS!$E$1:$E$201,ROW()-12)="","",INDEX(DATOS!$E$1:$E$201,ROW()-12))</f>
        <v/>
      </c>
      <c r="M15" s="47">
        <f t="array" ref="M15">IF(INDEX(DATOS!$F$1:$F$201,ROW()-12)="","",INDEX(DATOS!$F$1:$F$201,ROW()-12))</f>
        <v/>
      </c>
      <c r="N15" s="47">
        <f t="array" ref="N15">IF(INDEX(DATOS!$G$1:$G$201,ROW()-12)="","",INDEX(DATOS!$G$1:$G$201,ROW()-12))</f>
        <v/>
      </c>
      <c r="O15" s="47">
        <f t="array" ref="O15">IF(INDEX(DATOS!$H$1:$H$201,ROW()-12)="","",INDEX(DATOS!$H$1:$H$201,ROW()-12))</f>
        <v/>
      </c>
      <c r="P15" s="47">
        <f t="array" ref="P15">IF(INDEX(DATOS!$I$1:$I$201,ROW()-12)="","",INDEX(DATOS!$I$1:$I$201,ROW()-12))</f>
        <v/>
      </c>
      <c r="Q15" s="48">
        <f t="array" ref="Q15">IF(INDEX(DATOS!$J$1:$J$201,ROW()-12)="","",INDEX(DATOS!$J$1:$J$201,ROW()-12))</f>
        <v/>
      </c>
      <c r="R15" s="49">
        <f t="array" ref="R15">IF(INDEX(DATOS!$P$1:$P$201,ROW()-12)="","",INDEX(DATOS!$P$1:$P$201,ROW()-12))</f>
        <v/>
      </c>
      <c r="S15" s="50" t="n"/>
      <c r="W15" s="17" t="n"/>
      <c r="X15" s="17" t="n"/>
      <c r="Y15" s="17" t="n"/>
      <c r="Z15" s="17" t="n"/>
    </row>
    <row r="16" ht="16.3" customHeight="1">
      <c r="A16" s="41" t="n"/>
      <c r="B16" s="42">
        <f t="array" ref="B16">IF(INDEX(DATOS!$A$1:$A$201,ROW()-12)="","",INDEX(DATOS!$A$1:$A$201,ROW()-12))</f>
        <v/>
      </c>
      <c r="C16" s="149">
        <f t="array" ref="C16">IF(INDEX(DATOS!$B$1:$B$201,ROW()-12)="","",INDEX(DATOS!$B$1:$B$201,ROW()-12))</f>
        <v/>
      </c>
      <c r="D16" s="150" t="n"/>
      <c r="E16" s="150" t="n"/>
      <c r="F16" s="150" t="n"/>
      <c r="G16" s="151" t="n"/>
      <c r="H16" s="43">
        <f t="array" ref="H16">IF(INDEX(DATOS!$C$1:$C$201,ROW()-12)="","",INDEX(DATOS!$C$1:$C$201,ROW()-12))</f>
        <v/>
      </c>
      <c r="I16" s="44">
        <f t="array" ref="I16">IF(INDEX(DATOS!$D$1:$D$201,ROW()-12)="","",INDEX(DATOS!$D$1:$D$201,ROW()-12))</f>
        <v/>
      </c>
      <c r="J16" s="45">
        <f t="array" ref="J16">IF(INDEX(DATOS!$M$1:$M$201,ROW()-12)="","",INDEX(DATOS!$M$1:$M$201,ROW()-12))</f>
        <v/>
      </c>
      <c r="K16" s="46">
        <f t="array" ref="K16">IF(INDEX(DATOS!$K$1:$K$201,ROW()-12)="","",INDEX(DATOS!$K$1:$K$201,ROW()-12))</f>
        <v/>
      </c>
      <c r="L16" s="47">
        <f t="array" ref="L16">IF(INDEX(DATOS!$E$1:$E$201,ROW()-12)="","",INDEX(DATOS!$E$1:$E$201,ROW()-12))</f>
        <v/>
      </c>
      <c r="M16" s="47">
        <f t="array" ref="M16">IF(INDEX(DATOS!$F$1:$F$201,ROW()-12)="","",INDEX(DATOS!$F$1:$F$201,ROW()-12))</f>
        <v/>
      </c>
      <c r="N16" s="47">
        <f t="array" ref="N16">IF(INDEX(DATOS!$G$1:$G$201,ROW()-12)="","",INDEX(DATOS!$G$1:$G$201,ROW()-12))</f>
        <v/>
      </c>
      <c r="O16" s="47">
        <f t="array" ref="O16">IF(INDEX(DATOS!$H$1:$H$201,ROW()-12)="","",INDEX(DATOS!$H$1:$H$201,ROW()-12))</f>
        <v/>
      </c>
      <c r="P16" s="47">
        <f t="array" ref="P16">IF(INDEX(DATOS!$I$1:$I$201,ROW()-12)="","",INDEX(DATOS!$I$1:$I$201,ROW()-12))</f>
        <v/>
      </c>
      <c r="Q16" s="48">
        <f t="array" ref="Q16">IF(INDEX(DATOS!$J$1:$J$201,ROW()-12)="","",INDEX(DATOS!$J$1:$J$201,ROW()-12))</f>
        <v/>
      </c>
      <c r="R16" s="49">
        <f t="array" ref="R16">IF(INDEX(DATOS!$P$1:$P$201,ROW()-12)="","",INDEX(DATOS!$P$1:$P$201,ROW()-12))</f>
        <v/>
      </c>
      <c r="S16" s="50" t="n"/>
      <c r="W16" s="17" t="n"/>
      <c r="X16" s="17" t="n"/>
      <c r="Y16" s="17" t="n"/>
      <c r="Z16" s="17" t="n"/>
    </row>
    <row r="17" ht="16.3" customHeight="1">
      <c r="A17" s="41" t="n"/>
      <c r="B17" s="42">
        <f t="array" ref="B17">IF(INDEX(DATOS!$A$1:$A$201,ROW()-12)="","",INDEX(DATOS!$A$1:$A$201,ROW()-12))</f>
        <v/>
      </c>
      <c r="C17" s="149">
        <f t="array" ref="C17">IF(INDEX(DATOS!$B$1:$B$201,ROW()-12)="","",INDEX(DATOS!$B$1:$B$201,ROW()-12))</f>
        <v/>
      </c>
      <c r="D17" s="150" t="n"/>
      <c r="E17" s="150" t="n"/>
      <c r="F17" s="150" t="n"/>
      <c r="G17" s="151" t="n"/>
      <c r="H17" s="43">
        <f t="array" ref="H17">IF(INDEX(DATOS!$C$1:$C$201,ROW()-12)="","",INDEX(DATOS!$C$1:$C$201,ROW()-12))</f>
        <v/>
      </c>
      <c r="I17" s="44">
        <f t="array" ref="I17">IF(INDEX(DATOS!$D$1:$D$201,ROW()-12)="","",INDEX(DATOS!$D$1:$D$201,ROW()-12))</f>
        <v/>
      </c>
      <c r="J17" s="45">
        <f t="array" ref="J17">IF(INDEX(DATOS!$M$1:$M$201,ROW()-12)="","",INDEX(DATOS!$M$1:$M$201,ROW()-12))</f>
        <v/>
      </c>
      <c r="K17" s="46">
        <f t="array" ref="K17">IF(INDEX(DATOS!$K$1:$K$201,ROW()-12)="","",INDEX(DATOS!$K$1:$K$201,ROW()-12))</f>
        <v/>
      </c>
      <c r="L17" s="47">
        <f t="array" ref="L17">IF(INDEX(DATOS!$E$1:$E$201,ROW()-12)="","",INDEX(DATOS!$E$1:$E$201,ROW()-12))</f>
        <v/>
      </c>
      <c r="M17" s="47">
        <f t="array" ref="M17">IF(INDEX(DATOS!$F$1:$F$201,ROW()-12)="","",INDEX(DATOS!$F$1:$F$201,ROW()-12))</f>
        <v/>
      </c>
      <c r="N17" s="47">
        <f t="array" ref="N17">IF(INDEX(DATOS!$G$1:$G$201,ROW()-12)="","",INDEX(DATOS!$G$1:$G$201,ROW()-12))</f>
        <v/>
      </c>
      <c r="O17" s="47">
        <f t="array" ref="O17">IF(INDEX(DATOS!$H$1:$H$201,ROW()-12)="","",INDEX(DATOS!$H$1:$H$201,ROW()-12))</f>
        <v/>
      </c>
      <c r="P17" s="47">
        <f t="array" ref="P17">IF(INDEX(DATOS!$I$1:$I$201,ROW()-12)="","",INDEX(DATOS!$I$1:$I$201,ROW()-12))</f>
        <v/>
      </c>
      <c r="Q17" s="48">
        <f t="array" ref="Q17">IF(INDEX(DATOS!$J$1:$J$201,ROW()-12)="","",INDEX(DATOS!$J$1:$J$201,ROW()-12))</f>
        <v/>
      </c>
      <c r="R17" s="49">
        <f t="array" ref="R17">IF(INDEX(DATOS!$P$1:$P$201,ROW()-12)="","",INDEX(DATOS!$P$1:$P$201,ROW()-12))</f>
        <v/>
      </c>
      <c r="S17" s="50" t="n"/>
      <c r="W17" s="17" t="n"/>
      <c r="X17" s="17" t="n"/>
      <c r="Y17" s="17" t="n"/>
      <c r="Z17" s="17" t="n"/>
    </row>
    <row r="18" ht="16.3" customHeight="1">
      <c r="A18" s="41" t="n"/>
      <c r="B18" s="42">
        <f t="array" ref="B18">IF(INDEX(DATOS!$A$1:$A$201,ROW()-12)="","",INDEX(DATOS!$A$1:$A$201,ROW()-12))</f>
        <v/>
      </c>
      <c r="C18" s="149">
        <f t="array" ref="C18">IF(INDEX(DATOS!$B$1:$B$201,ROW()-12)="","",INDEX(DATOS!$B$1:$B$201,ROW()-12))</f>
        <v/>
      </c>
      <c r="D18" s="150" t="n"/>
      <c r="E18" s="150" t="n"/>
      <c r="F18" s="150" t="n"/>
      <c r="G18" s="151" t="n"/>
      <c r="H18" s="43">
        <f t="array" ref="H18">IF(INDEX(DATOS!$C$1:$C$201,ROW()-12)="","",INDEX(DATOS!$C$1:$C$201,ROW()-12))</f>
        <v/>
      </c>
      <c r="I18" s="44">
        <f t="array" ref="I18">IF(INDEX(DATOS!$D$1:$D$201,ROW()-12)="","",INDEX(DATOS!$D$1:$D$201,ROW()-12))</f>
        <v/>
      </c>
      <c r="J18" s="45">
        <f t="array" ref="J18">IF(INDEX(DATOS!$M$1:$M$201,ROW()-12)="","",INDEX(DATOS!$M$1:$M$201,ROW()-12))</f>
        <v/>
      </c>
      <c r="K18" s="46">
        <f t="array" ref="K18">IF(INDEX(DATOS!$K$1:$K$201,ROW()-12)="","",INDEX(DATOS!$K$1:$K$201,ROW()-12))</f>
        <v/>
      </c>
      <c r="L18" s="47">
        <f t="array" ref="L18">IF(INDEX(DATOS!$E$1:$E$201,ROW()-12)="","",INDEX(DATOS!$E$1:$E$201,ROW()-12))</f>
        <v/>
      </c>
      <c r="M18" s="47">
        <f t="array" ref="M18">IF(INDEX(DATOS!$F$1:$F$201,ROW()-12)="","",INDEX(DATOS!$F$1:$F$201,ROW()-12))</f>
        <v/>
      </c>
      <c r="N18" s="47">
        <f t="array" ref="N18">IF(INDEX(DATOS!$G$1:$G$201,ROW()-12)="","",INDEX(DATOS!$G$1:$G$201,ROW()-12))</f>
        <v/>
      </c>
      <c r="O18" s="47">
        <f t="array" ref="O18">IF(INDEX(DATOS!$H$1:$H$201,ROW()-12)="","",INDEX(DATOS!$H$1:$H$201,ROW()-12))</f>
        <v/>
      </c>
      <c r="P18" s="47">
        <f t="array" ref="P18">IF(INDEX(DATOS!$I$1:$I$201,ROW()-12)="","",INDEX(DATOS!$I$1:$I$201,ROW()-12))</f>
        <v/>
      </c>
      <c r="Q18" s="48">
        <f t="array" ref="Q18">IF(INDEX(DATOS!$J$1:$J$201,ROW()-12)="","",INDEX(DATOS!$J$1:$J$201,ROW()-12))</f>
        <v/>
      </c>
      <c r="R18" s="49">
        <f t="array" ref="R18">IF(INDEX(DATOS!$P$1:$P$201,ROW()-12)="","",INDEX(DATOS!$P$1:$P$201,ROW()-12))</f>
        <v/>
      </c>
      <c r="S18" s="50" t="n"/>
      <c r="W18" s="17" t="n"/>
      <c r="X18" s="17" t="n"/>
      <c r="Y18" s="17" t="n"/>
      <c r="Z18" s="17" t="n"/>
    </row>
    <row r="19" ht="16.3" customHeight="1">
      <c r="A19" s="41" t="n"/>
      <c r="B19" s="42">
        <f t="array" ref="B19">IF(INDEX(DATOS!$A$1:$A$201,ROW()-12)="","",INDEX(DATOS!$A$1:$A$201,ROW()-12))</f>
        <v/>
      </c>
      <c r="C19" s="149">
        <f t="array" ref="C19">IF(INDEX(DATOS!$B$1:$B$201,ROW()-12)="","",INDEX(DATOS!$B$1:$B$201,ROW()-12))</f>
        <v/>
      </c>
      <c r="D19" s="150" t="n"/>
      <c r="E19" s="150" t="n"/>
      <c r="F19" s="150" t="n"/>
      <c r="G19" s="151" t="n"/>
      <c r="H19" s="43">
        <f t="array" ref="H19">IF(INDEX(DATOS!$C$1:$C$201,ROW()-12)="","",INDEX(DATOS!$C$1:$C$201,ROW()-12))</f>
        <v/>
      </c>
      <c r="I19" s="44">
        <f t="array" ref="I19">IF(INDEX(DATOS!$D$1:$D$201,ROW()-12)="","",INDEX(DATOS!$D$1:$D$201,ROW()-12))</f>
        <v/>
      </c>
      <c r="J19" s="45">
        <f t="array" ref="J19">IF(INDEX(DATOS!$M$1:$M$201,ROW()-12)="","",INDEX(DATOS!$M$1:$M$201,ROW()-12))</f>
        <v/>
      </c>
      <c r="K19" s="46">
        <f t="array" ref="K19">IF(INDEX(DATOS!$K$1:$K$201,ROW()-12)="","",INDEX(DATOS!$K$1:$K$201,ROW()-12))</f>
        <v/>
      </c>
      <c r="L19" s="47">
        <f t="array" ref="L19">IF(INDEX(DATOS!$E$1:$E$201,ROW()-12)="","",INDEX(DATOS!$E$1:$E$201,ROW()-12))</f>
        <v/>
      </c>
      <c r="M19" s="47">
        <f t="array" ref="M19">IF(INDEX(DATOS!$F$1:$F$201,ROW()-12)="","",INDEX(DATOS!$F$1:$F$201,ROW()-12))</f>
        <v/>
      </c>
      <c r="N19" s="47">
        <f t="array" ref="N19">IF(INDEX(DATOS!$G$1:$G$201,ROW()-12)="","",INDEX(DATOS!$G$1:$G$201,ROW()-12))</f>
        <v/>
      </c>
      <c r="O19" s="47">
        <f t="array" ref="O19">IF(INDEX(DATOS!$H$1:$H$201,ROW()-12)="","",INDEX(DATOS!$H$1:$H$201,ROW()-12))</f>
        <v/>
      </c>
      <c r="P19" s="47">
        <f t="array" ref="P19">IF(INDEX(DATOS!$I$1:$I$201,ROW()-12)="","",INDEX(DATOS!$I$1:$I$201,ROW()-12))</f>
        <v/>
      </c>
      <c r="Q19" s="48">
        <f t="array" ref="Q19">IF(INDEX(DATOS!$J$1:$J$201,ROW()-12)="","",INDEX(DATOS!$J$1:$J$201,ROW()-12))</f>
        <v/>
      </c>
      <c r="R19" s="49">
        <f t="array" ref="R19">IF(INDEX(DATOS!$P$1:$P$201,ROW()-12)="","",INDEX(DATOS!$P$1:$P$201,ROW()-12))</f>
        <v/>
      </c>
      <c r="S19" s="50" t="n"/>
      <c r="T19" s="36" t="n"/>
      <c r="U19" s="36" t="n"/>
      <c r="V19" s="36" t="n"/>
      <c r="W19" s="51" t="n"/>
      <c r="X19" s="51" t="n"/>
      <c r="Y19" s="51" t="n"/>
      <c r="Z19" s="51" t="n"/>
    </row>
    <row r="20" ht="16.3" customHeight="1">
      <c r="A20" s="41" t="n"/>
      <c r="B20" s="42">
        <f t="array" ref="B20">IF(INDEX(DATOS!$A$1:$A$201,ROW()-12)="","",INDEX(DATOS!$A$1:$A$201,ROW()-12))</f>
        <v/>
      </c>
      <c r="C20" s="149">
        <f t="array" ref="C20">IF(INDEX(DATOS!$B$1:$B$201,ROW()-12)="","",INDEX(DATOS!$B$1:$B$201,ROW()-12))</f>
        <v/>
      </c>
      <c r="D20" s="150" t="n"/>
      <c r="E20" s="150" t="n"/>
      <c r="F20" s="150" t="n"/>
      <c r="G20" s="151" t="n"/>
      <c r="H20" s="43">
        <f t="array" ref="H20">IF(INDEX(DATOS!$C$1:$C$201,ROW()-12)="","",INDEX(DATOS!$C$1:$C$201,ROW()-12))</f>
        <v/>
      </c>
      <c r="I20" s="44">
        <f t="array" ref="I20">IF(INDEX(DATOS!$D$1:$D$201,ROW()-12)="","",INDEX(DATOS!$D$1:$D$201,ROW()-12))</f>
        <v/>
      </c>
      <c r="J20" s="45">
        <f t="array" ref="J20">IF(INDEX(DATOS!$M$1:$M$201,ROW()-12)="","",INDEX(DATOS!$M$1:$M$201,ROW()-12))</f>
        <v/>
      </c>
      <c r="K20" s="46">
        <f t="array" ref="K20">IF(INDEX(DATOS!$K$1:$K$201,ROW()-12)="","",INDEX(DATOS!$K$1:$K$201,ROW()-12))</f>
        <v/>
      </c>
      <c r="L20" s="47">
        <f t="array" ref="L20">IF(INDEX(DATOS!$E$1:$E$201,ROW()-12)="","",INDEX(DATOS!$E$1:$E$201,ROW()-12))</f>
        <v/>
      </c>
      <c r="M20" s="47">
        <f t="array" ref="M20">IF(INDEX(DATOS!$F$1:$F$201,ROW()-12)="","",INDEX(DATOS!$F$1:$F$201,ROW()-12))</f>
        <v/>
      </c>
      <c r="N20" s="47">
        <f t="array" ref="N20">IF(INDEX(DATOS!$G$1:$G$201,ROW()-12)="","",INDEX(DATOS!$G$1:$G$201,ROW()-12))</f>
        <v/>
      </c>
      <c r="O20" s="47">
        <f t="array" ref="O20">IF(INDEX(DATOS!$H$1:$H$201,ROW()-12)="","",INDEX(DATOS!$H$1:$H$201,ROW()-12))</f>
        <v/>
      </c>
      <c r="P20" s="47">
        <f t="array" ref="P20">IF(INDEX(DATOS!$I$1:$I$201,ROW()-12)="","",INDEX(DATOS!$I$1:$I$201,ROW()-12))</f>
        <v/>
      </c>
      <c r="Q20" s="48">
        <f t="array" ref="Q20">IF(INDEX(DATOS!$J$1:$J$201,ROW()-12)="","",INDEX(DATOS!$J$1:$J$201,ROW()-12))</f>
        <v/>
      </c>
      <c r="R20" s="49">
        <f t="array" ref="R20">IF(INDEX(DATOS!$P$1:$P$201,ROW()-12)="","",INDEX(DATOS!$P$1:$P$201,ROW()-12))</f>
        <v/>
      </c>
      <c r="S20" s="50" t="n"/>
      <c r="T20" s="52" t="inlineStr">
        <is>
          <t>ANTIGÜEDAD DE TARJETAS (TODO EL CORTE)</t>
        </is>
      </c>
      <c r="U20" s="36" t="n"/>
      <c r="V20" s="36" t="n"/>
      <c r="W20" s="51" t="n"/>
      <c r="X20" s="51" t="n"/>
      <c r="Y20" s="51" t="n"/>
      <c r="Z20" s="51" t="n"/>
    </row>
    <row r="21" ht="16.3" customHeight="1">
      <c r="A21" s="41" t="n"/>
      <c r="B21" s="42">
        <f t="array" ref="B21">IF(INDEX(DATOS!$A$1:$A$201,ROW()-12)="","",INDEX(DATOS!$A$1:$A$201,ROW()-12))</f>
        <v/>
      </c>
      <c r="C21" s="149">
        <f t="array" ref="C21">IF(INDEX(DATOS!$B$1:$B$201,ROW()-12)="","",INDEX(DATOS!$B$1:$B$201,ROW()-12))</f>
        <v/>
      </c>
      <c r="D21" s="150" t="n"/>
      <c r="E21" s="150" t="n"/>
      <c r="F21" s="150" t="n"/>
      <c r="G21" s="151" t="n"/>
      <c r="H21" s="43">
        <f t="array" ref="H21">IF(INDEX(DATOS!$C$1:$C$201,ROW()-12)="","",INDEX(DATOS!$C$1:$C$201,ROW()-12))</f>
        <v/>
      </c>
      <c r="I21" s="44">
        <f t="array" ref="I21">IF(INDEX(DATOS!$D$1:$D$201,ROW()-12)="","",INDEX(DATOS!$D$1:$D$201,ROW()-12))</f>
        <v/>
      </c>
      <c r="J21" s="45">
        <f t="array" ref="J21">IF(INDEX(DATOS!$M$1:$M$201,ROW()-12)="","",INDEX(DATOS!$M$1:$M$201,ROW()-12))</f>
        <v/>
      </c>
      <c r="K21" s="46">
        <f t="array" ref="K21">IF(INDEX(DATOS!$K$1:$K$201,ROW()-12)="","",INDEX(DATOS!$K$1:$K$201,ROW()-12))</f>
        <v/>
      </c>
      <c r="L21" s="47">
        <f t="array" ref="L21">IF(INDEX(DATOS!$E$1:$E$201,ROW()-12)="","",INDEX(DATOS!$E$1:$E$201,ROW()-12))</f>
        <v/>
      </c>
      <c r="M21" s="47">
        <f t="array" ref="M21">IF(INDEX(DATOS!$F$1:$F$201,ROW()-12)="","",INDEX(DATOS!$F$1:$F$201,ROW()-12))</f>
        <v/>
      </c>
      <c r="N21" s="47">
        <f t="array" ref="N21">IF(INDEX(DATOS!$G$1:$G$201,ROW()-12)="","",INDEX(DATOS!$G$1:$G$201,ROW()-12))</f>
        <v/>
      </c>
      <c r="O21" s="47">
        <f t="array" ref="O21">IF(INDEX(DATOS!$H$1:$H$201,ROW()-12)="","",INDEX(DATOS!$H$1:$H$201,ROW()-12))</f>
        <v/>
      </c>
      <c r="P21" s="47">
        <f t="array" ref="P21">IF(INDEX(DATOS!$I$1:$I$201,ROW()-12)="","",INDEX(DATOS!$I$1:$I$201,ROW()-12))</f>
        <v/>
      </c>
      <c r="Q21" s="48">
        <f t="array" ref="Q21">IF(INDEX(DATOS!$J$1:$J$201,ROW()-12)="","",INDEX(DATOS!$J$1:$J$201,ROW()-12))</f>
        <v/>
      </c>
      <c r="R21" s="49">
        <f t="array" ref="R21">IF(INDEX(DATOS!$P$1:$P$201,ROW()-12)="","",INDEX(DATOS!$P$1:$P$201,ROW()-12))</f>
        <v/>
      </c>
      <c r="S21" s="50" t="n"/>
      <c r="T21" s="53" t="inlineStr">
        <is>
          <t>RANGO</t>
        </is>
      </c>
      <c r="U21" s="54" t="inlineStr">
        <is>
          <t>TARJETAS</t>
        </is>
      </c>
      <c r="V21" s="55" t="inlineStr">
        <is>
          <t>%</t>
        </is>
      </c>
      <c r="W21" s="56" t="n"/>
      <c r="X21" s="56" t="n"/>
      <c r="Y21" s="56" t="n"/>
      <c r="Z21" s="56" t="n"/>
    </row>
    <row r="22" ht="16.3" customHeight="1">
      <c r="A22" s="41" t="n"/>
      <c r="B22" s="42">
        <f t="array" ref="B22">IF(INDEX(DATOS!$A$1:$A$201,ROW()-12)="","",INDEX(DATOS!$A$1:$A$201,ROW()-12))</f>
        <v/>
      </c>
      <c r="C22" s="149">
        <f t="array" ref="C22">IF(INDEX(DATOS!$B$1:$B$201,ROW()-12)="","",INDEX(DATOS!$B$1:$B$201,ROW()-12))</f>
        <v/>
      </c>
      <c r="D22" s="150" t="n"/>
      <c r="E22" s="150" t="n"/>
      <c r="F22" s="150" t="n"/>
      <c r="G22" s="151" t="n"/>
      <c r="H22" s="43">
        <f t="array" ref="H22">IF(INDEX(DATOS!$C$1:$C$201,ROW()-12)="","",INDEX(DATOS!$C$1:$C$201,ROW()-12))</f>
        <v/>
      </c>
      <c r="I22" s="44">
        <f t="array" ref="I22">IF(INDEX(DATOS!$D$1:$D$201,ROW()-12)="","",INDEX(DATOS!$D$1:$D$201,ROW()-12))</f>
        <v/>
      </c>
      <c r="J22" s="45">
        <f t="array" ref="J22">IF(INDEX(DATOS!$M$1:$M$201,ROW()-12)="","",INDEX(DATOS!$M$1:$M$201,ROW()-12))</f>
        <v/>
      </c>
      <c r="K22" s="46">
        <f t="array" ref="K22">IF(INDEX(DATOS!$K$1:$K$201,ROW()-12)="","",INDEX(DATOS!$K$1:$K$201,ROW()-12))</f>
        <v/>
      </c>
      <c r="L22" s="47">
        <f t="array" ref="L22">IF(INDEX(DATOS!$E$1:$E$201,ROW()-12)="","",INDEX(DATOS!$E$1:$E$201,ROW()-12))</f>
        <v/>
      </c>
      <c r="M22" s="47">
        <f t="array" ref="M22">IF(INDEX(DATOS!$F$1:$F$201,ROW()-12)="","",INDEX(DATOS!$F$1:$F$201,ROW()-12))</f>
        <v/>
      </c>
      <c r="N22" s="47">
        <f t="array" ref="N22">IF(INDEX(DATOS!$G$1:$G$201,ROW()-12)="","",INDEX(DATOS!$G$1:$G$201,ROW()-12))</f>
        <v/>
      </c>
      <c r="O22" s="47">
        <f t="array" ref="O22">IF(INDEX(DATOS!$H$1:$H$201,ROW()-12)="","",INDEX(DATOS!$H$1:$H$201,ROW()-12))</f>
        <v/>
      </c>
      <c r="P22" s="47">
        <f t="array" ref="P22">IF(INDEX(DATOS!$I$1:$I$201,ROW()-12)="","",INDEX(DATOS!$I$1:$I$201,ROW()-12))</f>
        <v/>
      </c>
      <c r="Q22" s="48">
        <f t="array" ref="Q22">IF(INDEX(DATOS!$J$1:$J$201,ROW()-12)="","",INDEX(DATOS!$J$1:$J$201,ROW()-12))</f>
        <v/>
      </c>
      <c r="R22" s="49">
        <f t="array" ref="R22">IF(INDEX(DATOS!$P$1:$P$201,ROW()-12)="","",INDEX(DATOS!$P$1:$P$201,ROW()-12))</f>
        <v/>
      </c>
      <c r="S22" s="50" t="n"/>
      <c r="T22" s="57" t="inlineStr">
        <is>
          <t>Vencidas &gt; 1 día</t>
        </is>
      </c>
      <c r="U22" s="58">
        <f>COUNTIF(DATOS!$M$2:$M$5001,"&gt;1")</f>
        <v/>
      </c>
      <c r="V22" s="59">
        <f>U22/$U$25</f>
        <v/>
      </c>
      <c r="W22" s="56" t="n"/>
      <c r="X22" s="56" t="n"/>
      <c r="Y22" s="56" t="n"/>
      <c r="Z22" s="56" t="n"/>
    </row>
    <row r="23" ht="16.3" customHeight="1">
      <c r="A23" s="41" t="n"/>
      <c r="B23" s="42">
        <f t="array" ref="B23">IF(INDEX(DATOS!$A$1:$A$201,ROW()-12)="","",INDEX(DATOS!$A$1:$A$201,ROW()-12))</f>
        <v/>
      </c>
      <c r="C23" s="149">
        <f t="array" ref="C23">IF(INDEX(DATOS!$B$1:$B$201,ROW()-12)="","",INDEX(DATOS!$B$1:$B$201,ROW()-12))</f>
        <v/>
      </c>
      <c r="D23" s="150" t="n"/>
      <c r="E23" s="150" t="n"/>
      <c r="F23" s="150" t="n"/>
      <c r="G23" s="151" t="n"/>
      <c r="H23" s="43">
        <f t="array" ref="H23">IF(INDEX(DATOS!$C$1:$C$201,ROW()-12)="","",INDEX(DATOS!$C$1:$C$201,ROW()-12))</f>
        <v/>
      </c>
      <c r="I23" s="44">
        <f t="array" ref="I23">IF(INDEX(DATOS!$D$1:$D$201,ROW()-12)="","",INDEX(DATOS!$D$1:$D$201,ROW()-12))</f>
        <v/>
      </c>
      <c r="J23" s="45">
        <f t="array" ref="J23">IF(INDEX(DATOS!$M$1:$M$201,ROW()-12)="","",INDEX(DATOS!$M$1:$M$201,ROW()-12))</f>
        <v/>
      </c>
      <c r="K23" s="46">
        <f t="array" ref="K23">IF(INDEX(DATOS!$K$1:$K$201,ROW()-12)="","",INDEX(DATOS!$K$1:$K$201,ROW()-12))</f>
        <v/>
      </c>
      <c r="L23" s="47">
        <f t="array" ref="L23">IF(INDEX(DATOS!$E$1:$E$201,ROW()-12)="","",INDEX(DATOS!$E$1:$E$201,ROW()-12))</f>
        <v/>
      </c>
      <c r="M23" s="47">
        <f t="array" ref="M23">IF(INDEX(DATOS!$F$1:$F$201,ROW()-12)="","",INDEX(DATOS!$F$1:$F$201,ROW()-12))</f>
        <v/>
      </c>
      <c r="N23" s="47">
        <f t="array" ref="N23">IF(INDEX(DATOS!$G$1:$G$201,ROW()-12)="","",INDEX(DATOS!$G$1:$G$201,ROW()-12))</f>
        <v/>
      </c>
      <c r="O23" s="47">
        <f t="array" ref="O23">IF(INDEX(DATOS!$H$1:$H$201,ROW()-12)="","",INDEX(DATOS!$H$1:$H$201,ROW()-12))</f>
        <v/>
      </c>
      <c r="P23" s="47">
        <f t="array" ref="P23">IF(INDEX(DATOS!$I$1:$I$201,ROW()-12)="","",INDEX(DATOS!$I$1:$I$201,ROW()-12))</f>
        <v/>
      </c>
      <c r="Q23" s="48">
        <f t="array" ref="Q23">IF(INDEX(DATOS!$J$1:$J$201,ROW()-12)="","",INDEX(DATOS!$J$1:$J$201,ROW()-12))</f>
        <v/>
      </c>
      <c r="R23" s="49">
        <f t="array" ref="R23">IF(INDEX(DATOS!$P$1:$P$201,ROW()-12)="","",INDEX(DATOS!$P$1:$P$201,ROW()-12))</f>
        <v/>
      </c>
      <c r="S23" s="50" t="n"/>
      <c r="T23" s="57" t="inlineStr">
        <is>
          <t>Vencidas 1 día</t>
        </is>
      </c>
      <c r="U23" s="58">
        <f>COUNTIF(DATOS!$M$2:$M$5001,"=1")</f>
        <v/>
      </c>
      <c r="V23" s="59">
        <f>U23/$U$25</f>
        <v/>
      </c>
      <c r="W23" s="56" t="n"/>
      <c r="X23" s="56" t="n"/>
      <c r="Y23" s="56" t="n"/>
      <c r="Z23" s="56" t="n"/>
    </row>
    <row r="24" ht="16.3" customHeight="1">
      <c r="A24" s="41" t="n"/>
      <c r="B24" s="42">
        <f t="array" ref="B24">IF(INDEX(DATOS!$A$1:$A$201,ROW()-12)="","",INDEX(DATOS!$A$1:$A$201,ROW()-12))</f>
        <v/>
      </c>
      <c r="C24" s="149">
        <f t="array" ref="C24">IF(INDEX(DATOS!$B$1:$B$201,ROW()-12)="","",INDEX(DATOS!$B$1:$B$201,ROW()-12))</f>
        <v/>
      </c>
      <c r="D24" s="150" t="n"/>
      <c r="E24" s="150" t="n"/>
      <c r="F24" s="150" t="n"/>
      <c r="G24" s="151" t="n"/>
      <c r="H24" s="43">
        <f t="array" ref="H24">IF(INDEX(DATOS!$C$1:$C$201,ROW()-12)="","",INDEX(DATOS!$C$1:$C$201,ROW()-12))</f>
        <v/>
      </c>
      <c r="I24" s="44">
        <f t="array" ref="I24">IF(INDEX(DATOS!$D$1:$D$201,ROW()-12)="","",INDEX(DATOS!$D$1:$D$201,ROW()-12))</f>
        <v/>
      </c>
      <c r="J24" s="45">
        <f t="array" ref="J24">IF(INDEX(DATOS!$M$1:$M$201,ROW()-12)="","",INDEX(DATOS!$M$1:$M$201,ROW()-12))</f>
        <v/>
      </c>
      <c r="K24" s="46">
        <f t="array" ref="K24">IF(INDEX(DATOS!$K$1:$K$201,ROW()-12)="","",INDEX(DATOS!$K$1:$K$201,ROW()-12))</f>
        <v/>
      </c>
      <c r="L24" s="47">
        <f t="array" ref="L24">IF(INDEX(DATOS!$E$1:$E$201,ROW()-12)="","",INDEX(DATOS!$E$1:$E$201,ROW()-12))</f>
        <v/>
      </c>
      <c r="M24" s="47">
        <f t="array" ref="M24">IF(INDEX(DATOS!$F$1:$F$201,ROW()-12)="","",INDEX(DATOS!$F$1:$F$201,ROW()-12))</f>
        <v/>
      </c>
      <c r="N24" s="47">
        <f t="array" ref="N24">IF(INDEX(DATOS!$G$1:$G$201,ROW()-12)="","",INDEX(DATOS!$G$1:$G$201,ROW()-12))</f>
        <v/>
      </c>
      <c r="O24" s="47">
        <f t="array" ref="O24">IF(INDEX(DATOS!$H$1:$H$201,ROW()-12)="","",INDEX(DATOS!$H$1:$H$201,ROW()-12))</f>
        <v/>
      </c>
      <c r="P24" s="47">
        <f t="array" ref="P24">IF(INDEX(DATOS!$I$1:$I$201,ROW()-12)="","",INDEX(DATOS!$I$1:$I$201,ROW()-12))</f>
        <v/>
      </c>
      <c r="Q24" s="48">
        <f t="array" ref="Q24">IF(INDEX(DATOS!$J$1:$J$201,ROW()-12)="","",INDEX(DATOS!$J$1:$J$201,ROW()-12))</f>
        <v/>
      </c>
      <c r="R24" s="49">
        <f t="array" ref="R24">IF(INDEX(DATOS!$P$1:$P$201,ROW()-12)="","",INDEX(DATOS!$P$1:$P$201,ROW()-12))</f>
        <v/>
      </c>
      <c r="S24" s="50" t="n"/>
      <c r="T24" s="57" t="inlineStr">
        <is>
          <t>Vence hoy (0 días)</t>
        </is>
      </c>
      <c r="U24" s="58">
        <f>COUNTIF(DATOS!$M$2:$M$5001,"=0")</f>
        <v/>
      </c>
      <c r="V24" s="59">
        <f>U24/$U$25</f>
        <v/>
      </c>
      <c r="W24" s="56" t="n"/>
      <c r="X24" s="56" t="n"/>
      <c r="Y24" s="56" t="n"/>
      <c r="Z24" s="56" t="n"/>
    </row>
    <row r="25" ht="16.3" customHeight="1">
      <c r="A25" s="41" t="n"/>
      <c r="B25" s="42">
        <f t="array" ref="B25">IF(INDEX(DATOS!$A$1:$A$201,ROW()-12)="","",INDEX(DATOS!$A$1:$A$201,ROW()-12))</f>
        <v/>
      </c>
      <c r="C25" s="149">
        <f t="array" ref="C25">IF(INDEX(DATOS!$B$1:$B$201,ROW()-12)="","",INDEX(DATOS!$B$1:$B$201,ROW()-12))</f>
        <v/>
      </c>
      <c r="D25" s="150" t="n"/>
      <c r="E25" s="150" t="n"/>
      <c r="F25" s="150" t="n"/>
      <c r="G25" s="151" t="n"/>
      <c r="H25" s="43">
        <f t="array" ref="H25">IF(INDEX(DATOS!$C$1:$C$201,ROW()-12)="","",INDEX(DATOS!$C$1:$C$201,ROW()-12))</f>
        <v/>
      </c>
      <c r="I25" s="44">
        <f t="array" ref="I25">IF(INDEX(DATOS!$D$1:$D$201,ROW()-12)="","",INDEX(DATOS!$D$1:$D$201,ROW()-12))</f>
        <v/>
      </c>
      <c r="J25" s="45">
        <f t="array" ref="J25">IF(INDEX(DATOS!$M$1:$M$201,ROW()-12)="","",INDEX(DATOS!$M$1:$M$201,ROW()-12))</f>
        <v/>
      </c>
      <c r="K25" s="46">
        <f t="array" ref="K25">IF(INDEX(DATOS!$K$1:$K$201,ROW()-12)="","",INDEX(DATOS!$K$1:$K$201,ROW()-12))</f>
        <v/>
      </c>
      <c r="L25" s="47">
        <f t="array" ref="L25">IF(INDEX(DATOS!$E$1:$E$201,ROW()-12)="","",INDEX(DATOS!$E$1:$E$201,ROW()-12))</f>
        <v/>
      </c>
      <c r="M25" s="47">
        <f t="array" ref="M25">IF(INDEX(DATOS!$F$1:$F$201,ROW()-12)="","",INDEX(DATOS!$F$1:$F$201,ROW()-12))</f>
        <v/>
      </c>
      <c r="N25" s="47">
        <f t="array" ref="N25">IF(INDEX(DATOS!$G$1:$G$201,ROW()-12)="","",INDEX(DATOS!$G$1:$G$201,ROW()-12))</f>
        <v/>
      </c>
      <c r="O25" s="47">
        <f t="array" ref="O25">IF(INDEX(DATOS!$H$1:$H$201,ROW()-12)="","",INDEX(DATOS!$H$1:$H$201,ROW()-12))</f>
        <v/>
      </c>
      <c r="P25" s="47">
        <f t="array" ref="P25">IF(INDEX(DATOS!$I$1:$I$201,ROW()-12)="","",INDEX(DATOS!$I$1:$I$201,ROW()-12))</f>
        <v/>
      </c>
      <c r="Q25" s="48">
        <f t="array" ref="Q25">IF(INDEX(DATOS!$J$1:$J$201,ROW()-12)="","",INDEX(DATOS!$J$1:$J$201,ROW()-12))</f>
        <v/>
      </c>
      <c r="R25" s="49">
        <f t="array" ref="R25">IF(INDEX(DATOS!$P$1:$P$201,ROW()-12)="","",INDEX(DATOS!$P$1:$P$201,ROW()-12))</f>
        <v/>
      </c>
      <c r="S25" s="60" t="n"/>
      <c r="T25" s="61" t="inlineStr">
        <is>
          <t>TOTAL</t>
        </is>
      </c>
      <c r="U25" s="62">
        <f>SUM(U22:U24)</f>
        <v/>
      </c>
      <c r="V25" s="63" t="n"/>
      <c r="W25" s="56" t="n"/>
      <c r="X25" s="56" t="n"/>
      <c r="Y25" s="56" t="n"/>
      <c r="Z25" s="56" t="n"/>
    </row>
    <row r="26" ht="16.3" customHeight="1">
      <c r="A26" s="41" t="n"/>
      <c r="B26" s="42">
        <f t="array" ref="B26">IF(INDEX(DATOS!$A$1:$A$201,ROW()-12)="","",INDEX(DATOS!$A$1:$A$201,ROW()-12))</f>
        <v/>
      </c>
      <c r="C26" s="149">
        <f t="array" ref="C26">IF(INDEX(DATOS!$B$1:$B$201,ROW()-12)="","",INDEX(DATOS!$B$1:$B$201,ROW()-12))</f>
        <v/>
      </c>
      <c r="D26" s="150" t="n"/>
      <c r="E26" s="150" t="n"/>
      <c r="F26" s="150" t="n"/>
      <c r="G26" s="151" t="n"/>
      <c r="H26" s="43">
        <f t="array" ref="H26">IF(INDEX(DATOS!$C$1:$C$201,ROW()-12)="","",INDEX(DATOS!$C$1:$C$201,ROW()-12))</f>
        <v/>
      </c>
      <c r="I26" s="44">
        <f t="array" ref="I26">IF(INDEX(DATOS!$D$1:$D$201,ROW()-12)="","",INDEX(DATOS!$D$1:$D$201,ROW()-12))</f>
        <v/>
      </c>
      <c r="J26" s="45">
        <f t="array" ref="J26">IF(INDEX(DATOS!$M$1:$M$201,ROW()-12)="","",INDEX(DATOS!$M$1:$M$201,ROW()-12))</f>
        <v/>
      </c>
      <c r="K26" s="46">
        <f t="array" ref="K26">IF(INDEX(DATOS!$K$1:$K$201,ROW()-12)="","",INDEX(DATOS!$K$1:$K$201,ROW()-12))</f>
        <v/>
      </c>
      <c r="L26" s="47">
        <f t="array" ref="L26">IF(INDEX(DATOS!$E$1:$E$201,ROW()-12)="","",INDEX(DATOS!$E$1:$E$201,ROW()-12))</f>
        <v/>
      </c>
      <c r="M26" s="47">
        <f t="array" ref="M26">IF(INDEX(DATOS!$F$1:$F$201,ROW()-12)="","",INDEX(DATOS!$F$1:$F$201,ROW()-12))</f>
        <v/>
      </c>
      <c r="N26" s="47">
        <f t="array" ref="N26">IF(INDEX(DATOS!$G$1:$G$201,ROW()-12)="","",INDEX(DATOS!$G$1:$G$201,ROW()-12))</f>
        <v/>
      </c>
      <c r="O26" s="47">
        <f t="array" ref="O26">IF(INDEX(DATOS!$H$1:$H$201,ROW()-12)="","",INDEX(DATOS!$H$1:$H$201,ROW()-12))</f>
        <v/>
      </c>
      <c r="P26" s="47">
        <f t="array" ref="P26">IF(INDEX(DATOS!$I$1:$I$201,ROW()-12)="","",INDEX(DATOS!$I$1:$I$201,ROW()-12))</f>
        <v/>
      </c>
      <c r="Q26" s="48">
        <f t="array" ref="Q26">IF(INDEX(DATOS!$J$1:$J$201,ROW()-12)="","",INDEX(DATOS!$J$1:$J$201,ROW()-12))</f>
        <v/>
      </c>
      <c r="R26" s="49">
        <f t="array" ref="R26">IF(INDEX(DATOS!$P$1:$P$201,ROW()-12)="","",INDEX(DATOS!$P$1:$P$201,ROW()-12))</f>
        <v/>
      </c>
      <c r="S26" s="50" t="n"/>
      <c r="T26" s="57" t="n"/>
      <c r="U26" s="58" t="n"/>
      <c r="V26" s="59" t="n"/>
      <c r="W26" s="56" t="n"/>
      <c r="X26" s="56" t="n"/>
      <c r="Y26" s="56" t="n"/>
      <c r="Z26" s="56" t="n"/>
    </row>
    <row r="27" ht="16.3" customHeight="1">
      <c r="A27" s="41" t="n"/>
      <c r="B27" s="42">
        <f t="array" ref="B27">IF(INDEX(DATOS!$A$1:$A$201,ROW()-12)="","",INDEX(DATOS!$A$1:$A$201,ROW()-12))</f>
        <v/>
      </c>
      <c r="C27" s="149">
        <f t="array" ref="C27">IF(INDEX(DATOS!$B$1:$B$201,ROW()-12)="","",INDEX(DATOS!$B$1:$B$201,ROW()-12))</f>
        <v/>
      </c>
      <c r="D27" s="150" t="n"/>
      <c r="E27" s="150" t="n"/>
      <c r="F27" s="150" t="n"/>
      <c r="G27" s="151" t="n"/>
      <c r="H27" s="43">
        <f t="array" ref="H27">IF(INDEX(DATOS!$C$1:$C$201,ROW()-12)="","",INDEX(DATOS!$C$1:$C$201,ROW()-12))</f>
        <v/>
      </c>
      <c r="I27" s="44">
        <f t="array" ref="I27">IF(INDEX(DATOS!$D$1:$D$201,ROW()-12)="","",INDEX(DATOS!$D$1:$D$201,ROW()-12))</f>
        <v/>
      </c>
      <c r="J27" s="45">
        <f t="array" ref="J27">IF(INDEX(DATOS!$M$1:$M$201,ROW()-12)="","",INDEX(DATOS!$M$1:$M$201,ROW()-12))</f>
        <v/>
      </c>
      <c r="K27" s="46">
        <f t="array" ref="K27">IF(INDEX(DATOS!$K$1:$K$201,ROW()-12)="","",INDEX(DATOS!$K$1:$K$201,ROW()-12))</f>
        <v/>
      </c>
      <c r="L27" s="47">
        <f t="array" ref="L27">IF(INDEX(DATOS!$E$1:$E$201,ROW()-12)="","",INDEX(DATOS!$E$1:$E$201,ROW()-12))</f>
        <v/>
      </c>
      <c r="M27" s="47">
        <f t="array" ref="M27">IF(INDEX(DATOS!$F$1:$F$201,ROW()-12)="","",INDEX(DATOS!$F$1:$F$201,ROW()-12))</f>
        <v/>
      </c>
      <c r="N27" s="47">
        <f t="array" ref="N27">IF(INDEX(DATOS!$G$1:$G$201,ROW()-12)="","",INDEX(DATOS!$G$1:$G$201,ROW()-12))</f>
        <v/>
      </c>
      <c r="O27" s="47">
        <f t="array" ref="O27">IF(INDEX(DATOS!$H$1:$H$201,ROW()-12)="","",INDEX(DATOS!$H$1:$H$201,ROW()-12))</f>
        <v/>
      </c>
      <c r="P27" s="47">
        <f t="array" ref="P27">IF(INDEX(DATOS!$I$1:$I$201,ROW()-12)="","",INDEX(DATOS!$I$1:$I$201,ROW()-12))</f>
        <v/>
      </c>
      <c r="Q27" s="48">
        <f t="array" ref="Q27">IF(INDEX(DATOS!$J$1:$J$201,ROW()-12)="","",INDEX(DATOS!$J$1:$J$201,ROW()-12))</f>
        <v/>
      </c>
      <c r="R27" s="49">
        <f t="array" ref="R27">IF(INDEX(DATOS!$P$1:$P$201,ROW()-12)="","",INDEX(DATOS!$P$1:$P$201,ROW()-12))</f>
        <v/>
      </c>
      <c r="S27" s="50" t="n"/>
      <c r="T27" s="10" t="inlineStr">
        <is>
          <t>CHECKS PENDIENTES POR ANTIGÜEDAD (TODO EL CORTE)</t>
        </is>
      </c>
      <c r="W27" s="17" t="n"/>
      <c r="X27" s="17" t="n"/>
      <c r="Y27" s="17" t="n"/>
      <c r="Z27" s="17" t="n"/>
    </row>
    <row r="28" ht="16.3" customHeight="1">
      <c r="A28" s="41" t="n"/>
      <c r="B28" s="42">
        <f t="array" ref="B28">IF(INDEX(DATOS!$A$1:$A$201,ROW()-12)="","",INDEX(DATOS!$A$1:$A$201,ROW()-12))</f>
        <v/>
      </c>
      <c r="C28" s="149">
        <f t="array" ref="C28">IF(INDEX(DATOS!$B$1:$B$201,ROW()-12)="","",INDEX(DATOS!$B$1:$B$201,ROW()-12))</f>
        <v/>
      </c>
      <c r="D28" s="150" t="n"/>
      <c r="E28" s="150" t="n"/>
      <c r="F28" s="150" t="n"/>
      <c r="G28" s="151" t="n"/>
      <c r="H28" s="43">
        <f t="array" ref="H28">IF(INDEX(DATOS!$C$1:$C$201,ROW()-12)="","",INDEX(DATOS!$C$1:$C$201,ROW()-12))</f>
        <v/>
      </c>
      <c r="I28" s="44">
        <f t="array" ref="I28">IF(INDEX(DATOS!$D$1:$D$201,ROW()-12)="","",INDEX(DATOS!$D$1:$D$201,ROW()-12))</f>
        <v/>
      </c>
      <c r="J28" s="45">
        <f t="array" ref="J28">IF(INDEX(DATOS!$M$1:$M$201,ROW()-12)="","",INDEX(DATOS!$M$1:$M$201,ROW()-12))</f>
        <v/>
      </c>
      <c r="K28" s="46">
        <f t="array" ref="K28">IF(INDEX(DATOS!$K$1:$K$201,ROW()-12)="","",INDEX(DATOS!$K$1:$K$201,ROW()-12))</f>
        <v/>
      </c>
      <c r="L28" s="47">
        <f t="array" ref="L28">IF(INDEX(DATOS!$E$1:$E$201,ROW()-12)="","",INDEX(DATOS!$E$1:$E$201,ROW()-12))</f>
        <v/>
      </c>
      <c r="M28" s="47">
        <f t="array" ref="M28">IF(INDEX(DATOS!$F$1:$F$201,ROW()-12)="","",INDEX(DATOS!$F$1:$F$201,ROW()-12))</f>
        <v/>
      </c>
      <c r="N28" s="47">
        <f t="array" ref="N28">IF(INDEX(DATOS!$G$1:$G$201,ROW()-12)="","",INDEX(DATOS!$G$1:$G$201,ROW()-12))</f>
        <v/>
      </c>
      <c r="O28" s="47">
        <f t="array" ref="O28">IF(INDEX(DATOS!$H$1:$H$201,ROW()-12)="","",INDEX(DATOS!$H$1:$H$201,ROW()-12))</f>
        <v/>
      </c>
      <c r="P28" s="47">
        <f t="array" ref="P28">IF(INDEX(DATOS!$I$1:$I$201,ROW()-12)="","",INDEX(DATOS!$I$1:$I$201,ROW()-12))</f>
        <v/>
      </c>
      <c r="Q28" s="48">
        <f t="array" ref="Q28">IF(INDEX(DATOS!$J$1:$J$201,ROW()-12)="","",INDEX(DATOS!$J$1:$J$201,ROW()-12))</f>
        <v/>
      </c>
      <c r="R28" s="49">
        <f t="array" ref="R28">IF(INDEX(DATOS!$P$1:$P$201,ROW()-12)="","",INDEX(DATOS!$P$1:$P$201,ROW()-12))</f>
        <v/>
      </c>
      <c r="S28" s="50" t="n"/>
      <c r="T28" s="57" t="inlineStr">
        <is>
          <t>RANGO</t>
        </is>
      </c>
      <c r="U28" s="58" t="inlineStr">
        <is>
          <t>CHECKS</t>
        </is>
      </c>
      <c r="V28" s="59" t="inlineStr">
        <is>
          <t>%</t>
        </is>
      </c>
      <c r="W28" s="56" t="n"/>
      <c r="X28" s="56" t="n"/>
      <c r="Y28" s="56" t="n"/>
      <c r="Z28" s="56" t="n"/>
    </row>
    <row r="29" ht="16.3" customHeight="1">
      <c r="A29" s="13" t="n"/>
      <c r="B29" s="42">
        <f t="array" ref="B29">IF(INDEX(DATOS!$A$1:$A$201,ROW()-12)="","",INDEX(DATOS!$A$1:$A$201,ROW()-12))</f>
        <v/>
      </c>
      <c r="C29" s="149">
        <f t="array" ref="C29">IF(INDEX(DATOS!$B$1:$B$201,ROW()-12)="","",INDEX(DATOS!$B$1:$B$201,ROW()-12))</f>
        <v/>
      </c>
      <c r="D29" s="150" t="n"/>
      <c r="E29" s="150" t="n"/>
      <c r="F29" s="150" t="n"/>
      <c r="G29" s="151" t="n"/>
      <c r="H29" s="43">
        <f t="array" ref="H29">IF(INDEX(DATOS!$C$1:$C$201,ROW()-12)="","",INDEX(DATOS!$C$1:$C$201,ROW()-12))</f>
        <v/>
      </c>
      <c r="I29" s="44">
        <f t="array" ref="I29">IF(INDEX(DATOS!$D$1:$D$201,ROW()-12)="","",INDEX(DATOS!$D$1:$D$201,ROW()-12))</f>
        <v/>
      </c>
      <c r="J29" s="45">
        <f t="array" ref="J29">IF(INDEX(DATOS!$M$1:$M$201,ROW()-12)="","",INDEX(DATOS!$M$1:$M$201,ROW()-12))</f>
        <v/>
      </c>
      <c r="K29" s="46">
        <f t="array" ref="K29">IF(INDEX(DATOS!$K$1:$K$201,ROW()-12)="","",INDEX(DATOS!$K$1:$K$201,ROW()-12))</f>
        <v/>
      </c>
      <c r="L29" s="47">
        <f t="array" ref="L29">IF(INDEX(DATOS!$E$1:$E$201,ROW()-12)="","",INDEX(DATOS!$E$1:$E$201,ROW()-12))</f>
        <v/>
      </c>
      <c r="M29" s="47">
        <f t="array" ref="M29">IF(INDEX(DATOS!$F$1:$F$201,ROW()-12)="","",INDEX(DATOS!$F$1:$F$201,ROW()-12))</f>
        <v/>
      </c>
      <c r="N29" s="47">
        <f t="array" ref="N29">IF(INDEX(DATOS!$G$1:$G$201,ROW()-12)="","",INDEX(DATOS!$G$1:$G$201,ROW()-12))</f>
        <v/>
      </c>
      <c r="O29" s="47">
        <f t="array" ref="O29">IF(INDEX(DATOS!$H$1:$H$201,ROW()-12)="","",INDEX(DATOS!$H$1:$H$201,ROW()-12))</f>
        <v/>
      </c>
      <c r="P29" s="47">
        <f t="array" ref="P29">IF(INDEX(DATOS!$I$1:$I$201,ROW()-12)="","",INDEX(DATOS!$I$1:$I$201,ROW()-12))</f>
        <v/>
      </c>
      <c r="Q29" s="48">
        <f t="array" ref="Q29">IF(INDEX(DATOS!$J$1:$J$201,ROW()-12)="","",INDEX(DATOS!$J$1:$J$201,ROW()-12))</f>
        <v/>
      </c>
      <c r="R29" s="49">
        <f t="array" ref="R29">IF(INDEX(DATOS!$P$1:$P$201,ROW()-12)="","",INDEX(DATOS!$P$1:$P$201,ROW()-12))</f>
        <v/>
      </c>
      <c r="S29" s="60" t="n"/>
      <c r="T29" s="57" t="inlineStr">
        <is>
          <t>Vencidas &gt; 1 día</t>
        </is>
      </c>
      <c r="U29" s="58">
        <f>SUMIF(DATOS!$M$2:$M$5001,"&gt;1",DATOS!$K$2:$K$5001)</f>
        <v/>
      </c>
      <c r="V29" s="59">
        <f>U29/$U$32</f>
        <v/>
      </c>
      <c r="W29" s="56" t="n"/>
      <c r="X29" s="56" t="n"/>
      <c r="Y29" s="56" t="n"/>
      <c r="Z29" s="56" t="n"/>
    </row>
    <row r="30" ht="16.3" customHeight="1">
      <c r="A30" s="41" t="n"/>
      <c r="B30" s="42">
        <f t="array" ref="B30">IF(INDEX(DATOS!$A$1:$A$201,ROW()-12)="","",INDEX(DATOS!$A$1:$A$201,ROW()-12))</f>
        <v/>
      </c>
      <c r="C30" s="149">
        <f t="array" ref="C30">IF(INDEX(DATOS!$B$1:$B$201,ROW()-12)="","",INDEX(DATOS!$B$1:$B$201,ROW()-12))</f>
        <v/>
      </c>
      <c r="D30" s="150" t="n"/>
      <c r="E30" s="150" t="n"/>
      <c r="F30" s="150" t="n"/>
      <c r="G30" s="151" t="n"/>
      <c r="H30" s="43">
        <f t="array" ref="H30">IF(INDEX(DATOS!$C$1:$C$201,ROW()-12)="","",INDEX(DATOS!$C$1:$C$201,ROW()-12))</f>
        <v/>
      </c>
      <c r="I30" s="44">
        <f t="array" ref="I30">IF(INDEX(DATOS!$D$1:$D$201,ROW()-12)="","",INDEX(DATOS!$D$1:$D$201,ROW()-12))</f>
        <v/>
      </c>
      <c r="J30" s="45">
        <f t="array" ref="J30">IF(INDEX(DATOS!$M$1:$M$201,ROW()-12)="","",INDEX(DATOS!$M$1:$M$201,ROW()-12))</f>
        <v/>
      </c>
      <c r="K30" s="46">
        <f t="array" ref="K30">IF(INDEX(DATOS!$K$1:$K$201,ROW()-12)="","",INDEX(DATOS!$K$1:$K$201,ROW()-12))</f>
        <v/>
      </c>
      <c r="L30" s="47">
        <f t="array" ref="L30">IF(INDEX(DATOS!$E$1:$E$201,ROW()-12)="","",INDEX(DATOS!$E$1:$E$201,ROW()-12))</f>
        <v/>
      </c>
      <c r="M30" s="47">
        <f t="array" ref="M30">IF(INDEX(DATOS!$F$1:$F$201,ROW()-12)="","",INDEX(DATOS!$F$1:$F$201,ROW()-12))</f>
        <v/>
      </c>
      <c r="N30" s="47">
        <f t="array" ref="N30">IF(INDEX(DATOS!$G$1:$G$201,ROW()-12)="","",INDEX(DATOS!$G$1:$G$201,ROW()-12))</f>
        <v/>
      </c>
      <c r="O30" s="47">
        <f t="array" ref="O30">IF(INDEX(DATOS!$H$1:$H$201,ROW()-12)="","",INDEX(DATOS!$H$1:$H$201,ROW()-12))</f>
        <v/>
      </c>
      <c r="P30" s="47">
        <f t="array" ref="P30">IF(INDEX(DATOS!$I$1:$I$201,ROW()-12)="","",INDEX(DATOS!$I$1:$I$201,ROW()-12))</f>
        <v/>
      </c>
      <c r="Q30" s="48">
        <f t="array" ref="Q30">IF(INDEX(DATOS!$J$1:$J$201,ROW()-12)="","",INDEX(DATOS!$J$1:$J$201,ROW()-12))</f>
        <v/>
      </c>
      <c r="R30" s="49">
        <f t="array" ref="R30">IF(INDEX(DATOS!$P$1:$P$201,ROW()-12)="","",INDEX(DATOS!$P$1:$P$201,ROW()-12))</f>
        <v/>
      </c>
      <c r="S30" s="50" t="n"/>
      <c r="T30" s="57" t="inlineStr">
        <is>
          <t>Vencidas 1 día</t>
        </is>
      </c>
      <c r="U30" s="58">
        <f>SUMIFS(DATOS!$K$2:$K$5001,DATOS!$M$2:$M$5001,1)</f>
        <v/>
      </c>
      <c r="V30" s="59">
        <f>U30/$U$32</f>
        <v/>
      </c>
      <c r="W30" s="56" t="n"/>
      <c r="X30" s="56" t="n"/>
      <c r="Y30" s="56" t="n"/>
      <c r="Z30" s="56" t="n"/>
    </row>
    <row r="31" ht="16.3" customHeight="1">
      <c r="A31" s="13" t="n"/>
      <c r="B31" s="42">
        <f t="array" ref="B31">IF(INDEX(DATOS!$A$1:$A$201,ROW()-12)="","",INDEX(DATOS!$A$1:$A$201,ROW()-12))</f>
        <v/>
      </c>
      <c r="C31" s="149">
        <f t="array" ref="C31">IF(INDEX(DATOS!$B$1:$B$201,ROW()-12)="","",INDEX(DATOS!$B$1:$B$201,ROW()-12))</f>
        <v/>
      </c>
      <c r="D31" s="150" t="n"/>
      <c r="E31" s="150" t="n"/>
      <c r="F31" s="150" t="n"/>
      <c r="G31" s="151" t="n"/>
      <c r="H31" s="43">
        <f t="array" ref="H31">IF(INDEX(DATOS!$C$1:$C$201,ROW()-12)="","",INDEX(DATOS!$C$1:$C$201,ROW()-12))</f>
        <v/>
      </c>
      <c r="I31" s="44">
        <f t="array" ref="I31">IF(INDEX(DATOS!$D$1:$D$201,ROW()-12)="","",INDEX(DATOS!$D$1:$D$201,ROW()-12))</f>
        <v/>
      </c>
      <c r="J31" s="45">
        <f t="array" ref="J31">IF(INDEX(DATOS!$M$1:$M$201,ROW()-12)="","",INDEX(DATOS!$M$1:$M$201,ROW()-12))</f>
        <v/>
      </c>
      <c r="K31" s="46">
        <f t="array" ref="K31">IF(INDEX(DATOS!$K$1:$K$201,ROW()-12)="","",INDEX(DATOS!$K$1:$K$201,ROW()-12))</f>
        <v/>
      </c>
      <c r="L31" s="47">
        <f t="array" ref="L31">IF(INDEX(DATOS!$E$1:$E$201,ROW()-12)="","",INDEX(DATOS!$E$1:$E$201,ROW()-12))</f>
        <v/>
      </c>
      <c r="M31" s="47">
        <f t="array" ref="M31">IF(INDEX(DATOS!$F$1:$F$201,ROW()-12)="","",INDEX(DATOS!$F$1:$F$201,ROW()-12))</f>
        <v/>
      </c>
      <c r="N31" s="47">
        <f t="array" ref="N31">IF(INDEX(DATOS!$G$1:$G$201,ROW()-12)="","",INDEX(DATOS!$G$1:$G$201,ROW()-12))</f>
        <v/>
      </c>
      <c r="O31" s="47">
        <f t="array" ref="O31">IF(INDEX(DATOS!$H$1:$H$201,ROW()-12)="","",INDEX(DATOS!$H$1:$H$201,ROW()-12))</f>
        <v/>
      </c>
      <c r="P31" s="47">
        <f t="array" ref="P31">IF(INDEX(DATOS!$I$1:$I$201,ROW()-12)="","",INDEX(DATOS!$I$1:$I$201,ROW()-12))</f>
        <v/>
      </c>
      <c r="Q31" s="48">
        <f t="array" ref="Q31">IF(INDEX(DATOS!$J$1:$J$201,ROW()-12)="","",INDEX(DATOS!$J$1:$J$201,ROW()-12))</f>
        <v/>
      </c>
      <c r="R31" s="49">
        <f t="array" ref="R31">IF(INDEX(DATOS!$P$1:$P$201,ROW()-12)="","",INDEX(DATOS!$P$1:$P$201,ROW()-12))</f>
        <v/>
      </c>
      <c r="S31" s="60" t="n"/>
      <c r="T31" s="57" t="inlineStr">
        <is>
          <t>Vence hoy (0 días)</t>
        </is>
      </c>
      <c r="U31" s="58">
        <f>SUMIFS(DATOS!$K$2:$K$5001,DATOS!$M$2:$M$5001,0)</f>
        <v/>
      </c>
      <c r="V31" s="59">
        <f>U31/$U$32</f>
        <v/>
      </c>
      <c r="W31" s="56" t="n"/>
      <c r="X31" s="56" t="n"/>
      <c r="Y31" s="56" t="n"/>
      <c r="Z31" s="56" t="n"/>
    </row>
    <row r="32" ht="16.3" customHeight="1">
      <c r="A32" s="41" t="n"/>
      <c r="B32" s="42">
        <f t="array" ref="B32">IF(INDEX(DATOS!$A$1:$A$201,ROW()-12)="","",INDEX(DATOS!$A$1:$A$201,ROW()-12))</f>
        <v/>
      </c>
      <c r="C32" s="149">
        <f t="array" ref="C32">IF(INDEX(DATOS!$B$1:$B$201,ROW()-12)="","",INDEX(DATOS!$B$1:$B$201,ROW()-12))</f>
        <v/>
      </c>
      <c r="D32" s="150" t="n"/>
      <c r="E32" s="150" t="n"/>
      <c r="F32" s="150" t="n"/>
      <c r="G32" s="151" t="n"/>
      <c r="H32" s="43">
        <f t="array" ref="H32">IF(INDEX(DATOS!$C$1:$C$201,ROW()-12)="","",INDEX(DATOS!$C$1:$C$201,ROW()-12))</f>
        <v/>
      </c>
      <c r="I32" s="44">
        <f t="array" ref="I32">IF(INDEX(DATOS!$D$1:$D$201,ROW()-12)="","",INDEX(DATOS!$D$1:$D$201,ROW()-12))</f>
        <v/>
      </c>
      <c r="J32" s="45">
        <f t="array" ref="J32">IF(INDEX(DATOS!$M$1:$M$201,ROW()-12)="","",INDEX(DATOS!$M$1:$M$201,ROW()-12))</f>
        <v/>
      </c>
      <c r="K32" s="46">
        <f t="array" ref="K32">IF(INDEX(DATOS!$K$1:$K$201,ROW()-12)="","",INDEX(DATOS!$K$1:$K$201,ROW()-12))</f>
        <v/>
      </c>
      <c r="L32" s="47">
        <f t="array" ref="L32">IF(INDEX(DATOS!$E$1:$E$201,ROW()-12)="","",INDEX(DATOS!$E$1:$E$201,ROW()-12))</f>
        <v/>
      </c>
      <c r="M32" s="47">
        <f t="array" ref="M32">IF(INDEX(DATOS!$F$1:$F$201,ROW()-12)="","",INDEX(DATOS!$F$1:$F$201,ROW()-12))</f>
        <v/>
      </c>
      <c r="N32" s="47">
        <f t="array" ref="N32">IF(INDEX(DATOS!$G$1:$G$201,ROW()-12)="","",INDEX(DATOS!$G$1:$G$201,ROW()-12))</f>
        <v/>
      </c>
      <c r="O32" s="47">
        <f t="array" ref="O32">IF(INDEX(DATOS!$H$1:$H$201,ROW()-12)="","",INDEX(DATOS!$H$1:$H$201,ROW()-12))</f>
        <v/>
      </c>
      <c r="P32" s="47">
        <f t="array" ref="P32">IF(INDEX(DATOS!$I$1:$I$201,ROW()-12)="","",INDEX(DATOS!$I$1:$I$201,ROW()-12))</f>
        <v/>
      </c>
      <c r="Q32" s="48">
        <f t="array" ref="Q32">IF(INDEX(DATOS!$J$1:$J$201,ROW()-12)="","",INDEX(DATOS!$J$1:$J$201,ROW()-12))</f>
        <v/>
      </c>
      <c r="R32" s="49">
        <f t="array" ref="R32">IF(INDEX(DATOS!$P$1:$P$201,ROW()-12)="","",INDEX(DATOS!$P$1:$P$201,ROW()-12))</f>
        <v/>
      </c>
      <c r="S32" s="50" t="n"/>
      <c r="T32" s="57" t="inlineStr">
        <is>
          <t>TOTAL</t>
        </is>
      </c>
      <c r="U32" s="58">
        <f>SUM(U29:U31)</f>
        <v/>
      </c>
      <c r="V32" s="59" t="n"/>
      <c r="W32" s="56" t="n"/>
      <c r="X32" s="56" t="n"/>
      <c r="Y32" s="56" t="n"/>
      <c r="Z32" s="56" t="n"/>
    </row>
    <row r="33" ht="16.3" customHeight="1">
      <c r="A33" s="13" t="n"/>
      <c r="B33" s="42">
        <f t="array" ref="B33">IF(INDEX(DATOS!$A$1:$A$201,ROW()-12)="","",INDEX(DATOS!$A$1:$A$201,ROW()-12))</f>
        <v/>
      </c>
      <c r="C33" s="149">
        <f t="array" ref="C33">IF(INDEX(DATOS!$B$1:$B$201,ROW()-12)="","",INDEX(DATOS!$B$1:$B$201,ROW()-12))</f>
        <v/>
      </c>
      <c r="D33" s="150" t="n"/>
      <c r="E33" s="150" t="n"/>
      <c r="F33" s="150" t="n"/>
      <c r="G33" s="151" t="n"/>
      <c r="H33" s="43">
        <f t="array" ref="H33">IF(INDEX(DATOS!$C$1:$C$201,ROW()-12)="","",INDEX(DATOS!$C$1:$C$201,ROW()-12))</f>
        <v/>
      </c>
      <c r="I33" s="44">
        <f t="array" ref="I33">IF(INDEX(DATOS!$D$1:$D$201,ROW()-12)="","",INDEX(DATOS!$D$1:$D$201,ROW()-12))</f>
        <v/>
      </c>
      <c r="J33" s="45">
        <f t="array" ref="J33">IF(INDEX(DATOS!$M$1:$M$201,ROW()-12)="","",INDEX(DATOS!$M$1:$M$201,ROW()-12))</f>
        <v/>
      </c>
      <c r="K33" s="46">
        <f t="array" ref="K33">IF(INDEX(DATOS!$K$1:$K$201,ROW()-12)="","",INDEX(DATOS!$K$1:$K$201,ROW()-12))</f>
        <v/>
      </c>
      <c r="L33" s="47">
        <f t="array" ref="L33">IF(INDEX(DATOS!$E$1:$E$201,ROW()-12)="","",INDEX(DATOS!$E$1:$E$201,ROW()-12))</f>
        <v/>
      </c>
      <c r="M33" s="47">
        <f t="array" ref="M33">IF(INDEX(DATOS!$F$1:$F$201,ROW()-12)="","",INDEX(DATOS!$F$1:$F$201,ROW()-12))</f>
        <v/>
      </c>
      <c r="N33" s="47">
        <f t="array" ref="N33">IF(INDEX(DATOS!$G$1:$G$201,ROW()-12)="","",INDEX(DATOS!$G$1:$G$201,ROW()-12))</f>
        <v/>
      </c>
      <c r="O33" s="47">
        <f t="array" ref="O33">IF(INDEX(DATOS!$H$1:$H$201,ROW()-12)="","",INDEX(DATOS!$H$1:$H$201,ROW()-12))</f>
        <v/>
      </c>
      <c r="P33" s="47">
        <f t="array" ref="P33">IF(INDEX(DATOS!$I$1:$I$201,ROW()-12)="","",INDEX(DATOS!$I$1:$I$201,ROW()-12))</f>
        <v/>
      </c>
      <c r="Q33" s="48">
        <f t="array" ref="Q33">IF(INDEX(DATOS!$J$1:$J$201,ROW()-12)="","",INDEX(DATOS!$J$1:$J$201,ROW()-12))</f>
        <v/>
      </c>
      <c r="R33" s="49">
        <f t="array" ref="R33">IF(INDEX(DATOS!$P$1:$P$201,ROW()-12)="","",INDEX(DATOS!$P$1:$P$201,ROW()-12))</f>
        <v/>
      </c>
      <c r="S33" s="60" t="n"/>
      <c r="T33" s="13" t="n"/>
      <c r="U33" s="13" t="n"/>
      <c r="V33" s="13" t="n"/>
      <c r="W33" s="17" t="n"/>
      <c r="X33" s="17" t="n"/>
      <c r="Y33" s="17" t="n"/>
      <c r="Z33" s="17" t="n"/>
    </row>
    <row r="34" ht="16.3" customHeight="1">
      <c r="A34" s="41" t="n"/>
      <c r="B34" s="42">
        <f t="array" ref="B34">IF(INDEX(DATOS!$A$1:$A$201,ROW()-12)="","",INDEX(DATOS!$A$1:$A$201,ROW()-12))</f>
        <v/>
      </c>
      <c r="C34" s="149">
        <f t="array" ref="C34">IF(INDEX(DATOS!$B$1:$B$201,ROW()-12)="","",INDEX(DATOS!$B$1:$B$201,ROW()-12))</f>
        <v/>
      </c>
      <c r="D34" s="150" t="n"/>
      <c r="E34" s="150" t="n"/>
      <c r="F34" s="150" t="n"/>
      <c r="G34" s="151" t="n"/>
      <c r="H34" s="43">
        <f t="array" ref="H34">IF(INDEX(DATOS!$C$1:$C$201,ROW()-12)="","",INDEX(DATOS!$C$1:$C$201,ROW()-12))</f>
        <v/>
      </c>
      <c r="I34" s="44">
        <f t="array" ref="I34">IF(INDEX(DATOS!$D$1:$D$201,ROW()-12)="","",INDEX(DATOS!$D$1:$D$201,ROW()-12))</f>
        <v/>
      </c>
      <c r="J34" s="45">
        <f t="array" ref="J34">IF(INDEX(DATOS!$M$1:$M$201,ROW()-12)="","",INDEX(DATOS!$M$1:$M$201,ROW()-12))</f>
        <v/>
      </c>
      <c r="K34" s="46">
        <f t="array" ref="K34">IF(INDEX(DATOS!$K$1:$K$201,ROW()-12)="","",INDEX(DATOS!$K$1:$K$201,ROW()-12))</f>
        <v/>
      </c>
      <c r="L34" s="47">
        <f t="array" ref="L34">IF(INDEX(DATOS!$E$1:$E$201,ROW()-12)="","",INDEX(DATOS!$E$1:$E$201,ROW()-12))</f>
        <v/>
      </c>
      <c r="M34" s="47">
        <f t="array" ref="M34">IF(INDEX(DATOS!$F$1:$F$201,ROW()-12)="","",INDEX(DATOS!$F$1:$F$201,ROW()-12))</f>
        <v/>
      </c>
      <c r="N34" s="47">
        <f t="array" ref="N34">IF(INDEX(DATOS!$G$1:$G$201,ROW()-12)="","",INDEX(DATOS!$G$1:$G$201,ROW()-12))</f>
        <v/>
      </c>
      <c r="O34" s="47">
        <f t="array" ref="O34">IF(INDEX(DATOS!$H$1:$H$201,ROW()-12)="","",INDEX(DATOS!$H$1:$H$201,ROW()-12))</f>
        <v/>
      </c>
      <c r="P34" s="47">
        <f t="array" ref="P34">IF(INDEX(DATOS!$I$1:$I$201,ROW()-12)="","",INDEX(DATOS!$I$1:$I$201,ROW()-12))</f>
        <v/>
      </c>
      <c r="Q34" s="48">
        <f t="array" ref="Q34">IF(INDEX(DATOS!$J$1:$J$201,ROW()-12)="","",INDEX(DATOS!$J$1:$J$201,ROW()-12))</f>
        <v/>
      </c>
      <c r="R34" s="49">
        <f t="array" ref="R34">IF(INDEX(DATOS!$P$1:$P$201,ROW()-12)="","",INDEX(DATOS!$P$1:$P$201,ROW()-12))</f>
        <v/>
      </c>
      <c r="S34" s="50" t="n"/>
      <c r="T34" s="57" t="inlineStr">
        <is>
          <t>CHECKS PENDIENTES POR FAMILIA (TODO EL CORTE)</t>
        </is>
      </c>
      <c r="U34" s="58" t="n"/>
      <c r="V34" s="59" t="n"/>
      <c r="W34" s="56" t="n"/>
      <c r="X34" s="56" t="n"/>
      <c r="Y34" s="56" t="n"/>
      <c r="Z34" s="56" t="n"/>
    </row>
    <row r="35" ht="16.3" customHeight="1">
      <c r="A35" s="13" t="n"/>
      <c r="B35" s="42">
        <f t="array" ref="B35">IF(INDEX(DATOS!$A$1:$A$201,ROW()-12)="","",INDEX(DATOS!$A$1:$A$201,ROW()-12))</f>
        <v/>
      </c>
      <c r="C35" s="149">
        <f t="array" ref="C35">IF(INDEX(DATOS!$B$1:$B$201,ROW()-12)="","",INDEX(DATOS!$B$1:$B$201,ROW()-12))</f>
        <v/>
      </c>
      <c r="D35" s="150" t="n"/>
      <c r="E35" s="150" t="n"/>
      <c r="F35" s="150" t="n"/>
      <c r="G35" s="151" t="n"/>
      <c r="H35" s="43">
        <f t="array" ref="H35">IF(INDEX(DATOS!$C$1:$C$201,ROW()-12)="","",INDEX(DATOS!$C$1:$C$201,ROW()-12))</f>
        <v/>
      </c>
      <c r="I35" s="44">
        <f t="array" ref="I35">IF(INDEX(DATOS!$D$1:$D$201,ROW()-12)="","",INDEX(DATOS!$D$1:$D$201,ROW()-12))</f>
        <v/>
      </c>
      <c r="J35" s="45">
        <f t="array" ref="J35">IF(INDEX(DATOS!$M$1:$M$201,ROW()-12)="","",INDEX(DATOS!$M$1:$M$201,ROW()-12))</f>
        <v/>
      </c>
      <c r="K35" s="46">
        <f t="array" ref="K35">IF(INDEX(DATOS!$K$1:$K$201,ROW()-12)="","",INDEX(DATOS!$K$1:$K$201,ROW()-12))</f>
        <v/>
      </c>
      <c r="L35" s="47">
        <f t="array" ref="L35">IF(INDEX(DATOS!$E$1:$E$201,ROW()-12)="","",INDEX(DATOS!$E$1:$E$201,ROW()-12))</f>
        <v/>
      </c>
      <c r="M35" s="47">
        <f t="array" ref="M35">IF(INDEX(DATOS!$F$1:$F$201,ROW()-12)="","",INDEX(DATOS!$F$1:$F$201,ROW()-12))</f>
        <v/>
      </c>
      <c r="N35" s="47">
        <f t="array" ref="N35">IF(INDEX(DATOS!$G$1:$G$201,ROW()-12)="","",INDEX(DATOS!$G$1:$G$201,ROW()-12))</f>
        <v/>
      </c>
      <c r="O35" s="47">
        <f t="array" ref="O35">IF(INDEX(DATOS!$H$1:$H$201,ROW()-12)="","",INDEX(DATOS!$H$1:$H$201,ROW()-12))</f>
        <v/>
      </c>
      <c r="P35" s="47">
        <f t="array" ref="P35">IF(INDEX(DATOS!$I$1:$I$201,ROW()-12)="","",INDEX(DATOS!$I$1:$I$201,ROW()-12))</f>
        <v/>
      </c>
      <c r="Q35" s="48">
        <f t="array" ref="Q35">IF(INDEX(DATOS!$J$1:$J$201,ROW()-12)="","",INDEX(DATOS!$J$1:$J$201,ROW()-12))</f>
        <v/>
      </c>
      <c r="R35" s="49">
        <f t="array" ref="R35">IF(INDEX(DATOS!$P$1:$P$201,ROW()-12)="","",INDEX(DATOS!$P$1:$P$201,ROW()-12))</f>
        <v/>
      </c>
      <c r="S35" s="60" t="n"/>
      <c r="T35" s="23" t="inlineStr">
        <is>
          <t>FAMILIA</t>
        </is>
      </c>
      <c r="U35" s="24" t="inlineStr">
        <is>
          <t>CHECKS</t>
        </is>
      </c>
      <c r="V35" s="25" t="inlineStr">
        <is>
          <t>%</t>
        </is>
      </c>
      <c r="W35" s="17" t="n"/>
      <c r="X35" s="17" t="n"/>
      <c r="Y35" s="17" t="n"/>
      <c r="Z35" s="17" t="n"/>
    </row>
    <row r="36" ht="16.3" customHeight="1">
      <c r="A36" s="41" t="n"/>
      <c r="B36" s="42">
        <f t="array" ref="B36">IF(INDEX(DATOS!$A$1:$A$201,ROW()-12)="","",INDEX(DATOS!$A$1:$A$201,ROW()-12))</f>
        <v/>
      </c>
      <c r="C36" s="149">
        <f t="array" ref="C36">IF(INDEX(DATOS!$B$1:$B$201,ROW()-12)="","",INDEX(DATOS!$B$1:$B$201,ROW()-12))</f>
        <v/>
      </c>
      <c r="D36" s="150" t="n"/>
      <c r="E36" s="150" t="n"/>
      <c r="F36" s="150" t="n"/>
      <c r="G36" s="151" t="n"/>
      <c r="H36" s="43">
        <f t="array" ref="H36">IF(INDEX(DATOS!$C$1:$C$201,ROW()-12)="","",INDEX(DATOS!$C$1:$C$201,ROW()-12))</f>
        <v/>
      </c>
      <c r="I36" s="44">
        <f t="array" ref="I36">IF(INDEX(DATOS!$D$1:$D$201,ROW()-12)="","",INDEX(DATOS!$D$1:$D$201,ROW()-12))</f>
        <v/>
      </c>
      <c r="J36" s="45">
        <f t="array" ref="J36">IF(INDEX(DATOS!$M$1:$M$201,ROW()-12)="","",INDEX(DATOS!$M$1:$M$201,ROW()-12))</f>
        <v/>
      </c>
      <c r="K36" s="46">
        <f t="array" ref="K36">IF(INDEX(DATOS!$K$1:$K$201,ROW()-12)="","",INDEX(DATOS!$K$1:$K$201,ROW()-12))</f>
        <v/>
      </c>
      <c r="L36" s="47">
        <f t="array" ref="L36">IF(INDEX(DATOS!$E$1:$E$201,ROW()-12)="","",INDEX(DATOS!$E$1:$E$201,ROW()-12))</f>
        <v/>
      </c>
      <c r="M36" s="47">
        <f t="array" ref="M36">IF(INDEX(DATOS!$F$1:$F$201,ROW()-12)="","",INDEX(DATOS!$F$1:$F$201,ROW()-12))</f>
        <v/>
      </c>
      <c r="N36" s="47">
        <f t="array" ref="N36">IF(INDEX(DATOS!$G$1:$G$201,ROW()-12)="","",INDEX(DATOS!$G$1:$G$201,ROW()-12))</f>
        <v/>
      </c>
      <c r="O36" s="47">
        <f t="array" ref="O36">IF(INDEX(DATOS!$H$1:$H$201,ROW()-12)="","",INDEX(DATOS!$H$1:$H$201,ROW()-12))</f>
        <v/>
      </c>
      <c r="P36" s="47">
        <f t="array" ref="P36">IF(INDEX(DATOS!$I$1:$I$201,ROW()-12)="","",INDEX(DATOS!$I$1:$I$201,ROW()-12))</f>
        <v/>
      </c>
      <c r="Q36" s="48">
        <f t="array" ref="Q36">IF(INDEX(DATOS!$J$1:$J$201,ROW()-12)="","",INDEX(DATOS!$J$1:$J$201,ROW()-12))</f>
        <v/>
      </c>
      <c r="R36" s="49">
        <f t="array" ref="R36">IF(INDEX(DATOS!$P$1:$P$201,ROW()-12)="","",INDEX(DATOS!$P$1:$P$201,ROW()-12))</f>
        <v/>
      </c>
      <c r="S36" s="50" t="n"/>
      <c r="T36" s="57" t="inlineStr">
        <is>
          <t>Acero</t>
        </is>
      </c>
      <c r="U36" s="58">
        <f>SUMIF(DATOS!$C$2:$C$5001,$T36,DATOS!$K$2:$K$5001)</f>
        <v/>
      </c>
      <c r="V36" s="59">
        <f>U36/$U$42</f>
        <v/>
      </c>
      <c r="W36" s="56" t="n"/>
      <c r="X36" s="56" t="n"/>
      <c r="Y36" s="56" t="n"/>
      <c r="Z36" s="56" t="n"/>
    </row>
    <row r="37" ht="16.3" customHeight="1">
      <c r="A37" s="13" t="n"/>
      <c r="B37" s="42">
        <f t="array" ref="B37">IF(INDEX(DATOS!$A$1:$A$201,ROW()-12)="","",INDEX(DATOS!$A$1:$A$201,ROW()-12))</f>
        <v/>
      </c>
      <c r="C37" s="149">
        <f t="array" ref="C37">IF(INDEX(DATOS!$B$1:$B$201,ROW()-12)="","",INDEX(DATOS!$B$1:$B$201,ROW()-12))</f>
        <v/>
      </c>
      <c r="D37" s="150" t="n"/>
      <c r="E37" s="150" t="n"/>
      <c r="F37" s="150" t="n"/>
      <c r="G37" s="151" t="n"/>
      <c r="H37" s="43">
        <f t="array" ref="H37">IF(INDEX(DATOS!$C$1:$C$201,ROW()-12)="","",INDEX(DATOS!$C$1:$C$201,ROW()-12))</f>
        <v/>
      </c>
      <c r="I37" s="44">
        <f t="array" ref="I37">IF(INDEX(DATOS!$D$1:$D$201,ROW()-12)="","",INDEX(DATOS!$D$1:$D$201,ROW()-12))</f>
        <v/>
      </c>
      <c r="J37" s="45">
        <f t="array" ref="J37">IF(INDEX(DATOS!$M$1:$M$201,ROW()-12)="","",INDEX(DATOS!$M$1:$M$201,ROW()-12))</f>
        <v/>
      </c>
      <c r="K37" s="46">
        <f t="array" ref="K37">IF(INDEX(DATOS!$K$1:$K$201,ROW()-12)="","",INDEX(DATOS!$K$1:$K$201,ROW()-12))</f>
        <v/>
      </c>
      <c r="L37" s="47">
        <f t="array" ref="L37">IF(INDEX(DATOS!$E$1:$E$201,ROW()-12)="","",INDEX(DATOS!$E$1:$E$201,ROW()-12))</f>
        <v/>
      </c>
      <c r="M37" s="47">
        <f t="array" ref="M37">IF(INDEX(DATOS!$F$1:$F$201,ROW()-12)="","",INDEX(DATOS!$F$1:$F$201,ROW()-12))</f>
        <v/>
      </c>
      <c r="N37" s="47">
        <f t="array" ref="N37">IF(INDEX(DATOS!$G$1:$G$201,ROW()-12)="","",INDEX(DATOS!$G$1:$G$201,ROW()-12))</f>
        <v/>
      </c>
      <c r="O37" s="47">
        <f t="array" ref="O37">IF(INDEX(DATOS!$H$1:$H$201,ROW()-12)="","",INDEX(DATOS!$H$1:$H$201,ROW()-12))</f>
        <v/>
      </c>
      <c r="P37" s="47">
        <f t="array" ref="P37">IF(INDEX(DATOS!$I$1:$I$201,ROW()-12)="","",INDEX(DATOS!$I$1:$I$201,ROW()-12))</f>
        <v/>
      </c>
      <c r="Q37" s="48">
        <f t="array" ref="Q37">IF(INDEX(DATOS!$J$1:$J$201,ROW()-12)="","",INDEX(DATOS!$J$1:$J$201,ROW()-12))</f>
        <v/>
      </c>
      <c r="R37" s="49">
        <f t="array" ref="R37">IF(INDEX(DATOS!$P$1:$P$201,ROW()-12)="","",INDEX(DATOS!$P$1:$P$201,ROW()-12))</f>
        <v/>
      </c>
      <c r="S37" s="12" t="n"/>
      <c r="T37" s="28" t="inlineStr">
        <is>
          <t>Encofrado</t>
        </is>
      </c>
      <c r="U37" s="64">
        <f>SUMIF(DATOS!$C$2:$C$5001,$T37,DATOS!$K$2:$K$5001)</f>
        <v/>
      </c>
      <c r="V37" s="65">
        <f>U37/$U$42</f>
        <v/>
      </c>
      <c r="W37" s="17" t="n"/>
      <c r="X37" s="17" t="n"/>
      <c r="Y37" s="17" t="n"/>
      <c r="Z37" s="17" t="n"/>
    </row>
    <row r="38" ht="16.3" customHeight="1">
      <c r="A38" s="13" t="n"/>
      <c r="B38" s="42">
        <f t="array" ref="B38">IF(INDEX(DATOS!$A$1:$A$201,ROW()-12)="","",INDEX(DATOS!$A$1:$A$201,ROW()-12))</f>
        <v/>
      </c>
      <c r="C38" s="149">
        <f t="array" ref="C38">IF(INDEX(DATOS!$B$1:$B$201,ROW()-12)="","",INDEX(DATOS!$B$1:$B$201,ROW()-12))</f>
        <v/>
      </c>
      <c r="D38" s="150" t="n"/>
      <c r="E38" s="150" t="n"/>
      <c r="F38" s="150" t="n"/>
      <c r="G38" s="151" t="n"/>
      <c r="H38" s="43">
        <f t="array" ref="H38">IF(INDEX(DATOS!$C$1:$C$201,ROW()-12)="","",INDEX(DATOS!$C$1:$C$201,ROW()-12))</f>
        <v/>
      </c>
      <c r="I38" s="44">
        <f t="array" ref="I38">IF(INDEX(DATOS!$D$1:$D$201,ROW()-12)="","",INDEX(DATOS!$D$1:$D$201,ROW()-12))</f>
        <v/>
      </c>
      <c r="J38" s="45">
        <f t="array" ref="J38">IF(INDEX(DATOS!$M$1:$M$201,ROW()-12)="","",INDEX(DATOS!$M$1:$M$201,ROW()-12))</f>
        <v/>
      </c>
      <c r="K38" s="46">
        <f t="array" ref="K38">IF(INDEX(DATOS!$K$1:$K$201,ROW()-12)="","",INDEX(DATOS!$K$1:$K$201,ROW()-12))</f>
        <v/>
      </c>
      <c r="L38" s="47">
        <f t="array" ref="L38">IF(INDEX(DATOS!$E$1:$E$201,ROW()-12)="","",INDEX(DATOS!$E$1:$E$201,ROW()-12))</f>
        <v/>
      </c>
      <c r="M38" s="47">
        <f t="array" ref="M38">IF(INDEX(DATOS!$F$1:$F$201,ROW()-12)="","",INDEX(DATOS!$F$1:$F$201,ROW()-12))</f>
        <v/>
      </c>
      <c r="N38" s="47">
        <f t="array" ref="N38">IF(INDEX(DATOS!$G$1:$G$201,ROW()-12)="","",INDEX(DATOS!$G$1:$G$201,ROW()-12))</f>
        <v/>
      </c>
      <c r="O38" s="47">
        <f t="array" ref="O38">IF(INDEX(DATOS!$H$1:$H$201,ROW()-12)="","",INDEX(DATOS!$H$1:$H$201,ROW()-12))</f>
        <v/>
      </c>
      <c r="P38" s="47">
        <f t="array" ref="P38">IF(INDEX(DATOS!$I$1:$I$201,ROW()-12)="","",INDEX(DATOS!$I$1:$I$201,ROW()-12))</f>
        <v/>
      </c>
      <c r="Q38" s="48">
        <f t="array" ref="Q38">IF(INDEX(DATOS!$J$1:$J$201,ROW()-12)="","",INDEX(DATOS!$J$1:$J$201,ROW()-12))</f>
        <v/>
      </c>
      <c r="R38" s="49">
        <f t="array" ref="R38">IF(INDEX(DATOS!$P$1:$P$201,ROW()-12)="","",INDEX(DATOS!$P$1:$P$201,ROW()-12))</f>
        <v/>
      </c>
      <c r="S38" s="12" t="n"/>
      <c r="T38" s="28" t="inlineStr">
        <is>
          <t>Concreto</t>
        </is>
      </c>
      <c r="U38" s="64">
        <f>SUMIF(DATOS!$C$2:$C$5001,$T38,DATOS!$K$2:$K$5001)</f>
        <v/>
      </c>
      <c r="V38" s="65">
        <f>U38/$U$42</f>
        <v/>
      </c>
      <c r="W38" s="17" t="n"/>
      <c r="X38" s="17" t="n"/>
      <c r="Y38" s="17" t="n"/>
      <c r="Z38" s="17" t="n"/>
    </row>
    <row r="39" ht="16.3" customHeight="1">
      <c r="A39" s="13" t="n"/>
      <c r="B39" s="42">
        <f t="array" ref="B39">IF(INDEX(DATOS!$A$1:$A$201,ROW()-12)="","",INDEX(DATOS!$A$1:$A$201,ROW()-12))</f>
        <v/>
      </c>
      <c r="C39" s="149">
        <f t="array" ref="C39">IF(INDEX(DATOS!$B$1:$B$201,ROW()-12)="","",INDEX(DATOS!$B$1:$B$201,ROW()-12))</f>
        <v/>
      </c>
      <c r="D39" s="150" t="n"/>
      <c r="E39" s="150" t="n"/>
      <c r="F39" s="150" t="n"/>
      <c r="G39" s="151" t="n"/>
      <c r="H39" s="43">
        <f t="array" ref="H39">IF(INDEX(DATOS!$C$1:$C$201,ROW()-12)="","",INDEX(DATOS!$C$1:$C$201,ROW()-12))</f>
        <v/>
      </c>
      <c r="I39" s="44">
        <f t="array" ref="I39">IF(INDEX(DATOS!$D$1:$D$201,ROW()-12)="","",INDEX(DATOS!$D$1:$D$201,ROW()-12))</f>
        <v/>
      </c>
      <c r="J39" s="45">
        <f t="array" ref="J39">IF(INDEX(DATOS!$M$1:$M$201,ROW()-12)="","",INDEX(DATOS!$M$1:$M$201,ROW()-12))</f>
        <v/>
      </c>
      <c r="K39" s="46">
        <f t="array" ref="K39">IF(INDEX(DATOS!$K$1:$K$201,ROW()-12)="","",INDEX(DATOS!$K$1:$K$201,ROW()-12))</f>
        <v/>
      </c>
      <c r="L39" s="47">
        <f t="array" ref="L39">IF(INDEX(DATOS!$E$1:$E$201,ROW()-12)="","",INDEX(DATOS!$E$1:$E$201,ROW()-12))</f>
        <v/>
      </c>
      <c r="M39" s="47">
        <f t="array" ref="M39">IF(INDEX(DATOS!$F$1:$F$201,ROW()-12)="","",INDEX(DATOS!$F$1:$F$201,ROW()-12))</f>
        <v/>
      </c>
      <c r="N39" s="47">
        <f t="array" ref="N39">IF(INDEX(DATOS!$G$1:$G$201,ROW()-12)="","",INDEX(DATOS!$G$1:$G$201,ROW()-12))</f>
        <v/>
      </c>
      <c r="O39" s="47">
        <f t="array" ref="O39">IF(INDEX(DATOS!$H$1:$H$201,ROW()-12)="","",INDEX(DATOS!$H$1:$H$201,ROW()-12))</f>
        <v/>
      </c>
      <c r="P39" s="47">
        <f t="array" ref="P39">IF(INDEX(DATOS!$I$1:$I$201,ROW()-12)="","",INDEX(DATOS!$I$1:$I$201,ROW()-12))</f>
        <v/>
      </c>
      <c r="Q39" s="48">
        <f t="array" ref="Q39">IF(INDEX(DATOS!$J$1:$J$201,ROW()-12)="","",INDEX(DATOS!$J$1:$J$201,ROW()-12))</f>
        <v/>
      </c>
      <c r="R39" s="49">
        <f t="array" ref="R39">IF(INDEX(DATOS!$P$1:$P$201,ROW()-12)="","",INDEX(DATOS!$P$1:$P$201,ROW()-12))</f>
        <v/>
      </c>
      <c r="S39" s="12" t="n"/>
      <c r="T39" s="28" t="inlineStr">
        <is>
          <t>Trazo</t>
        </is>
      </c>
      <c r="U39" s="64">
        <f>SUMIF(DATOS!$C$2:$C$5001,$T39,DATOS!$K$2:$K$5001)</f>
        <v/>
      </c>
      <c r="V39" s="65">
        <f>U39/$U$42</f>
        <v/>
      </c>
      <c r="W39" s="17" t="n"/>
      <c r="X39" s="17" t="n"/>
      <c r="Y39" s="17" t="n"/>
      <c r="Z39" s="17" t="n"/>
    </row>
    <row r="40" ht="16.3" customHeight="1">
      <c r="A40" s="13" t="n"/>
      <c r="B40" s="42">
        <f t="array" ref="B40">IF(INDEX(DATOS!$A$1:$A$201,ROW()-12)="","",INDEX(DATOS!$A$1:$A$201,ROW()-12))</f>
        <v/>
      </c>
      <c r="C40" s="149">
        <f t="array" ref="C40">IF(INDEX(DATOS!$B$1:$B$201,ROW()-12)="","",INDEX(DATOS!$B$1:$B$201,ROW()-12))</f>
        <v/>
      </c>
      <c r="D40" s="150" t="n"/>
      <c r="E40" s="150" t="n"/>
      <c r="F40" s="150" t="n"/>
      <c r="G40" s="151" t="n"/>
      <c r="H40" s="43">
        <f t="array" ref="H40">IF(INDEX(DATOS!$C$1:$C$201,ROW()-12)="","",INDEX(DATOS!$C$1:$C$201,ROW()-12))</f>
        <v/>
      </c>
      <c r="I40" s="44">
        <f t="array" ref="I40">IF(INDEX(DATOS!$D$1:$D$201,ROW()-12)="","",INDEX(DATOS!$D$1:$D$201,ROW()-12))</f>
        <v/>
      </c>
      <c r="J40" s="45">
        <f t="array" ref="J40">IF(INDEX(DATOS!$M$1:$M$201,ROW()-12)="","",INDEX(DATOS!$M$1:$M$201,ROW()-12))</f>
        <v/>
      </c>
      <c r="K40" s="46">
        <f t="array" ref="K40">IF(INDEX(DATOS!$K$1:$K$201,ROW()-12)="","",INDEX(DATOS!$K$1:$K$201,ROW()-12))</f>
        <v/>
      </c>
      <c r="L40" s="47">
        <f t="array" ref="L40">IF(INDEX(DATOS!$E$1:$E$201,ROW()-12)="","",INDEX(DATOS!$E$1:$E$201,ROW()-12))</f>
        <v/>
      </c>
      <c r="M40" s="47">
        <f t="array" ref="M40">IF(INDEX(DATOS!$F$1:$F$201,ROW()-12)="","",INDEX(DATOS!$F$1:$F$201,ROW()-12))</f>
        <v/>
      </c>
      <c r="N40" s="47">
        <f t="array" ref="N40">IF(INDEX(DATOS!$G$1:$G$201,ROW()-12)="","",INDEX(DATOS!$G$1:$G$201,ROW()-12))</f>
        <v/>
      </c>
      <c r="O40" s="47">
        <f t="array" ref="O40">IF(INDEX(DATOS!$H$1:$H$201,ROW()-12)="","",INDEX(DATOS!$H$1:$H$201,ROW()-12))</f>
        <v/>
      </c>
      <c r="P40" s="47">
        <f t="array" ref="P40">IF(INDEX(DATOS!$I$1:$I$201,ROW()-12)="","",INDEX(DATOS!$I$1:$I$201,ROW()-12))</f>
        <v/>
      </c>
      <c r="Q40" s="48">
        <f t="array" ref="Q40">IF(INDEX(DATOS!$J$1:$J$201,ROW()-12)="","",INDEX(DATOS!$J$1:$J$201,ROW()-12))</f>
        <v/>
      </c>
      <c r="R40" s="49">
        <f t="array" ref="R40">IF(INDEX(DATOS!$P$1:$P$201,ROW()-12)="","",INDEX(DATOS!$P$1:$P$201,ROW()-12))</f>
        <v/>
      </c>
      <c r="S40" s="17" t="n"/>
      <c r="T40" s="28" t="inlineStr">
        <is>
          <t>Relleno</t>
        </is>
      </c>
      <c r="U40" s="64">
        <f>SUMIF(DATOS!$C$2:$C$5001,$T40,DATOS!$K$2:$K$5001)</f>
        <v/>
      </c>
      <c r="V40" s="65">
        <f>U40/$U$42</f>
        <v/>
      </c>
      <c r="W40" s="17" t="n"/>
      <c r="X40" s="17" t="n"/>
      <c r="Y40" s="17" t="n"/>
      <c r="Z40" s="17" t="n"/>
    </row>
    <row r="41" ht="16.3" customHeight="1">
      <c r="A41" s="13" t="n"/>
      <c r="B41" s="42">
        <f t="array" ref="B41">IF(INDEX(DATOS!$A$1:$A$201,ROW()-12)="","",INDEX(DATOS!$A$1:$A$201,ROW()-12))</f>
        <v/>
      </c>
      <c r="C41" s="149">
        <f t="array" ref="C41">IF(INDEX(DATOS!$B$1:$B$201,ROW()-12)="","",INDEX(DATOS!$B$1:$B$201,ROW()-12))</f>
        <v/>
      </c>
      <c r="D41" s="150" t="n"/>
      <c r="E41" s="150" t="n"/>
      <c r="F41" s="150" t="n"/>
      <c r="G41" s="151" t="n"/>
      <c r="H41" s="43">
        <f t="array" ref="H41">IF(INDEX(DATOS!$C$1:$C$201,ROW()-12)="","",INDEX(DATOS!$C$1:$C$201,ROW()-12))</f>
        <v/>
      </c>
      <c r="I41" s="44">
        <f t="array" ref="I41">IF(INDEX(DATOS!$D$1:$D$201,ROW()-12)="","",INDEX(DATOS!$D$1:$D$201,ROW()-12))</f>
        <v/>
      </c>
      <c r="J41" s="45">
        <f t="array" ref="J41">IF(INDEX(DATOS!$M$1:$M$201,ROW()-12)="","",INDEX(DATOS!$M$1:$M$201,ROW()-12))</f>
        <v/>
      </c>
      <c r="K41" s="46">
        <f t="array" ref="K41">IF(INDEX(DATOS!$K$1:$K$201,ROW()-12)="","",INDEX(DATOS!$K$1:$K$201,ROW()-12))</f>
        <v/>
      </c>
      <c r="L41" s="47">
        <f t="array" ref="L41">IF(INDEX(DATOS!$E$1:$E$201,ROW()-12)="","",INDEX(DATOS!$E$1:$E$201,ROW()-12))</f>
        <v/>
      </c>
      <c r="M41" s="47">
        <f t="array" ref="M41">IF(INDEX(DATOS!$F$1:$F$201,ROW()-12)="","",INDEX(DATOS!$F$1:$F$201,ROW()-12))</f>
        <v/>
      </c>
      <c r="N41" s="47">
        <f t="array" ref="N41">IF(INDEX(DATOS!$G$1:$G$201,ROW()-12)="","",INDEX(DATOS!$G$1:$G$201,ROW()-12))</f>
        <v/>
      </c>
      <c r="O41" s="47">
        <f t="array" ref="O41">IF(INDEX(DATOS!$H$1:$H$201,ROW()-12)="","",INDEX(DATOS!$H$1:$H$201,ROW()-12))</f>
        <v/>
      </c>
      <c r="P41" s="47">
        <f t="array" ref="P41">IF(INDEX(DATOS!$I$1:$I$201,ROW()-12)="","",INDEX(DATOS!$I$1:$I$201,ROW()-12))</f>
        <v/>
      </c>
      <c r="Q41" s="48">
        <f t="array" ref="Q41">IF(INDEX(DATOS!$J$1:$J$201,ROW()-12)="","",INDEX(DATOS!$J$1:$J$201,ROW()-12))</f>
        <v/>
      </c>
      <c r="R41" s="49">
        <f t="array" ref="R41">IF(INDEX(DATOS!$P$1:$P$201,ROW()-12)="","",INDEX(DATOS!$P$1:$P$201,ROW()-12))</f>
        <v/>
      </c>
      <c r="S41" s="17" t="n"/>
      <c r="T41" s="66" t="inlineStr">
        <is>
          <t>Excavacion</t>
        </is>
      </c>
      <c r="U41" s="67">
        <f>SUMIF(DATOS!$C$2:$C$5001,$T41,DATOS!$K$2:$K$5001)</f>
        <v/>
      </c>
      <c r="V41" s="68">
        <f>U41/$U$42</f>
        <v/>
      </c>
      <c r="W41" s="17" t="n"/>
      <c r="X41" s="17" t="n"/>
      <c r="Y41" s="17" t="n"/>
      <c r="Z41" s="17" t="n"/>
    </row>
    <row r="42" ht="16.3" customHeight="1">
      <c r="A42" s="13" t="n"/>
      <c r="B42" s="42">
        <f t="array" ref="B42">IF(INDEX(DATOS!$A$1:$A$201,ROW()-12)="","",INDEX(DATOS!$A$1:$A$201,ROW()-12))</f>
        <v/>
      </c>
      <c r="C42" s="149">
        <f t="array" ref="C42">IF(INDEX(DATOS!$B$1:$B$201,ROW()-12)="","",INDEX(DATOS!$B$1:$B$201,ROW()-12))</f>
        <v/>
      </c>
      <c r="D42" s="150" t="n"/>
      <c r="E42" s="150" t="n"/>
      <c r="F42" s="150" t="n"/>
      <c r="G42" s="151" t="n"/>
      <c r="H42" s="43">
        <f t="array" ref="H42">IF(INDEX(DATOS!$C$1:$C$201,ROW()-12)="","",INDEX(DATOS!$C$1:$C$201,ROW()-12))</f>
        <v/>
      </c>
      <c r="I42" s="44">
        <f t="array" ref="I42">IF(INDEX(DATOS!$D$1:$D$201,ROW()-12)="","",INDEX(DATOS!$D$1:$D$201,ROW()-12))</f>
        <v/>
      </c>
      <c r="J42" s="45">
        <f t="array" ref="J42">IF(INDEX(DATOS!$M$1:$M$201,ROW()-12)="","",INDEX(DATOS!$M$1:$M$201,ROW()-12))</f>
        <v/>
      </c>
      <c r="K42" s="46">
        <f t="array" ref="K42">IF(INDEX(DATOS!$K$1:$K$201,ROW()-12)="","",INDEX(DATOS!$K$1:$K$201,ROW()-12))</f>
        <v/>
      </c>
      <c r="L42" s="47">
        <f t="array" ref="L42">IF(INDEX(DATOS!$E$1:$E$201,ROW()-12)="","",INDEX(DATOS!$E$1:$E$201,ROW()-12))</f>
        <v/>
      </c>
      <c r="M42" s="47">
        <f t="array" ref="M42">IF(INDEX(DATOS!$F$1:$F$201,ROW()-12)="","",INDEX(DATOS!$F$1:$F$201,ROW()-12))</f>
        <v/>
      </c>
      <c r="N42" s="47">
        <f t="array" ref="N42">IF(INDEX(DATOS!$G$1:$G$201,ROW()-12)="","",INDEX(DATOS!$G$1:$G$201,ROW()-12))</f>
        <v/>
      </c>
      <c r="O42" s="47">
        <f t="array" ref="O42">IF(INDEX(DATOS!$H$1:$H$201,ROW()-12)="","",INDEX(DATOS!$H$1:$H$201,ROW()-12))</f>
        <v/>
      </c>
      <c r="P42" s="47">
        <f t="array" ref="P42">IF(INDEX(DATOS!$I$1:$I$201,ROW()-12)="","",INDEX(DATOS!$I$1:$I$201,ROW()-12))</f>
        <v/>
      </c>
      <c r="Q42" s="48">
        <f t="array" ref="Q42">IF(INDEX(DATOS!$J$1:$J$201,ROW()-12)="","",INDEX(DATOS!$J$1:$J$201,ROW()-12))</f>
        <v/>
      </c>
      <c r="R42" s="49">
        <f t="array" ref="R42">IF(INDEX(DATOS!$P$1:$P$201,ROW()-12)="","",INDEX(DATOS!$P$1:$P$201,ROW()-12))</f>
        <v/>
      </c>
      <c r="S42" s="17" t="n"/>
      <c r="T42" s="69" t="inlineStr">
        <is>
          <t>TOTAL</t>
        </is>
      </c>
      <c r="U42" s="69">
        <f>SUM(DATOS!$K$2:$K$5001)</f>
        <v/>
      </c>
      <c r="V42" s="70">
        <f>SUM(V36:V41)</f>
        <v/>
      </c>
      <c r="W42" s="17" t="n"/>
      <c r="X42" s="17" t="n"/>
      <c r="Y42" s="17" t="n"/>
      <c r="Z42" s="17" t="n"/>
    </row>
    <row r="43" ht="16.3" customHeight="1">
      <c r="A43" s="17" t="n"/>
      <c r="B43" s="42">
        <f t="array" ref="B43">IF(INDEX(DATOS!$A$1:$A$201,ROW()-12)="","",INDEX(DATOS!$A$1:$A$201,ROW()-12))</f>
        <v/>
      </c>
      <c r="C43" s="149">
        <f t="array" ref="C43">IF(INDEX(DATOS!$B$1:$B$201,ROW()-12)="","",INDEX(DATOS!$B$1:$B$201,ROW()-12))</f>
        <v/>
      </c>
      <c r="D43" s="150" t="n"/>
      <c r="E43" s="150" t="n"/>
      <c r="F43" s="150" t="n"/>
      <c r="G43" s="151" t="n"/>
      <c r="H43" s="43">
        <f t="array" ref="H43">IF(INDEX(DATOS!$C$1:$C$201,ROW()-12)="","",INDEX(DATOS!$C$1:$C$201,ROW()-12))</f>
        <v/>
      </c>
      <c r="I43" s="44">
        <f t="array" ref="I43">IF(INDEX(DATOS!$D$1:$D$201,ROW()-12)="","",INDEX(DATOS!$D$1:$D$201,ROW()-12))</f>
        <v/>
      </c>
      <c r="J43" s="45">
        <f t="array" ref="J43">IF(INDEX(DATOS!$M$1:$M$201,ROW()-12)="","",INDEX(DATOS!$M$1:$M$201,ROW()-12))</f>
        <v/>
      </c>
      <c r="K43" s="46">
        <f t="array" ref="K43">IF(INDEX(DATOS!$K$1:$K$201,ROW()-12)="","",INDEX(DATOS!$K$1:$K$201,ROW()-12))</f>
        <v/>
      </c>
      <c r="L43" s="47">
        <f t="array" ref="L43">IF(INDEX(DATOS!$E$1:$E$201,ROW()-12)="","",INDEX(DATOS!$E$1:$E$201,ROW()-12))</f>
        <v/>
      </c>
      <c r="M43" s="47">
        <f t="array" ref="M43">IF(INDEX(DATOS!$F$1:$F$201,ROW()-12)="","",INDEX(DATOS!$F$1:$F$201,ROW()-12))</f>
        <v/>
      </c>
      <c r="N43" s="47">
        <f t="array" ref="N43">IF(INDEX(DATOS!$G$1:$G$201,ROW()-12)="","",INDEX(DATOS!$G$1:$G$201,ROW()-12))</f>
        <v/>
      </c>
      <c r="O43" s="47">
        <f t="array" ref="O43">IF(INDEX(DATOS!$H$1:$H$201,ROW()-12)="","",INDEX(DATOS!$H$1:$H$201,ROW()-12))</f>
        <v/>
      </c>
      <c r="P43" s="47">
        <f t="array" ref="P43">IF(INDEX(DATOS!$I$1:$I$201,ROW()-12)="","",INDEX(DATOS!$I$1:$I$201,ROW()-12))</f>
        <v/>
      </c>
      <c r="Q43" s="48">
        <f t="array" ref="Q43">IF(INDEX(DATOS!$J$1:$J$201,ROW()-12)="","",INDEX(DATOS!$J$1:$J$201,ROW()-12))</f>
        <v/>
      </c>
      <c r="R43" s="49">
        <f t="array" ref="R43">IF(INDEX(DATOS!$P$1:$P$201,ROW()-12)="","",INDEX(DATOS!$P$1:$P$201,ROW()-12))</f>
        <v/>
      </c>
      <c r="S43" s="17" t="n"/>
      <c r="T43" s="22" t="inlineStr">
        <is>
          <t>ESTADO GENERAL DE CHECKS (TODO EL CORTE)</t>
        </is>
      </c>
      <c r="U43" s="13" t="n"/>
      <c r="V43" s="13" t="n"/>
      <c r="W43" s="17" t="n"/>
      <c r="X43" s="17" t="n"/>
      <c r="Y43" s="17" t="n"/>
      <c r="Z43" s="17" t="n"/>
    </row>
    <row r="44" ht="16.3" customHeight="1">
      <c r="A44" s="17" t="n"/>
      <c r="B44" s="42">
        <f t="array" ref="B44">IF(INDEX(DATOS!$A$1:$A$201,ROW()-12)="","",INDEX(DATOS!$A$1:$A$201,ROW()-12))</f>
        <v/>
      </c>
      <c r="C44" s="149">
        <f t="array" ref="C44">IF(INDEX(DATOS!$B$1:$B$201,ROW()-12)="","",INDEX(DATOS!$B$1:$B$201,ROW()-12))</f>
        <v/>
      </c>
      <c r="D44" s="150" t="n"/>
      <c r="E44" s="150" t="n"/>
      <c r="F44" s="150" t="n"/>
      <c r="G44" s="151" t="n"/>
      <c r="H44" s="43">
        <f t="array" ref="H44">IF(INDEX(DATOS!$C$1:$C$201,ROW()-12)="","",INDEX(DATOS!$C$1:$C$201,ROW()-12))</f>
        <v/>
      </c>
      <c r="I44" s="44">
        <f t="array" ref="I44">IF(INDEX(DATOS!$D$1:$D$201,ROW()-12)="","",INDEX(DATOS!$D$1:$D$201,ROW()-12))</f>
        <v/>
      </c>
      <c r="J44" s="45">
        <f t="array" ref="J44">IF(INDEX(DATOS!$M$1:$M$201,ROW()-12)="","",INDEX(DATOS!$M$1:$M$201,ROW()-12))</f>
        <v/>
      </c>
      <c r="K44" s="46">
        <f t="array" ref="K44">IF(INDEX(DATOS!$K$1:$K$201,ROW()-12)="","",INDEX(DATOS!$K$1:$K$201,ROW()-12))</f>
        <v/>
      </c>
      <c r="L44" s="47">
        <f t="array" ref="L44">IF(INDEX(DATOS!$E$1:$E$201,ROW()-12)="","",INDEX(DATOS!$E$1:$E$201,ROW()-12))</f>
        <v/>
      </c>
      <c r="M44" s="47">
        <f t="array" ref="M44">IF(INDEX(DATOS!$F$1:$F$201,ROW()-12)="","",INDEX(DATOS!$F$1:$F$201,ROW()-12))</f>
        <v/>
      </c>
      <c r="N44" s="47">
        <f t="array" ref="N44">IF(INDEX(DATOS!$G$1:$G$201,ROW()-12)="","",INDEX(DATOS!$G$1:$G$201,ROW()-12))</f>
        <v/>
      </c>
      <c r="O44" s="47">
        <f t="array" ref="O44">IF(INDEX(DATOS!$H$1:$H$201,ROW()-12)="","",INDEX(DATOS!$H$1:$H$201,ROW()-12))</f>
        <v/>
      </c>
      <c r="P44" s="47">
        <f t="array" ref="P44">IF(INDEX(DATOS!$I$1:$I$201,ROW()-12)="","",INDEX(DATOS!$I$1:$I$201,ROW()-12))</f>
        <v/>
      </c>
      <c r="Q44" s="48">
        <f t="array" ref="Q44">IF(INDEX(DATOS!$J$1:$J$201,ROW()-12)="","",INDEX(DATOS!$J$1:$J$201,ROW()-12))</f>
        <v/>
      </c>
      <c r="R44" s="49">
        <f t="array" ref="R44">IF(INDEX(DATOS!$P$1:$P$201,ROW()-12)="","",INDEX(DATOS!$P$1:$P$201,ROW()-12))</f>
        <v/>
      </c>
      <c r="S44" s="17" t="n"/>
      <c r="T44" s="23" t="inlineStr">
        <is>
          <t>ESTADO</t>
        </is>
      </c>
      <c r="U44" s="24" t="inlineStr">
        <is>
          <t>CHECKS</t>
        </is>
      </c>
      <c r="V44" s="25" t="inlineStr">
        <is>
          <t>%</t>
        </is>
      </c>
      <c r="W44" s="17" t="n"/>
      <c r="X44" s="17" t="n"/>
      <c r="Y44" s="17" t="n"/>
      <c r="Z44" s="17" t="n"/>
    </row>
    <row r="45" ht="18" customHeight="1">
      <c r="A45" s="17" t="n"/>
      <c r="B45" s="42">
        <f t="array" ref="B45">IF(INDEX(DATOS!$A$1:$A$201,ROW()-12)="","",INDEX(DATOS!$A$1:$A$201,ROW()-12))</f>
        <v/>
      </c>
      <c r="C45" s="149">
        <f t="array" ref="C45">IF(INDEX(DATOS!$B$1:$B$201,ROW()-12)="","",INDEX(DATOS!$B$1:$B$201,ROW()-12))</f>
        <v/>
      </c>
      <c r="D45" s="150" t="n"/>
      <c r="E45" s="150" t="n"/>
      <c r="F45" s="150" t="n"/>
      <c r="G45" s="151" t="n"/>
      <c r="H45" s="43">
        <f t="array" ref="H45">IF(INDEX(DATOS!$C$1:$C$201,ROW()-12)="","",INDEX(DATOS!$C$1:$C$201,ROW()-12))</f>
        <v/>
      </c>
      <c r="I45" s="44">
        <f t="array" ref="I45">IF(INDEX(DATOS!$D$1:$D$201,ROW()-12)="","",INDEX(DATOS!$D$1:$D$201,ROW()-12))</f>
        <v/>
      </c>
      <c r="J45" s="45">
        <f t="array" ref="J45">IF(INDEX(DATOS!$M$1:$M$201,ROW()-12)="","",INDEX(DATOS!$M$1:$M$201,ROW()-12))</f>
        <v/>
      </c>
      <c r="K45" s="46">
        <f t="array" ref="K45">IF(INDEX(DATOS!$K$1:$K$201,ROW()-12)="","",INDEX(DATOS!$K$1:$K$201,ROW()-12))</f>
        <v/>
      </c>
      <c r="L45" s="47">
        <f t="array" ref="L45">IF(INDEX(DATOS!$E$1:$E$201,ROW()-12)="","",INDEX(DATOS!$E$1:$E$201,ROW()-12))</f>
        <v/>
      </c>
      <c r="M45" s="47">
        <f t="array" ref="M45">IF(INDEX(DATOS!$F$1:$F$201,ROW()-12)="","",INDEX(DATOS!$F$1:$F$201,ROW()-12))</f>
        <v/>
      </c>
      <c r="N45" s="47">
        <f t="array" ref="N45">IF(INDEX(DATOS!$G$1:$G$201,ROW()-12)="","",INDEX(DATOS!$G$1:$G$201,ROW()-12))</f>
        <v/>
      </c>
      <c r="O45" s="47">
        <f t="array" ref="O45">IF(INDEX(DATOS!$H$1:$H$201,ROW()-12)="","",INDEX(DATOS!$H$1:$H$201,ROW()-12))</f>
        <v/>
      </c>
      <c r="P45" s="47">
        <f t="array" ref="P45">IF(INDEX(DATOS!$I$1:$I$201,ROW()-12)="","",INDEX(DATOS!$I$1:$I$201,ROW()-12))</f>
        <v/>
      </c>
      <c r="Q45" s="48">
        <f t="array" ref="Q45">IF(INDEX(DATOS!$J$1:$J$201,ROW()-12)="","",INDEX(DATOS!$J$1:$J$201,ROW()-12))</f>
        <v/>
      </c>
      <c r="R45" s="49">
        <f t="array" ref="R45">IF(INDEX(DATOS!$P$1:$P$201,ROW()-12)="","",INDEX(DATOS!$P$1:$P$201,ROW()-12))</f>
        <v/>
      </c>
      <c r="S45" s="17" t="n"/>
      <c r="T45" s="23" t="n"/>
      <c r="U45" s="24" t="n"/>
      <c r="V45" s="25" t="n"/>
      <c r="W45" s="17" t="n"/>
      <c r="X45" s="17" t="n"/>
      <c r="Y45" s="17" t="n"/>
      <c r="Z45" s="17" t="n"/>
    </row>
    <row r="46" ht="18" customHeight="1">
      <c r="A46" s="17" t="n"/>
      <c r="B46" s="42">
        <f t="array" ref="B46">IF(INDEX(DATOS!$A$1:$A$201,ROW()-12)="","",INDEX(DATOS!$A$1:$A$201,ROW()-12))</f>
        <v/>
      </c>
      <c r="C46" s="149">
        <f t="array" ref="C46">IF(INDEX(DATOS!$B$1:$B$201,ROW()-12)="","",INDEX(DATOS!$B$1:$B$201,ROW()-12))</f>
        <v/>
      </c>
      <c r="D46" s="150" t="n"/>
      <c r="E46" s="150" t="n"/>
      <c r="F46" s="150" t="n"/>
      <c r="G46" s="151" t="n"/>
      <c r="H46" s="43">
        <f t="array" ref="H46">IF(INDEX(DATOS!$C$1:$C$201,ROW()-12)="","",INDEX(DATOS!$C$1:$C$201,ROW()-12))</f>
        <v/>
      </c>
      <c r="I46" s="44">
        <f t="array" ref="I46">IF(INDEX(DATOS!$D$1:$D$201,ROW()-12)="","",INDEX(DATOS!$D$1:$D$201,ROW()-12))</f>
        <v/>
      </c>
      <c r="J46" s="45">
        <f t="array" ref="J46">IF(INDEX(DATOS!$M$1:$M$201,ROW()-12)="","",INDEX(DATOS!$M$1:$M$201,ROW()-12))</f>
        <v/>
      </c>
      <c r="K46" s="46">
        <f t="array" ref="K46">IF(INDEX(DATOS!$K$1:$K$201,ROW()-12)="","",INDEX(DATOS!$K$1:$K$201,ROW()-12))</f>
        <v/>
      </c>
      <c r="L46" s="47">
        <f t="array" ref="L46">IF(INDEX(DATOS!$E$1:$E$201,ROW()-12)="","",INDEX(DATOS!$E$1:$E$201,ROW()-12))</f>
        <v/>
      </c>
      <c r="M46" s="47">
        <f t="array" ref="M46">IF(INDEX(DATOS!$F$1:$F$201,ROW()-12)="","",INDEX(DATOS!$F$1:$F$201,ROW()-12))</f>
        <v/>
      </c>
      <c r="N46" s="47">
        <f t="array" ref="N46">IF(INDEX(DATOS!$G$1:$G$201,ROW()-12)="","",INDEX(DATOS!$G$1:$G$201,ROW()-12))</f>
        <v/>
      </c>
      <c r="O46" s="47">
        <f t="array" ref="O46">IF(INDEX(DATOS!$H$1:$H$201,ROW()-12)="","",INDEX(DATOS!$H$1:$H$201,ROW()-12))</f>
        <v/>
      </c>
      <c r="P46" s="47">
        <f t="array" ref="P46">IF(INDEX(DATOS!$I$1:$I$201,ROW()-12)="","",INDEX(DATOS!$I$1:$I$201,ROW()-12))</f>
        <v/>
      </c>
      <c r="Q46" s="48">
        <f t="array" ref="Q46">IF(INDEX(DATOS!$J$1:$J$201,ROW()-12)="","",INDEX(DATOS!$J$1:$J$201,ROW()-12))</f>
        <v/>
      </c>
      <c r="R46" s="49">
        <f t="array" ref="R46">IF(INDEX(DATOS!$P$1:$P$201,ROW()-12)="","",INDEX(DATOS!$P$1:$P$201,ROW()-12))</f>
        <v/>
      </c>
      <c r="S46" s="17" t="n"/>
      <c r="T46" s="28" t="inlineStr">
        <is>
          <t>Pendientes</t>
        </is>
      </c>
      <c r="U46" s="64">
        <f>SUM(DATOS!$K$2:$K$5001)</f>
        <v/>
      </c>
      <c r="V46" s="65">
        <f>U46/$U$48</f>
        <v/>
      </c>
      <c r="W46" s="17" t="n"/>
      <c r="X46" s="17" t="n"/>
      <c r="Y46" s="17" t="n"/>
      <c r="Z46" s="17" t="n"/>
    </row>
    <row r="47" ht="18" customHeight="1">
      <c r="A47" s="17" t="n"/>
      <c r="B47" s="42">
        <f t="array" ref="B47">IF(INDEX(DATOS!$A$1:$A$201,ROW()-12)="","",INDEX(DATOS!$A$1:$A$201,ROW()-12))</f>
        <v/>
      </c>
      <c r="C47" s="149">
        <f t="array" ref="C47">IF(INDEX(DATOS!$B$1:$B$201,ROW()-12)="","",INDEX(DATOS!$B$1:$B$201,ROW()-12))</f>
        <v/>
      </c>
      <c r="D47" s="150" t="n"/>
      <c r="E47" s="150" t="n"/>
      <c r="F47" s="150" t="n"/>
      <c r="G47" s="151" t="n"/>
      <c r="H47" s="43">
        <f t="array" ref="H47">IF(INDEX(DATOS!$C$1:$C$201,ROW()-12)="","",INDEX(DATOS!$C$1:$C$201,ROW()-12))</f>
        <v/>
      </c>
      <c r="I47" s="44">
        <f t="array" ref="I47">IF(INDEX(DATOS!$D$1:$D$201,ROW()-12)="","",INDEX(DATOS!$D$1:$D$201,ROW()-12))</f>
        <v/>
      </c>
      <c r="J47" s="45">
        <f t="array" ref="J47">IF(INDEX(DATOS!$M$1:$M$201,ROW()-12)="","",INDEX(DATOS!$M$1:$M$201,ROW()-12))</f>
        <v/>
      </c>
      <c r="K47" s="46">
        <f t="array" ref="K47">IF(INDEX(DATOS!$K$1:$K$201,ROW()-12)="","",INDEX(DATOS!$K$1:$K$201,ROW()-12))</f>
        <v/>
      </c>
      <c r="L47" s="47">
        <f t="array" ref="L47">IF(INDEX(DATOS!$E$1:$E$201,ROW()-12)="","",INDEX(DATOS!$E$1:$E$201,ROW()-12))</f>
        <v/>
      </c>
      <c r="M47" s="47">
        <f t="array" ref="M47">IF(INDEX(DATOS!$F$1:$F$201,ROW()-12)="","",INDEX(DATOS!$F$1:$F$201,ROW()-12))</f>
        <v/>
      </c>
      <c r="N47" s="47">
        <f t="array" ref="N47">IF(INDEX(DATOS!$G$1:$G$201,ROW()-12)="","",INDEX(DATOS!$G$1:$G$201,ROW()-12))</f>
        <v/>
      </c>
      <c r="O47" s="47">
        <f t="array" ref="O47">IF(INDEX(DATOS!$H$1:$H$201,ROW()-12)="","",INDEX(DATOS!$H$1:$H$201,ROW()-12))</f>
        <v/>
      </c>
      <c r="P47" s="47">
        <f t="array" ref="P47">IF(INDEX(DATOS!$I$1:$I$201,ROW()-12)="","",INDEX(DATOS!$I$1:$I$201,ROW()-12))</f>
        <v/>
      </c>
      <c r="Q47" s="48">
        <f t="array" ref="Q47">IF(INDEX(DATOS!$J$1:$J$201,ROW()-12)="","",INDEX(DATOS!$J$1:$J$201,ROW()-12))</f>
        <v/>
      </c>
      <c r="R47" s="49">
        <f t="array" ref="R47">IF(INDEX(DATOS!$P$1:$P$201,ROW()-12)="","",INDEX(DATOS!$P$1:$P$201,ROW()-12))</f>
        <v/>
      </c>
      <c r="S47" s="17" t="n"/>
      <c r="T47" s="28" t="inlineStr">
        <is>
          <t>Completados</t>
        </is>
      </c>
      <c r="U47" s="64">
        <f>SUM(DATOS!$L$2:$L$5001)-SUM(DATOS!$K$2:$K$5001)</f>
        <v/>
      </c>
      <c r="V47" s="65">
        <f>U47/$U$48</f>
        <v/>
      </c>
      <c r="W47" s="17" t="n"/>
      <c r="X47" s="17" t="n"/>
      <c r="Y47" s="17" t="n"/>
      <c r="Z47" s="17" t="n"/>
    </row>
    <row r="48" ht="18" customHeight="1">
      <c r="A48" s="17" t="n"/>
      <c r="B48" s="42">
        <f t="array" ref="B48">IF(INDEX(DATOS!$A$1:$A$201,ROW()-12)="","",INDEX(DATOS!$A$1:$A$201,ROW()-12))</f>
        <v/>
      </c>
      <c r="C48" s="149">
        <f t="array" ref="C48">IF(INDEX(DATOS!$B$1:$B$201,ROW()-12)="","",INDEX(DATOS!$B$1:$B$201,ROW()-12))</f>
        <v/>
      </c>
      <c r="D48" s="150" t="n"/>
      <c r="E48" s="150" t="n"/>
      <c r="F48" s="150" t="n"/>
      <c r="G48" s="151" t="n"/>
      <c r="H48" s="43">
        <f t="array" ref="H48">IF(INDEX(DATOS!$C$1:$C$201,ROW()-12)="","",INDEX(DATOS!$C$1:$C$201,ROW()-12))</f>
        <v/>
      </c>
      <c r="I48" s="44">
        <f t="array" ref="I48">IF(INDEX(DATOS!$D$1:$D$201,ROW()-12)="","",INDEX(DATOS!$D$1:$D$201,ROW()-12))</f>
        <v/>
      </c>
      <c r="J48" s="45">
        <f t="array" ref="J48">IF(INDEX(DATOS!$M$1:$M$201,ROW()-12)="","",INDEX(DATOS!$M$1:$M$201,ROW()-12))</f>
        <v/>
      </c>
      <c r="K48" s="46">
        <f t="array" ref="K48">IF(INDEX(DATOS!$K$1:$K$201,ROW()-12)="","",INDEX(DATOS!$K$1:$K$201,ROW()-12))</f>
        <v/>
      </c>
      <c r="L48" s="47">
        <f t="array" ref="L48">IF(INDEX(DATOS!$E$1:$E$201,ROW()-12)="","",INDEX(DATOS!$E$1:$E$201,ROW()-12))</f>
        <v/>
      </c>
      <c r="M48" s="47">
        <f t="array" ref="M48">IF(INDEX(DATOS!$F$1:$F$201,ROW()-12)="","",INDEX(DATOS!$F$1:$F$201,ROW()-12))</f>
        <v/>
      </c>
      <c r="N48" s="47">
        <f t="array" ref="N48">IF(INDEX(DATOS!$G$1:$G$201,ROW()-12)="","",INDEX(DATOS!$G$1:$G$201,ROW()-12))</f>
        <v/>
      </c>
      <c r="O48" s="47">
        <f t="array" ref="O48">IF(INDEX(DATOS!$H$1:$H$201,ROW()-12)="","",INDEX(DATOS!$H$1:$H$201,ROW()-12))</f>
        <v/>
      </c>
      <c r="P48" s="47">
        <f t="array" ref="P48">IF(INDEX(DATOS!$I$1:$I$201,ROW()-12)="","",INDEX(DATOS!$I$1:$I$201,ROW()-12))</f>
        <v/>
      </c>
      <c r="Q48" s="48">
        <f t="array" ref="Q48">IF(INDEX(DATOS!$J$1:$J$201,ROW()-12)="","",INDEX(DATOS!$J$1:$J$201,ROW()-12))</f>
        <v/>
      </c>
      <c r="R48" s="49">
        <f t="array" ref="R48">IF(INDEX(DATOS!$P$1:$P$201,ROW()-12)="","",INDEX(DATOS!$P$1:$P$201,ROW()-12))</f>
        <v/>
      </c>
      <c r="S48" s="17" t="n"/>
      <c r="T48" s="66" t="inlineStr">
        <is>
          <t>TOTAL</t>
        </is>
      </c>
      <c r="U48" s="67">
        <f>SUM(U46:U47)</f>
        <v/>
      </c>
      <c r="V48" s="71" t="n"/>
      <c r="W48" s="17" t="n"/>
      <c r="X48" s="17" t="n"/>
      <c r="Y48" s="17" t="n"/>
      <c r="Z48" s="17" t="n"/>
    </row>
    <row r="49" ht="18" customHeight="1">
      <c r="A49" s="17" t="n"/>
      <c r="B49" s="42">
        <f t="array" ref="B49">IF(INDEX(DATOS!$A$1:$A$201,ROW()-12)="","",INDEX(DATOS!$A$1:$A$201,ROW()-12))</f>
        <v/>
      </c>
      <c r="C49" s="149">
        <f t="array" ref="C49">IF(INDEX(DATOS!$B$1:$B$201,ROW()-12)="","",INDEX(DATOS!$B$1:$B$201,ROW()-12))</f>
        <v/>
      </c>
      <c r="D49" s="150" t="n"/>
      <c r="E49" s="150" t="n"/>
      <c r="F49" s="150" t="n"/>
      <c r="G49" s="151" t="n"/>
      <c r="H49" s="43">
        <f t="array" ref="H49">IF(INDEX(DATOS!$C$1:$C$201,ROW()-12)="","",INDEX(DATOS!$C$1:$C$201,ROW()-12))</f>
        <v/>
      </c>
      <c r="I49" s="44">
        <f t="array" ref="I49">IF(INDEX(DATOS!$D$1:$D$201,ROW()-12)="","",INDEX(DATOS!$D$1:$D$201,ROW()-12))</f>
        <v/>
      </c>
      <c r="J49" s="45">
        <f t="array" ref="J49">IF(INDEX(DATOS!$M$1:$M$201,ROW()-12)="","",INDEX(DATOS!$M$1:$M$201,ROW()-12))</f>
        <v/>
      </c>
      <c r="K49" s="46">
        <f t="array" ref="K49">IF(INDEX(DATOS!$K$1:$K$201,ROW()-12)="","",INDEX(DATOS!$K$1:$K$201,ROW()-12))</f>
        <v/>
      </c>
      <c r="L49" s="47">
        <f t="array" ref="L49">IF(INDEX(DATOS!$E$1:$E$201,ROW()-12)="","",INDEX(DATOS!$E$1:$E$201,ROW()-12))</f>
        <v/>
      </c>
      <c r="M49" s="47">
        <f t="array" ref="M49">IF(INDEX(DATOS!$F$1:$F$201,ROW()-12)="","",INDEX(DATOS!$F$1:$F$201,ROW()-12))</f>
        <v/>
      </c>
      <c r="N49" s="47">
        <f t="array" ref="N49">IF(INDEX(DATOS!$G$1:$G$201,ROW()-12)="","",INDEX(DATOS!$G$1:$G$201,ROW()-12))</f>
        <v/>
      </c>
      <c r="O49" s="47">
        <f t="array" ref="O49">IF(INDEX(DATOS!$H$1:$H$201,ROW()-12)="","",INDEX(DATOS!$H$1:$H$201,ROW()-12))</f>
        <v/>
      </c>
      <c r="P49" s="47">
        <f t="array" ref="P49">IF(INDEX(DATOS!$I$1:$I$201,ROW()-12)="","",INDEX(DATOS!$I$1:$I$201,ROW()-12))</f>
        <v/>
      </c>
      <c r="Q49" s="48">
        <f t="array" ref="Q49">IF(INDEX(DATOS!$J$1:$J$201,ROW()-12)="","",INDEX(DATOS!$J$1:$J$201,ROW()-12))</f>
        <v/>
      </c>
      <c r="R49" s="49">
        <f t="array" ref="R49">IF(INDEX(DATOS!$P$1:$P$201,ROW()-12)="","",INDEX(DATOS!$P$1:$P$201,ROW()-12))</f>
        <v/>
      </c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8" customHeight="1">
      <c r="A50" s="17" t="n"/>
      <c r="B50" s="42">
        <f t="array" ref="B50">IF(INDEX(DATOS!$A$1:$A$201,ROW()-12)="","",INDEX(DATOS!$A$1:$A$201,ROW()-12))</f>
        <v/>
      </c>
      <c r="C50" s="149">
        <f t="array" ref="C50">IF(INDEX(DATOS!$B$1:$B$201,ROW()-12)="","",INDEX(DATOS!$B$1:$B$201,ROW()-12))</f>
        <v/>
      </c>
      <c r="D50" s="150" t="n"/>
      <c r="E50" s="150" t="n"/>
      <c r="F50" s="150" t="n"/>
      <c r="G50" s="151" t="n"/>
      <c r="H50" s="43">
        <f t="array" ref="H50">IF(INDEX(DATOS!$C$1:$C$201,ROW()-12)="","",INDEX(DATOS!$C$1:$C$201,ROW()-12))</f>
        <v/>
      </c>
      <c r="I50" s="44">
        <f t="array" ref="I50">IF(INDEX(DATOS!$D$1:$D$201,ROW()-12)="","",INDEX(DATOS!$D$1:$D$201,ROW()-12))</f>
        <v/>
      </c>
      <c r="J50" s="45">
        <f t="array" ref="J50">IF(INDEX(DATOS!$M$1:$M$201,ROW()-12)="","",INDEX(DATOS!$M$1:$M$201,ROW()-12))</f>
        <v/>
      </c>
      <c r="K50" s="46">
        <f t="array" ref="K50">IF(INDEX(DATOS!$K$1:$K$201,ROW()-12)="","",INDEX(DATOS!$K$1:$K$201,ROW()-12))</f>
        <v/>
      </c>
      <c r="L50" s="47">
        <f t="array" ref="L50">IF(INDEX(DATOS!$E$1:$E$201,ROW()-12)="","",INDEX(DATOS!$E$1:$E$201,ROW()-12))</f>
        <v/>
      </c>
      <c r="M50" s="47">
        <f t="array" ref="M50">IF(INDEX(DATOS!$F$1:$F$201,ROW()-12)="","",INDEX(DATOS!$F$1:$F$201,ROW()-12))</f>
        <v/>
      </c>
      <c r="N50" s="47">
        <f t="array" ref="N50">IF(INDEX(DATOS!$G$1:$G$201,ROW()-12)="","",INDEX(DATOS!$G$1:$G$201,ROW()-12))</f>
        <v/>
      </c>
      <c r="O50" s="47">
        <f t="array" ref="O50">IF(INDEX(DATOS!$H$1:$H$201,ROW()-12)="","",INDEX(DATOS!$H$1:$H$201,ROW()-12))</f>
        <v/>
      </c>
      <c r="P50" s="47">
        <f t="array" ref="P50">IF(INDEX(DATOS!$I$1:$I$201,ROW()-12)="","",INDEX(DATOS!$I$1:$I$201,ROW()-12))</f>
        <v/>
      </c>
      <c r="Q50" s="48">
        <f t="array" ref="Q50">IF(INDEX(DATOS!$J$1:$J$201,ROW()-12)="","",INDEX(DATOS!$J$1:$J$201,ROW()-12))</f>
        <v/>
      </c>
      <c r="R50" s="49">
        <f t="array" ref="R50">IF(INDEX(DATOS!$P$1:$P$201,ROW()-12)="","",INDEX(DATOS!$P$1:$P$201,ROW()-12))</f>
        <v/>
      </c>
      <c r="S50" s="17" t="n"/>
      <c r="T50" s="72" t="inlineStr">
        <is>
          <t>CORTE POR DÍA (TARJETAS)</t>
        </is>
      </c>
      <c r="U50" s="17" t="n"/>
      <c r="V50" s="17" t="n"/>
      <c r="W50" s="17" t="n"/>
      <c r="X50" s="17" t="n"/>
      <c r="Y50" s="17" t="n"/>
      <c r="Z50" s="17" t="n"/>
    </row>
    <row r="51" ht="18" customHeight="1">
      <c r="A51" s="17" t="n"/>
      <c r="B51" s="42">
        <f t="array" ref="B51">IF(INDEX(DATOS!$A$1:$A$201,ROW()-12)="","",INDEX(DATOS!$A$1:$A$201,ROW()-12))</f>
        <v/>
      </c>
      <c r="C51" s="149">
        <f t="array" ref="C51">IF(INDEX(DATOS!$B$1:$B$201,ROW()-12)="","",INDEX(DATOS!$B$1:$B$201,ROW()-12))</f>
        <v/>
      </c>
      <c r="D51" s="150" t="n"/>
      <c r="E51" s="150" t="n"/>
      <c r="F51" s="150" t="n"/>
      <c r="G51" s="151" t="n"/>
      <c r="H51" s="43">
        <f t="array" ref="H51">IF(INDEX(DATOS!$C$1:$C$201,ROW()-12)="","",INDEX(DATOS!$C$1:$C$201,ROW()-12))</f>
        <v/>
      </c>
      <c r="I51" s="44">
        <f t="array" ref="I51">IF(INDEX(DATOS!$D$1:$D$201,ROW()-12)="","",INDEX(DATOS!$D$1:$D$201,ROW()-12))</f>
        <v/>
      </c>
      <c r="J51" s="45">
        <f t="array" ref="J51">IF(INDEX(DATOS!$M$1:$M$201,ROW()-12)="","",INDEX(DATOS!$M$1:$M$201,ROW()-12))</f>
        <v/>
      </c>
      <c r="K51" s="46">
        <f t="array" ref="K51">IF(INDEX(DATOS!$K$1:$K$201,ROW()-12)="","",INDEX(DATOS!$K$1:$K$201,ROW()-12))</f>
        <v/>
      </c>
      <c r="L51" s="47">
        <f t="array" ref="L51">IF(INDEX(DATOS!$E$1:$E$201,ROW()-12)="","",INDEX(DATOS!$E$1:$E$201,ROW()-12))</f>
        <v/>
      </c>
      <c r="M51" s="47">
        <f t="array" ref="M51">IF(INDEX(DATOS!$F$1:$F$201,ROW()-12)="","",INDEX(DATOS!$F$1:$F$201,ROW()-12))</f>
        <v/>
      </c>
      <c r="N51" s="47">
        <f t="array" ref="N51">IF(INDEX(DATOS!$G$1:$G$201,ROW()-12)="","",INDEX(DATOS!$G$1:$G$201,ROW()-12))</f>
        <v/>
      </c>
      <c r="O51" s="47">
        <f t="array" ref="O51">IF(INDEX(DATOS!$H$1:$H$201,ROW()-12)="","",INDEX(DATOS!$H$1:$H$201,ROW()-12))</f>
        <v/>
      </c>
      <c r="P51" s="47">
        <f t="array" ref="P51">IF(INDEX(DATOS!$I$1:$I$201,ROW()-12)="","",INDEX(DATOS!$I$1:$I$201,ROW()-12))</f>
        <v/>
      </c>
      <c r="Q51" s="48">
        <f t="array" ref="Q51">IF(INDEX(DATOS!$J$1:$J$201,ROW()-12)="","",INDEX(DATOS!$J$1:$J$201,ROW()-12))</f>
        <v/>
      </c>
      <c r="R51" s="49">
        <f t="array" ref="R51">IF(INDEX(DATOS!$P$1:$P$201,ROW()-12)="","",INDEX(DATOS!$P$1:$P$201,ROW()-12))</f>
        <v/>
      </c>
      <c r="S51" s="17" t="n"/>
      <c r="T51" s="73" t="inlineStr">
        <is>
          <t>DÍA</t>
        </is>
      </c>
      <c r="U51" s="73" t="inlineStr">
        <is>
          <t>TARJETAS</t>
        </is>
      </c>
      <c r="V51" s="73" t="inlineStr">
        <is>
          <t>%</t>
        </is>
      </c>
      <c r="W51" s="17" t="n"/>
      <c r="X51" s="17" t="n"/>
      <c r="Y51" s="17" t="n"/>
      <c r="Z51" s="17" t="n"/>
    </row>
    <row r="52" ht="18" customHeight="1">
      <c r="A52" s="17" t="n"/>
      <c r="B52" s="42">
        <f t="array" ref="B52">IF(INDEX(DATOS!$A$1:$A$201,ROW()-12)="","",INDEX(DATOS!$A$1:$A$201,ROW()-12))</f>
        <v/>
      </c>
      <c r="C52" s="149">
        <f t="array" ref="C52">IF(INDEX(DATOS!$B$1:$B$201,ROW()-12)="","",INDEX(DATOS!$B$1:$B$201,ROW()-12))</f>
        <v/>
      </c>
      <c r="D52" s="150" t="n"/>
      <c r="E52" s="150" t="n"/>
      <c r="F52" s="150" t="n"/>
      <c r="G52" s="151" t="n"/>
      <c r="H52" s="43">
        <f t="array" ref="H52">IF(INDEX(DATOS!$C$1:$C$201,ROW()-12)="","",INDEX(DATOS!$C$1:$C$201,ROW()-12))</f>
        <v/>
      </c>
      <c r="I52" s="44">
        <f t="array" ref="I52">IF(INDEX(DATOS!$D$1:$D$201,ROW()-12)="","",INDEX(DATOS!$D$1:$D$201,ROW()-12))</f>
        <v/>
      </c>
      <c r="J52" s="45">
        <f t="array" ref="J52">IF(INDEX(DATOS!$M$1:$M$201,ROW()-12)="","",INDEX(DATOS!$M$1:$M$201,ROW()-12))</f>
        <v/>
      </c>
      <c r="K52" s="46">
        <f t="array" ref="K52">IF(INDEX(DATOS!$K$1:$K$201,ROW()-12)="","",INDEX(DATOS!$K$1:$K$201,ROW()-12))</f>
        <v/>
      </c>
      <c r="L52" s="47">
        <f t="array" ref="L52">IF(INDEX(DATOS!$E$1:$E$201,ROW()-12)="","",INDEX(DATOS!$E$1:$E$201,ROW()-12))</f>
        <v/>
      </c>
      <c r="M52" s="47">
        <f t="array" ref="M52">IF(INDEX(DATOS!$F$1:$F$201,ROW()-12)="","",INDEX(DATOS!$F$1:$F$201,ROW()-12))</f>
        <v/>
      </c>
      <c r="N52" s="47">
        <f t="array" ref="N52">IF(INDEX(DATOS!$G$1:$G$201,ROW()-12)="","",INDEX(DATOS!$G$1:$G$201,ROW()-12))</f>
        <v/>
      </c>
      <c r="O52" s="47">
        <f t="array" ref="O52">IF(INDEX(DATOS!$H$1:$H$201,ROW()-12)="","",INDEX(DATOS!$H$1:$H$201,ROW()-12))</f>
        <v/>
      </c>
      <c r="P52" s="47">
        <f t="array" ref="P52">IF(INDEX(DATOS!$I$1:$I$201,ROW()-12)="","",INDEX(DATOS!$I$1:$I$201,ROW()-12))</f>
        <v/>
      </c>
      <c r="Q52" s="48">
        <f t="array" ref="Q52">IF(INDEX(DATOS!$J$1:$J$201,ROW()-12)="","",INDEX(DATOS!$J$1:$J$201,ROW()-12))</f>
        <v/>
      </c>
      <c r="R52" s="49">
        <f t="array" ref="R52">IF(INDEX(DATOS!$P$1:$P$201,ROW()-12)="","",INDEX(DATOS!$P$1:$P$201,ROW()-12))</f>
        <v/>
      </c>
      <c r="S52" s="17" t="n"/>
      <c r="T52" s="17" t="inlineStr">
        <is>
          <t>Ayer y antes</t>
        </is>
      </c>
      <c r="U52" s="17">
        <f>COUNTIF(DATOS!$P$2:$P$5001,$T52)</f>
        <v/>
      </c>
      <c r="V52" s="74">
        <f>U52/$U$54</f>
        <v/>
      </c>
      <c r="W52" s="17" t="n"/>
      <c r="X52" s="17" t="n"/>
      <c r="Y52" s="17" t="n"/>
      <c r="Z52" s="17" t="n"/>
    </row>
    <row r="53" ht="18" customHeight="1">
      <c r="A53" s="17" t="n"/>
      <c r="B53" s="42">
        <f t="array" ref="B53">IF(INDEX(DATOS!$A$1:$A$201,ROW()-12)="","",INDEX(DATOS!$A$1:$A$201,ROW()-12))</f>
        <v/>
      </c>
      <c r="C53" s="149">
        <f t="array" ref="C53">IF(INDEX(DATOS!$B$1:$B$201,ROW()-12)="","",INDEX(DATOS!$B$1:$B$201,ROW()-12))</f>
        <v/>
      </c>
      <c r="D53" s="150" t="n"/>
      <c r="E53" s="150" t="n"/>
      <c r="F53" s="150" t="n"/>
      <c r="G53" s="151" t="n"/>
      <c r="H53" s="43">
        <f t="array" ref="H53">IF(INDEX(DATOS!$C$1:$C$201,ROW()-12)="","",INDEX(DATOS!$C$1:$C$201,ROW()-12))</f>
        <v/>
      </c>
      <c r="I53" s="44">
        <f t="array" ref="I53">IF(INDEX(DATOS!$D$1:$D$201,ROW()-12)="","",INDEX(DATOS!$D$1:$D$201,ROW()-12))</f>
        <v/>
      </c>
      <c r="J53" s="45">
        <f t="array" ref="J53">IF(INDEX(DATOS!$M$1:$M$201,ROW()-12)="","",INDEX(DATOS!$M$1:$M$201,ROW()-12))</f>
        <v/>
      </c>
      <c r="K53" s="46">
        <f t="array" ref="K53">IF(INDEX(DATOS!$K$1:$K$201,ROW()-12)="","",INDEX(DATOS!$K$1:$K$201,ROW()-12))</f>
        <v/>
      </c>
      <c r="L53" s="47">
        <f t="array" ref="L53">IF(INDEX(DATOS!$E$1:$E$201,ROW()-12)="","",INDEX(DATOS!$E$1:$E$201,ROW()-12))</f>
        <v/>
      </c>
      <c r="M53" s="47">
        <f t="array" ref="M53">IF(INDEX(DATOS!$F$1:$F$201,ROW()-12)="","",INDEX(DATOS!$F$1:$F$201,ROW()-12))</f>
        <v/>
      </c>
      <c r="N53" s="47">
        <f t="array" ref="N53">IF(INDEX(DATOS!$G$1:$G$201,ROW()-12)="","",INDEX(DATOS!$G$1:$G$201,ROW()-12))</f>
        <v/>
      </c>
      <c r="O53" s="47">
        <f t="array" ref="O53">IF(INDEX(DATOS!$H$1:$H$201,ROW()-12)="","",INDEX(DATOS!$H$1:$H$201,ROW()-12))</f>
        <v/>
      </c>
      <c r="P53" s="47">
        <f t="array" ref="P53">IF(INDEX(DATOS!$I$1:$I$201,ROW()-12)="","",INDEX(DATOS!$I$1:$I$201,ROW()-12))</f>
        <v/>
      </c>
      <c r="Q53" s="48">
        <f t="array" ref="Q53">IF(INDEX(DATOS!$J$1:$J$201,ROW()-12)="","",INDEX(DATOS!$J$1:$J$201,ROW()-12))</f>
        <v/>
      </c>
      <c r="R53" s="49">
        <f t="array" ref="R53">IF(INDEX(DATOS!$P$1:$P$201,ROW()-12)="","",INDEX(DATOS!$P$1:$P$201,ROW()-12))</f>
        <v/>
      </c>
      <c r="S53" s="17" t="n"/>
      <c r="T53" s="17" t="inlineStr">
        <is>
          <t>Hoy</t>
        </is>
      </c>
      <c r="U53" s="17">
        <f>COUNTIF(DATOS!$P$2:$P$5001,$T53)</f>
        <v/>
      </c>
      <c r="V53" s="74">
        <f>U53/$U$54</f>
        <v/>
      </c>
      <c r="W53" s="17" t="n"/>
      <c r="X53" s="17" t="n"/>
      <c r="Y53" s="17" t="n"/>
      <c r="Z53" s="17" t="n"/>
    </row>
    <row r="54" ht="18" customHeight="1">
      <c r="A54" s="17" t="n"/>
      <c r="B54" s="42">
        <f t="array" ref="B54">IF(INDEX(DATOS!$A$1:$A$201,ROW()-12)="","",INDEX(DATOS!$A$1:$A$201,ROW()-12))</f>
        <v/>
      </c>
      <c r="C54" s="149">
        <f t="array" ref="C54">IF(INDEX(DATOS!$B$1:$B$201,ROW()-12)="","",INDEX(DATOS!$B$1:$B$201,ROW()-12))</f>
        <v/>
      </c>
      <c r="D54" s="150" t="n"/>
      <c r="E54" s="150" t="n"/>
      <c r="F54" s="150" t="n"/>
      <c r="G54" s="151" t="n"/>
      <c r="H54" s="43">
        <f t="array" ref="H54">IF(INDEX(DATOS!$C$1:$C$201,ROW()-12)="","",INDEX(DATOS!$C$1:$C$201,ROW()-12))</f>
        <v/>
      </c>
      <c r="I54" s="44">
        <f t="array" ref="I54">IF(INDEX(DATOS!$D$1:$D$201,ROW()-12)="","",INDEX(DATOS!$D$1:$D$201,ROW()-12))</f>
        <v/>
      </c>
      <c r="J54" s="45">
        <f t="array" ref="J54">IF(INDEX(DATOS!$M$1:$M$201,ROW()-12)="","",INDEX(DATOS!$M$1:$M$201,ROW()-12))</f>
        <v/>
      </c>
      <c r="K54" s="46">
        <f t="array" ref="K54">IF(INDEX(DATOS!$K$1:$K$201,ROW()-12)="","",INDEX(DATOS!$K$1:$K$201,ROW()-12))</f>
        <v/>
      </c>
      <c r="L54" s="47">
        <f t="array" ref="L54">IF(INDEX(DATOS!$E$1:$E$201,ROW()-12)="","",INDEX(DATOS!$E$1:$E$201,ROW()-12))</f>
        <v/>
      </c>
      <c r="M54" s="47">
        <f t="array" ref="M54">IF(INDEX(DATOS!$F$1:$F$201,ROW()-12)="","",INDEX(DATOS!$F$1:$F$201,ROW()-12))</f>
        <v/>
      </c>
      <c r="N54" s="47">
        <f t="array" ref="N54">IF(INDEX(DATOS!$G$1:$G$201,ROW()-12)="","",INDEX(DATOS!$G$1:$G$201,ROW()-12))</f>
        <v/>
      </c>
      <c r="O54" s="47">
        <f t="array" ref="O54">IF(INDEX(DATOS!$H$1:$H$201,ROW()-12)="","",INDEX(DATOS!$H$1:$H$201,ROW()-12))</f>
        <v/>
      </c>
      <c r="P54" s="47">
        <f t="array" ref="P54">IF(INDEX(DATOS!$I$1:$I$201,ROW()-12)="","",INDEX(DATOS!$I$1:$I$201,ROW()-12))</f>
        <v/>
      </c>
      <c r="Q54" s="48">
        <f t="array" ref="Q54">IF(INDEX(DATOS!$J$1:$J$201,ROW()-12)="","",INDEX(DATOS!$J$1:$J$201,ROW()-12))</f>
        <v/>
      </c>
      <c r="R54" s="49">
        <f t="array" ref="R54">IF(INDEX(DATOS!$P$1:$P$201,ROW()-12)="","",INDEX(DATOS!$P$1:$P$201,ROW()-12))</f>
        <v/>
      </c>
      <c r="S54" s="17" t="n"/>
      <c r="T54" s="75" t="inlineStr">
        <is>
          <t>TOTAL</t>
        </is>
      </c>
      <c r="U54" s="75">
        <f>SUM(U52:U53)</f>
        <v/>
      </c>
      <c r="V54" s="76">
        <f>SUM(V52:V53)</f>
        <v/>
      </c>
      <c r="W54" s="17" t="n"/>
      <c r="X54" s="17" t="n"/>
      <c r="Y54" s="17" t="n"/>
      <c r="Z54" s="17" t="n"/>
    </row>
    <row r="55" ht="18" customHeight="1">
      <c r="A55" s="17" t="n"/>
      <c r="B55" s="42">
        <f t="array" ref="B55">IF(INDEX(DATOS!$A$1:$A$201,ROW()-12)="","",INDEX(DATOS!$A$1:$A$201,ROW()-12))</f>
        <v/>
      </c>
      <c r="C55" s="149">
        <f t="array" ref="C55">IF(INDEX(DATOS!$B$1:$B$201,ROW()-12)="","",INDEX(DATOS!$B$1:$B$201,ROW()-12))</f>
        <v/>
      </c>
      <c r="D55" s="150" t="n"/>
      <c r="E55" s="150" t="n"/>
      <c r="F55" s="150" t="n"/>
      <c r="G55" s="151" t="n"/>
      <c r="H55" s="43">
        <f t="array" ref="H55">IF(INDEX(DATOS!$C$1:$C$201,ROW()-12)="","",INDEX(DATOS!$C$1:$C$201,ROW()-12))</f>
        <v/>
      </c>
      <c r="I55" s="44">
        <f t="array" ref="I55">IF(INDEX(DATOS!$D$1:$D$201,ROW()-12)="","",INDEX(DATOS!$D$1:$D$201,ROW()-12))</f>
        <v/>
      </c>
      <c r="J55" s="45">
        <f t="array" ref="J55">IF(INDEX(DATOS!$M$1:$M$201,ROW()-12)="","",INDEX(DATOS!$M$1:$M$201,ROW()-12))</f>
        <v/>
      </c>
      <c r="K55" s="46">
        <f t="array" ref="K55">IF(INDEX(DATOS!$K$1:$K$201,ROW()-12)="","",INDEX(DATOS!$K$1:$K$201,ROW()-12))</f>
        <v/>
      </c>
      <c r="L55" s="47">
        <f t="array" ref="L55">IF(INDEX(DATOS!$E$1:$E$201,ROW()-12)="","",INDEX(DATOS!$E$1:$E$201,ROW()-12))</f>
        <v/>
      </c>
      <c r="M55" s="47">
        <f t="array" ref="M55">IF(INDEX(DATOS!$F$1:$F$201,ROW()-12)="","",INDEX(DATOS!$F$1:$F$201,ROW()-12))</f>
        <v/>
      </c>
      <c r="N55" s="47">
        <f t="array" ref="N55">IF(INDEX(DATOS!$G$1:$G$201,ROW()-12)="","",INDEX(DATOS!$G$1:$G$201,ROW()-12))</f>
        <v/>
      </c>
      <c r="O55" s="47">
        <f t="array" ref="O55">IF(INDEX(DATOS!$H$1:$H$201,ROW()-12)="","",INDEX(DATOS!$H$1:$H$201,ROW()-12))</f>
        <v/>
      </c>
      <c r="P55" s="47">
        <f t="array" ref="P55">IF(INDEX(DATOS!$I$1:$I$201,ROW()-12)="","",INDEX(DATOS!$I$1:$I$201,ROW()-12))</f>
        <v/>
      </c>
      <c r="Q55" s="48">
        <f t="array" ref="Q55">IF(INDEX(DATOS!$J$1:$J$201,ROW()-12)="","",INDEX(DATOS!$J$1:$J$201,ROW()-12))</f>
        <v/>
      </c>
      <c r="R55" s="49">
        <f t="array" ref="R55">IF(INDEX(DATOS!$P$1:$P$201,ROW()-12)="","",INDEX(DATOS!$P$1:$P$201,ROW()-12))</f>
        <v/>
      </c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8" customHeight="1">
      <c r="A56" s="17" t="n"/>
      <c r="B56" s="42">
        <f t="array" ref="B56">IF(INDEX(DATOS!$A$1:$A$201,ROW()-12)="","",INDEX(DATOS!$A$1:$A$201,ROW()-12))</f>
        <v/>
      </c>
      <c r="C56" s="149">
        <f t="array" ref="C56">IF(INDEX(DATOS!$B$1:$B$201,ROW()-12)="","",INDEX(DATOS!$B$1:$B$201,ROW()-12))</f>
        <v/>
      </c>
      <c r="D56" s="150" t="n"/>
      <c r="E56" s="150" t="n"/>
      <c r="F56" s="150" t="n"/>
      <c r="G56" s="151" t="n"/>
      <c r="H56" s="43">
        <f t="array" ref="H56">IF(INDEX(DATOS!$C$1:$C$201,ROW()-12)="","",INDEX(DATOS!$C$1:$C$201,ROW()-12))</f>
        <v/>
      </c>
      <c r="I56" s="44">
        <f t="array" ref="I56">IF(INDEX(DATOS!$D$1:$D$201,ROW()-12)="","",INDEX(DATOS!$D$1:$D$201,ROW()-12))</f>
        <v/>
      </c>
      <c r="J56" s="45">
        <f t="array" ref="J56">IF(INDEX(DATOS!$M$1:$M$201,ROW()-12)="","",INDEX(DATOS!$M$1:$M$201,ROW()-12))</f>
        <v/>
      </c>
      <c r="K56" s="46">
        <f t="array" ref="K56">IF(INDEX(DATOS!$K$1:$K$201,ROW()-12)="","",INDEX(DATOS!$K$1:$K$201,ROW()-12))</f>
        <v/>
      </c>
      <c r="L56" s="47">
        <f t="array" ref="L56">IF(INDEX(DATOS!$E$1:$E$201,ROW()-12)="","",INDEX(DATOS!$E$1:$E$201,ROW()-12))</f>
        <v/>
      </c>
      <c r="M56" s="47">
        <f t="array" ref="M56">IF(INDEX(DATOS!$F$1:$F$201,ROW()-12)="","",INDEX(DATOS!$F$1:$F$201,ROW()-12))</f>
        <v/>
      </c>
      <c r="N56" s="47">
        <f t="array" ref="N56">IF(INDEX(DATOS!$G$1:$G$201,ROW()-12)="","",INDEX(DATOS!$G$1:$G$201,ROW()-12))</f>
        <v/>
      </c>
      <c r="O56" s="47">
        <f t="array" ref="O56">IF(INDEX(DATOS!$H$1:$H$201,ROW()-12)="","",INDEX(DATOS!$H$1:$H$201,ROW()-12))</f>
        <v/>
      </c>
      <c r="P56" s="47">
        <f t="array" ref="P56">IF(INDEX(DATOS!$I$1:$I$201,ROW()-12)="","",INDEX(DATOS!$I$1:$I$201,ROW()-12))</f>
        <v/>
      </c>
      <c r="Q56" s="48">
        <f t="array" ref="Q56">IF(INDEX(DATOS!$J$1:$J$201,ROW()-12)="","",INDEX(DATOS!$J$1:$J$201,ROW()-12))</f>
        <v/>
      </c>
      <c r="R56" s="49">
        <f t="array" ref="R56">IF(INDEX(DATOS!$P$1:$P$201,ROW()-12)="","",INDEX(DATOS!$P$1:$P$201,ROW()-12))</f>
        <v/>
      </c>
      <c r="S56" s="17" t="n"/>
      <c r="T56" s="72" t="inlineStr">
        <is>
          <t>ACTIVIDADES DE HOY — TARJETAS Y CHECKS PENDIENTES POR FAMILIA</t>
        </is>
      </c>
      <c r="U56" s="17" t="n"/>
      <c r="V56" s="17" t="n"/>
      <c r="W56" s="17" t="n"/>
      <c r="X56" s="17" t="n"/>
      <c r="Y56" s="17" t="n"/>
      <c r="Z56" s="17" t="n"/>
    </row>
    <row r="57" ht="18" customHeight="1">
      <c r="A57" s="17" t="n"/>
      <c r="B57" s="42">
        <f t="array" ref="B57">IF(INDEX(DATOS!$A$1:$A$201,ROW()-12)="","",INDEX(DATOS!$A$1:$A$201,ROW()-12))</f>
        <v/>
      </c>
      <c r="C57" s="149">
        <f t="array" ref="C57">IF(INDEX(DATOS!$B$1:$B$201,ROW()-12)="","",INDEX(DATOS!$B$1:$B$201,ROW()-12))</f>
        <v/>
      </c>
      <c r="D57" s="150" t="n"/>
      <c r="E57" s="150" t="n"/>
      <c r="F57" s="150" t="n"/>
      <c r="G57" s="151" t="n"/>
      <c r="H57" s="43">
        <f t="array" ref="H57">IF(INDEX(DATOS!$C$1:$C$201,ROW()-12)="","",INDEX(DATOS!$C$1:$C$201,ROW()-12))</f>
        <v/>
      </c>
      <c r="I57" s="44">
        <f t="array" ref="I57">IF(INDEX(DATOS!$D$1:$D$201,ROW()-12)="","",INDEX(DATOS!$D$1:$D$201,ROW()-12))</f>
        <v/>
      </c>
      <c r="J57" s="45">
        <f t="array" ref="J57">IF(INDEX(DATOS!$M$1:$M$201,ROW()-12)="","",INDEX(DATOS!$M$1:$M$201,ROW()-12))</f>
        <v/>
      </c>
      <c r="K57" s="46">
        <f t="array" ref="K57">IF(INDEX(DATOS!$K$1:$K$201,ROW()-12)="","",INDEX(DATOS!$K$1:$K$201,ROW()-12))</f>
        <v/>
      </c>
      <c r="L57" s="47">
        <f t="array" ref="L57">IF(INDEX(DATOS!$E$1:$E$201,ROW()-12)="","",INDEX(DATOS!$E$1:$E$201,ROW()-12))</f>
        <v/>
      </c>
      <c r="M57" s="47">
        <f t="array" ref="M57">IF(INDEX(DATOS!$F$1:$F$201,ROW()-12)="","",INDEX(DATOS!$F$1:$F$201,ROW()-12))</f>
        <v/>
      </c>
      <c r="N57" s="47">
        <f t="array" ref="N57">IF(INDEX(DATOS!$G$1:$G$201,ROW()-12)="","",INDEX(DATOS!$G$1:$G$201,ROW()-12))</f>
        <v/>
      </c>
      <c r="O57" s="47">
        <f t="array" ref="O57">IF(INDEX(DATOS!$H$1:$H$201,ROW()-12)="","",INDEX(DATOS!$H$1:$H$201,ROW()-12))</f>
        <v/>
      </c>
      <c r="P57" s="47">
        <f t="array" ref="P57">IF(INDEX(DATOS!$I$1:$I$201,ROW()-12)="","",INDEX(DATOS!$I$1:$I$201,ROW()-12))</f>
        <v/>
      </c>
      <c r="Q57" s="48">
        <f t="array" ref="Q57">IF(INDEX(DATOS!$J$1:$J$201,ROW()-12)="","",INDEX(DATOS!$J$1:$J$201,ROW()-12))</f>
        <v/>
      </c>
      <c r="R57" s="49">
        <f t="array" ref="R57">IF(INDEX(DATOS!$P$1:$P$201,ROW()-12)="","",INDEX(DATOS!$P$1:$P$201,ROW()-12))</f>
        <v/>
      </c>
      <c r="S57" s="17" t="n"/>
      <c r="T57" s="73" t="inlineStr">
        <is>
          <t>FAMILIA</t>
        </is>
      </c>
      <c r="U57" s="73" t="inlineStr">
        <is>
          <t>TARJETAS</t>
        </is>
      </c>
      <c r="V57" s="73" t="inlineStr">
        <is>
          <t>CHECKS PEND.</t>
        </is>
      </c>
      <c r="W57" s="17" t="n"/>
      <c r="X57" s="17" t="n"/>
      <c r="Y57" s="17" t="n"/>
      <c r="Z57" s="17" t="n"/>
    </row>
    <row r="58" ht="18" customHeight="1">
      <c r="A58" s="17" t="n"/>
      <c r="B58" s="42">
        <f t="array" ref="B58">IF(INDEX(DATOS!$A$1:$A$201,ROW()-12)="","",INDEX(DATOS!$A$1:$A$201,ROW()-12))</f>
        <v/>
      </c>
      <c r="C58" s="149">
        <f t="array" ref="C58">IF(INDEX(DATOS!$B$1:$B$201,ROW()-12)="","",INDEX(DATOS!$B$1:$B$201,ROW()-12))</f>
        <v/>
      </c>
      <c r="D58" s="150" t="n"/>
      <c r="E58" s="150" t="n"/>
      <c r="F58" s="150" t="n"/>
      <c r="G58" s="151" t="n"/>
      <c r="H58" s="43">
        <f t="array" ref="H58">IF(INDEX(DATOS!$C$1:$C$201,ROW()-12)="","",INDEX(DATOS!$C$1:$C$201,ROW()-12))</f>
        <v/>
      </c>
      <c r="I58" s="44">
        <f t="array" ref="I58">IF(INDEX(DATOS!$D$1:$D$201,ROW()-12)="","",INDEX(DATOS!$D$1:$D$201,ROW()-12))</f>
        <v/>
      </c>
      <c r="J58" s="45">
        <f t="array" ref="J58">IF(INDEX(DATOS!$M$1:$M$201,ROW()-12)="","",INDEX(DATOS!$M$1:$M$201,ROW()-12))</f>
        <v/>
      </c>
      <c r="K58" s="46">
        <f t="array" ref="K58">IF(INDEX(DATOS!$K$1:$K$201,ROW()-12)="","",INDEX(DATOS!$K$1:$K$201,ROW()-12))</f>
        <v/>
      </c>
      <c r="L58" s="47">
        <f t="array" ref="L58">IF(INDEX(DATOS!$E$1:$E$201,ROW()-12)="","",INDEX(DATOS!$E$1:$E$201,ROW()-12))</f>
        <v/>
      </c>
      <c r="M58" s="47">
        <f t="array" ref="M58">IF(INDEX(DATOS!$F$1:$F$201,ROW()-12)="","",INDEX(DATOS!$F$1:$F$201,ROW()-12))</f>
        <v/>
      </c>
      <c r="N58" s="47">
        <f t="array" ref="N58">IF(INDEX(DATOS!$G$1:$G$201,ROW()-12)="","",INDEX(DATOS!$G$1:$G$201,ROW()-12))</f>
        <v/>
      </c>
      <c r="O58" s="47">
        <f t="array" ref="O58">IF(INDEX(DATOS!$H$1:$H$201,ROW()-12)="","",INDEX(DATOS!$H$1:$H$201,ROW()-12))</f>
        <v/>
      </c>
      <c r="P58" s="47">
        <f t="array" ref="P58">IF(INDEX(DATOS!$I$1:$I$201,ROW()-12)="","",INDEX(DATOS!$I$1:$I$201,ROW()-12))</f>
        <v/>
      </c>
      <c r="Q58" s="48">
        <f t="array" ref="Q58">IF(INDEX(DATOS!$J$1:$J$201,ROW()-12)="","",INDEX(DATOS!$J$1:$J$201,ROW()-12))</f>
        <v/>
      </c>
      <c r="R58" s="49">
        <f t="array" ref="R58">IF(INDEX(DATOS!$P$1:$P$201,ROW()-12)="","",INDEX(DATOS!$P$1:$P$201,ROW()-12))</f>
        <v/>
      </c>
      <c r="S58" s="17" t="n"/>
      <c r="T58" s="17" t="inlineStr">
        <is>
          <t>Acero</t>
        </is>
      </c>
      <c r="U58" s="17">
        <f>COUNTIFS(DATOS!$C$2:$C$5001,$T58,DATOS!$P$2:$P$5001,$T$53)</f>
        <v/>
      </c>
      <c r="V58" s="17">
        <f>SUMIFS(DATOS!$K$2:$K$5001,DATOS!$C$2:$C$5001,$T58,DATOS!$P$2:$P$5001,$T$53)</f>
        <v/>
      </c>
      <c r="W58" s="17" t="n"/>
      <c r="X58" s="17" t="n"/>
      <c r="Y58" s="17" t="n"/>
      <c r="Z58" s="17" t="n"/>
    </row>
    <row r="59" ht="18" customHeight="1">
      <c r="A59" s="17" t="n"/>
      <c r="B59" s="42">
        <f t="array" ref="B59">IF(INDEX(DATOS!$A$1:$A$201,ROW()-12)="","",INDEX(DATOS!$A$1:$A$201,ROW()-12))</f>
        <v/>
      </c>
      <c r="C59" s="149">
        <f t="array" ref="C59">IF(INDEX(DATOS!$B$1:$B$201,ROW()-12)="","",INDEX(DATOS!$B$1:$B$201,ROW()-12))</f>
        <v/>
      </c>
      <c r="D59" s="150" t="n"/>
      <c r="E59" s="150" t="n"/>
      <c r="F59" s="150" t="n"/>
      <c r="G59" s="151" t="n"/>
      <c r="H59" s="43">
        <f t="array" ref="H59">IF(INDEX(DATOS!$C$1:$C$201,ROW()-12)="","",INDEX(DATOS!$C$1:$C$201,ROW()-12))</f>
        <v/>
      </c>
      <c r="I59" s="44">
        <f t="array" ref="I59">IF(INDEX(DATOS!$D$1:$D$201,ROW()-12)="","",INDEX(DATOS!$D$1:$D$201,ROW()-12))</f>
        <v/>
      </c>
      <c r="J59" s="45">
        <f t="array" ref="J59">IF(INDEX(DATOS!$M$1:$M$201,ROW()-12)="","",INDEX(DATOS!$M$1:$M$201,ROW()-12))</f>
        <v/>
      </c>
      <c r="K59" s="46">
        <f t="array" ref="K59">IF(INDEX(DATOS!$K$1:$K$201,ROW()-12)="","",INDEX(DATOS!$K$1:$K$201,ROW()-12))</f>
        <v/>
      </c>
      <c r="L59" s="47">
        <f t="array" ref="L59">IF(INDEX(DATOS!$E$1:$E$201,ROW()-12)="","",INDEX(DATOS!$E$1:$E$201,ROW()-12))</f>
        <v/>
      </c>
      <c r="M59" s="47">
        <f t="array" ref="M59">IF(INDEX(DATOS!$F$1:$F$201,ROW()-12)="","",INDEX(DATOS!$F$1:$F$201,ROW()-12))</f>
        <v/>
      </c>
      <c r="N59" s="47">
        <f t="array" ref="N59">IF(INDEX(DATOS!$G$1:$G$201,ROW()-12)="","",INDEX(DATOS!$G$1:$G$201,ROW()-12))</f>
        <v/>
      </c>
      <c r="O59" s="47">
        <f t="array" ref="O59">IF(INDEX(DATOS!$H$1:$H$201,ROW()-12)="","",INDEX(DATOS!$H$1:$H$201,ROW()-12))</f>
        <v/>
      </c>
      <c r="P59" s="47">
        <f t="array" ref="P59">IF(INDEX(DATOS!$I$1:$I$201,ROW()-12)="","",INDEX(DATOS!$I$1:$I$201,ROW()-12))</f>
        <v/>
      </c>
      <c r="Q59" s="48">
        <f t="array" ref="Q59">IF(INDEX(DATOS!$J$1:$J$201,ROW()-12)="","",INDEX(DATOS!$J$1:$J$201,ROW()-12))</f>
        <v/>
      </c>
      <c r="R59" s="49">
        <f t="array" ref="R59">IF(INDEX(DATOS!$P$1:$P$201,ROW()-12)="","",INDEX(DATOS!$P$1:$P$201,ROW()-12))</f>
        <v/>
      </c>
      <c r="S59" s="17" t="n"/>
      <c r="T59" s="17" t="inlineStr">
        <is>
          <t>Trazo</t>
        </is>
      </c>
      <c r="U59" s="17">
        <f>COUNTIFS(DATOS!$C$2:$C$5001,$T59,DATOS!$P$2:$P$5001,$T$53)</f>
        <v/>
      </c>
      <c r="V59" s="17">
        <f>SUMIFS(DATOS!$K$2:$K$5001,DATOS!$C$2:$C$5001,$T59,DATOS!$P$2:$P$5001,$T$53)</f>
        <v/>
      </c>
      <c r="W59" s="17" t="n"/>
      <c r="X59" s="17" t="n"/>
      <c r="Y59" s="17" t="n"/>
      <c r="Z59" s="17" t="n"/>
    </row>
    <row r="60" ht="18" customHeight="1">
      <c r="A60" s="17" t="n"/>
      <c r="B60" s="42">
        <f t="array" ref="B60">IF(INDEX(DATOS!$A$1:$A$201,ROW()-12)="","",INDEX(DATOS!$A$1:$A$201,ROW()-12))</f>
        <v/>
      </c>
      <c r="C60" s="149">
        <f t="array" ref="C60">IF(INDEX(DATOS!$B$1:$B$201,ROW()-12)="","",INDEX(DATOS!$B$1:$B$201,ROW()-12))</f>
        <v/>
      </c>
      <c r="D60" s="150" t="n"/>
      <c r="E60" s="150" t="n"/>
      <c r="F60" s="150" t="n"/>
      <c r="G60" s="151" t="n"/>
      <c r="H60" s="43">
        <f t="array" ref="H60">IF(INDEX(DATOS!$C$1:$C$201,ROW()-12)="","",INDEX(DATOS!$C$1:$C$201,ROW()-12))</f>
        <v/>
      </c>
      <c r="I60" s="44">
        <f t="array" ref="I60">IF(INDEX(DATOS!$D$1:$D$201,ROW()-12)="","",INDEX(DATOS!$D$1:$D$201,ROW()-12))</f>
        <v/>
      </c>
      <c r="J60" s="45">
        <f t="array" ref="J60">IF(INDEX(DATOS!$M$1:$M$201,ROW()-12)="","",INDEX(DATOS!$M$1:$M$201,ROW()-12))</f>
        <v/>
      </c>
      <c r="K60" s="46">
        <f t="array" ref="K60">IF(INDEX(DATOS!$K$1:$K$201,ROW()-12)="","",INDEX(DATOS!$K$1:$K$201,ROW()-12))</f>
        <v/>
      </c>
      <c r="L60" s="47">
        <f t="array" ref="L60">IF(INDEX(DATOS!$E$1:$E$201,ROW()-12)="","",INDEX(DATOS!$E$1:$E$201,ROW()-12))</f>
        <v/>
      </c>
      <c r="M60" s="47">
        <f t="array" ref="M60">IF(INDEX(DATOS!$F$1:$F$201,ROW()-12)="","",INDEX(DATOS!$F$1:$F$201,ROW()-12))</f>
        <v/>
      </c>
      <c r="N60" s="47">
        <f t="array" ref="N60">IF(INDEX(DATOS!$G$1:$G$201,ROW()-12)="","",INDEX(DATOS!$G$1:$G$201,ROW()-12))</f>
        <v/>
      </c>
      <c r="O60" s="47">
        <f t="array" ref="O60">IF(INDEX(DATOS!$H$1:$H$201,ROW()-12)="","",INDEX(DATOS!$H$1:$H$201,ROW()-12))</f>
        <v/>
      </c>
      <c r="P60" s="47">
        <f t="array" ref="P60">IF(INDEX(DATOS!$I$1:$I$201,ROW()-12)="","",INDEX(DATOS!$I$1:$I$201,ROW()-12))</f>
        <v/>
      </c>
      <c r="Q60" s="48">
        <f t="array" ref="Q60">IF(INDEX(DATOS!$J$1:$J$201,ROW()-12)="","",INDEX(DATOS!$J$1:$J$201,ROW()-12))</f>
        <v/>
      </c>
      <c r="R60" s="49">
        <f t="array" ref="R60">IF(INDEX(DATOS!$P$1:$P$201,ROW()-12)="","",INDEX(DATOS!$P$1:$P$201,ROW()-12))</f>
        <v/>
      </c>
      <c r="S60" s="17" t="n"/>
      <c r="T60" s="17" t="inlineStr">
        <is>
          <t>Relleno</t>
        </is>
      </c>
      <c r="U60" s="17">
        <f>COUNTIFS(DATOS!$C$2:$C$5001,$T60,DATOS!$P$2:$P$5001,$T$53)</f>
        <v/>
      </c>
      <c r="V60" s="17">
        <f>SUMIFS(DATOS!$K$2:$K$5001,DATOS!$C$2:$C$5001,$T60,DATOS!$P$2:$P$5001,$T$53)</f>
        <v/>
      </c>
      <c r="W60" s="17" t="n"/>
      <c r="X60" s="17" t="n"/>
      <c r="Y60" s="17" t="n"/>
      <c r="Z60" s="17" t="n"/>
    </row>
    <row r="61" ht="18" customHeight="1">
      <c r="A61" s="17" t="n"/>
      <c r="B61" s="42">
        <f t="array" ref="B61">IF(INDEX(DATOS!$A$1:$A$201,ROW()-12)="","",INDEX(DATOS!$A$1:$A$201,ROW()-12))</f>
        <v/>
      </c>
      <c r="C61" s="149">
        <f t="array" ref="C61">IF(INDEX(DATOS!$B$1:$B$201,ROW()-12)="","",INDEX(DATOS!$B$1:$B$201,ROW()-12))</f>
        <v/>
      </c>
      <c r="D61" s="150" t="n"/>
      <c r="E61" s="150" t="n"/>
      <c r="F61" s="150" t="n"/>
      <c r="G61" s="151" t="n"/>
      <c r="H61" s="43">
        <f t="array" ref="H61">IF(INDEX(DATOS!$C$1:$C$201,ROW()-12)="","",INDEX(DATOS!$C$1:$C$201,ROW()-12))</f>
        <v/>
      </c>
      <c r="I61" s="44">
        <f t="array" ref="I61">IF(INDEX(DATOS!$D$1:$D$201,ROW()-12)="","",INDEX(DATOS!$D$1:$D$201,ROW()-12))</f>
        <v/>
      </c>
      <c r="J61" s="45">
        <f t="array" ref="J61">IF(INDEX(DATOS!$M$1:$M$201,ROW()-12)="","",INDEX(DATOS!$M$1:$M$201,ROW()-12))</f>
        <v/>
      </c>
      <c r="K61" s="46">
        <f t="array" ref="K61">IF(INDEX(DATOS!$K$1:$K$201,ROW()-12)="","",INDEX(DATOS!$K$1:$K$201,ROW()-12))</f>
        <v/>
      </c>
      <c r="L61" s="47">
        <f t="array" ref="L61">IF(INDEX(DATOS!$E$1:$E$201,ROW()-12)="","",INDEX(DATOS!$E$1:$E$201,ROW()-12))</f>
        <v/>
      </c>
      <c r="M61" s="47">
        <f t="array" ref="M61">IF(INDEX(DATOS!$F$1:$F$201,ROW()-12)="","",INDEX(DATOS!$F$1:$F$201,ROW()-12))</f>
        <v/>
      </c>
      <c r="N61" s="47">
        <f t="array" ref="N61">IF(INDEX(DATOS!$G$1:$G$201,ROW()-12)="","",INDEX(DATOS!$G$1:$G$201,ROW()-12))</f>
        <v/>
      </c>
      <c r="O61" s="47">
        <f t="array" ref="O61">IF(INDEX(DATOS!$H$1:$H$201,ROW()-12)="","",INDEX(DATOS!$H$1:$H$201,ROW()-12))</f>
        <v/>
      </c>
      <c r="P61" s="47">
        <f t="array" ref="P61">IF(INDEX(DATOS!$I$1:$I$201,ROW()-12)="","",INDEX(DATOS!$I$1:$I$201,ROW()-12))</f>
        <v/>
      </c>
      <c r="Q61" s="48">
        <f t="array" ref="Q61">IF(INDEX(DATOS!$J$1:$J$201,ROW()-12)="","",INDEX(DATOS!$J$1:$J$201,ROW()-12))</f>
        <v/>
      </c>
      <c r="R61" s="49">
        <f t="array" ref="R61">IF(INDEX(DATOS!$P$1:$P$201,ROW()-12)="","",INDEX(DATOS!$P$1:$P$201,ROW()-12))</f>
        <v/>
      </c>
      <c r="S61" s="17" t="n"/>
      <c r="T61" s="17" t="inlineStr">
        <is>
          <t>Encofrado</t>
        </is>
      </c>
      <c r="U61" s="17">
        <f>COUNTIFS(DATOS!$C$2:$C$5001,$T61,DATOS!$P$2:$P$5001,$T$53)</f>
        <v/>
      </c>
      <c r="V61" s="17">
        <f>SUMIFS(DATOS!$K$2:$K$5001,DATOS!$C$2:$C$5001,$T61,DATOS!$P$2:$P$5001,$T$53)</f>
        <v/>
      </c>
      <c r="W61" s="17" t="n"/>
      <c r="X61" s="17" t="n"/>
      <c r="Y61" s="17" t="n"/>
      <c r="Z61" s="17" t="n"/>
    </row>
    <row r="62" ht="18" customHeight="1">
      <c r="A62" s="17" t="n"/>
      <c r="B62" s="42">
        <f t="array" ref="B62">IF(INDEX(DATOS!$A$1:$A$201,ROW()-12)="","",INDEX(DATOS!$A$1:$A$201,ROW()-12))</f>
        <v/>
      </c>
      <c r="C62" s="149">
        <f t="array" ref="C62">IF(INDEX(DATOS!$B$1:$B$201,ROW()-12)="","",INDEX(DATOS!$B$1:$B$201,ROW()-12))</f>
        <v/>
      </c>
      <c r="D62" s="150" t="n"/>
      <c r="E62" s="150" t="n"/>
      <c r="F62" s="150" t="n"/>
      <c r="G62" s="151" t="n"/>
      <c r="H62" s="43">
        <f t="array" ref="H62">IF(INDEX(DATOS!$C$1:$C$201,ROW()-12)="","",INDEX(DATOS!$C$1:$C$201,ROW()-12))</f>
        <v/>
      </c>
      <c r="I62" s="44">
        <f t="array" ref="I62">IF(INDEX(DATOS!$D$1:$D$201,ROW()-12)="","",INDEX(DATOS!$D$1:$D$201,ROW()-12))</f>
        <v/>
      </c>
      <c r="J62" s="45">
        <f t="array" ref="J62">IF(INDEX(DATOS!$M$1:$M$201,ROW()-12)="","",INDEX(DATOS!$M$1:$M$201,ROW()-12))</f>
        <v/>
      </c>
      <c r="K62" s="46">
        <f t="array" ref="K62">IF(INDEX(DATOS!$K$1:$K$201,ROW()-12)="","",INDEX(DATOS!$K$1:$K$201,ROW()-12))</f>
        <v/>
      </c>
      <c r="L62" s="47">
        <f t="array" ref="L62">IF(INDEX(DATOS!$E$1:$E$201,ROW()-12)="","",INDEX(DATOS!$E$1:$E$201,ROW()-12))</f>
        <v/>
      </c>
      <c r="M62" s="47">
        <f t="array" ref="M62">IF(INDEX(DATOS!$F$1:$F$201,ROW()-12)="","",INDEX(DATOS!$F$1:$F$201,ROW()-12))</f>
        <v/>
      </c>
      <c r="N62" s="47">
        <f t="array" ref="N62">IF(INDEX(DATOS!$G$1:$G$201,ROW()-12)="","",INDEX(DATOS!$G$1:$G$201,ROW()-12))</f>
        <v/>
      </c>
      <c r="O62" s="47">
        <f t="array" ref="O62">IF(INDEX(DATOS!$H$1:$H$201,ROW()-12)="","",INDEX(DATOS!$H$1:$H$201,ROW()-12))</f>
        <v/>
      </c>
      <c r="P62" s="47">
        <f t="array" ref="P62">IF(INDEX(DATOS!$I$1:$I$201,ROW()-12)="","",INDEX(DATOS!$I$1:$I$201,ROW()-12))</f>
        <v/>
      </c>
      <c r="Q62" s="48">
        <f t="array" ref="Q62">IF(INDEX(DATOS!$J$1:$J$201,ROW()-12)="","",INDEX(DATOS!$J$1:$J$201,ROW()-12))</f>
        <v/>
      </c>
      <c r="R62" s="49">
        <f t="array" ref="R62">IF(INDEX(DATOS!$P$1:$P$201,ROW()-12)="","",INDEX(DATOS!$P$1:$P$201,ROW()-12))</f>
        <v/>
      </c>
      <c r="S62" s="17" t="n"/>
      <c r="T62" s="17" t="inlineStr">
        <is>
          <t>Concreto</t>
        </is>
      </c>
      <c r="U62" s="17">
        <f>COUNTIFS(DATOS!$C$2:$C$5001,$T62,DATOS!$P$2:$P$5001,$T$53)</f>
        <v/>
      </c>
      <c r="V62" s="17">
        <f>SUMIFS(DATOS!$K$2:$K$5001,DATOS!$C$2:$C$5001,$T62,DATOS!$P$2:$P$5001,$T$53)</f>
        <v/>
      </c>
      <c r="W62" s="17" t="n"/>
      <c r="X62" s="17" t="n"/>
      <c r="Y62" s="17" t="n"/>
      <c r="Z62" s="17" t="n"/>
    </row>
    <row r="63" ht="18" customHeight="1">
      <c r="A63" s="17" t="n"/>
      <c r="B63" s="42">
        <f t="array" ref="B63">IF(INDEX(DATOS!$A$1:$A$201,ROW()-12)="","",INDEX(DATOS!$A$1:$A$201,ROW()-12))</f>
        <v/>
      </c>
      <c r="C63" s="149">
        <f t="array" ref="C63">IF(INDEX(DATOS!$B$1:$B$201,ROW()-12)="","",INDEX(DATOS!$B$1:$B$201,ROW()-12))</f>
        <v/>
      </c>
      <c r="D63" s="150" t="n"/>
      <c r="E63" s="150" t="n"/>
      <c r="F63" s="150" t="n"/>
      <c r="G63" s="151" t="n"/>
      <c r="H63" s="43">
        <f t="array" ref="H63">IF(INDEX(DATOS!$C$1:$C$201,ROW()-12)="","",INDEX(DATOS!$C$1:$C$201,ROW()-12))</f>
        <v/>
      </c>
      <c r="I63" s="44">
        <f t="array" ref="I63">IF(INDEX(DATOS!$D$1:$D$201,ROW()-12)="","",INDEX(DATOS!$D$1:$D$201,ROW()-12))</f>
        <v/>
      </c>
      <c r="J63" s="45">
        <f t="array" ref="J63">IF(INDEX(DATOS!$M$1:$M$201,ROW()-12)="","",INDEX(DATOS!$M$1:$M$201,ROW()-12))</f>
        <v/>
      </c>
      <c r="K63" s="46">
        <f t="array" ref="K63">IF(INDEX(DATOS!$K$1:$K$201,ROW()-12)="","",INDEX(DATOS!$K$1:$K$201,ROW()-12))</f>
        <v/>
      </c>
      <c r="L63" s="47">
        <f t="array" ref="L63">IF(INDEX(DATOS!$E$1:$E$201,ROW()-12)="","",INDEX(DATOS!$E$1:$E$201,ROW()-12))</f>
        <v/>
      </c>
      <c r="M63" s="47">
        <f t="array" ref="M63">IF(INDEX(DATOS!$F$1:$F$201,ROW()-12)="","",INDEX(DATOS!$F$1:$F$201,ROW()-12))</f>
        <v/>
      </c>
      <c r="N63" s="47">
        <f t="array" ref="N63">IF(INDEX(DATOS!$G$1:$G$201,ROW()-12)="","",INDEX(DATOS!$G$1:$G$201,ROW()-12))</f>
        <v/>
      </c>
      <c r="O63" s="47">
        <f t="array" ref="O63">IF(INDEX(DATOS!$H$1:$H$201,ROW()-12)="","",INDEX(DATOS!$H$1:$H$201,ROW()-12))</f>
        <v/>
      </c>
      <c r="P63" s="47">
        <f t="array" ref="P63">IF(INDEX(DATOS!$I$1:$I$201,ROW()-12)="","",INDEX(DATOS!$I$1:$I$201,ROW()-12))</f>
        <v/>
      </c>
      <c r="Q63" s="48">
        <f t="array" ref="Q63">IF(INDEX(DATOS!$J$1:$J$201,ROW()-12)="","",INDEX(DATOS!$J$1:$J$201,ROW()-12))</f>
        <v/>
      </c>
      <c r="R63" s="49">
        <f t="array" ref="R63">IF(INDEX(DATOS!$P$1:$P$201,ROW()-12)="","",INDEX(DATOS!$P$1:$P$201,ROW()-12))</f>
        <v/>
      </c>
      <c r="S63" s="17" t="n"/>
      <c r="T63" s="17" t="inlineStr">
        <is>
          <t>Excavación</t>
        </is>
      </c>
      <c r="U63" s="17">
        <f>COUNTIFS(DATOS!$C$2:$C$5001,$T63,DATOS!$P$2:$P$5001,$T$53)</f>
        <v/>
      </c>
      <c r="V63" s="17">
        <f>SUMIFS(DATOS!$K$2:$K$5001,DATOS!$C$2:$C$5001,$T63,DATOS!$P$2:$P$5001,$T$53)</f>
        <v/>
      </c>
      <c r="W63" s="17" t="n"/>
      <c r="X63" s="17" t="n"/>
      <c r="Y63" s="17" t="n"/>
      <c r="Z63" s="17" t="n"/>
    </row>
    <row r="64" ht="18" customHeight="1">
      <c r="A64" s="17" t="n"/>
      <c r="B64" s="42">
        <f t="array" ref="B64">IF(INDEX(DATOS!$A$1:$A$201,ROW()-12)="","",INDEX(DATOS!$A$1:$A$201,ROW()-12))</f>
        <v/>
      </c>
      <c r="C64" s="149">
        <f t="array" ref="C64">IF(INDEX(DATOS!$B$1:$B$201,ROW()-12)="","",INDEX(DATOS!$B$1:$B$201,ROW()-12))</f>
        <v/>
      </c>
      <c r="D64" s="150" t="n"/>
      <c r="E64" s="150" t="n"/>
      <c r="F64" s="150" t="n"/>
      <c r="G64" s="151" t="n"/>
      <c r="H64" s="43">
        <f t="array" ref="H64">IF(INDEX(DATOS!$C$1:$C$201,ROW()-12)="","",INDEX(DATOS!$C$1:$C$201,ROW()-12))</f>
        <v/>
      </c>
      <c r="I64" s="44">
        <f t="array" ref="I64">IF(INDEX(DATOS!$D$1:$D$201,ROW()-12)="","",INDEX(DATOS!$D$1:$D$201,ROW()-12))</f>
        <v/>
      </c>
      <c r="J64" s="45">
        <f t="array" ref="J64">IF(INDEX(DATOS!$M$1:$M$201,ROW()-12)="","",INDEX(DATOS!$M$1:$M$201,ROW()-12))</f>
        <v/>
      </c>
      <c r="K64" s="46">
        <f t="array" ref="K64">IF(INDEX(DATOS!$K$1:$K$201,ROW()-12)="","",INDEX(DATOS!$K$1:$K$201,ROW()-12))</f>
        <v/>
      </c>
      <c r="L64" s="47">
        <f t="array" ref="L64">IF(INDEX(DATOS!$E$1:$E$201,ROW()-12)="","",INDEX(DATOS!$E$1:$E$201,ROW()-12))</f>
        <v/>
      </c>
      <c r="M64" s="47">
        <f t="array" ref="M64">IF(INDEX(DATOS!$F$1:$F$201,ROW()-12)="","",INDEX(DATOS!$F$1:$F$201,ROW()-12))</f>
        <v/>
      </c>
      <c r="N64" s="47">
        <f t="array" ref="N64">IF(INDEX(DATOS!$G$1:$G$201,ROW()-12)="","",INDEX(DATOS!$G$1:$G$201,ROW()-12))</f>
        <v/>
      </c>
      <c r="O64" s="47">
        <f t="array" ref="O64">IF(INDEX(DATOS!$H$1:$H$201,ROW()-12)="","",INDEX(DATOS!$H$1:$H$201,ROW()-12))</f>
        <v/>
      </c>
      <c r="P64" s="47">
        <f t="array" ref="P64">IF(INDEX(DATOS!$I$1:$I$201,ROW()-12)="","",INDEX(DATOS!$I$1:$I$201,ROW()-12))</f>
        <v/>
      </c>
      <c r="Q64" s="48">
        <f t="array" ref="Q64">IF(INDEX(DATOS!$J$1:$J$201,ROW()-12)="","",INDEX(DATOS!$J$1:$J$201,ROW()-12))</f>
        <v/>
      </c>
      <c r="R64" s="49">
        <f t="array" ref="R64">IF(INDEX(DATOS!$P$1:$P$201,ROW()-12)="","",INDEX(DATOS!$P$1:$P$201,ROW()-12))</f>
        <v/>
      </c>
      <c r="S64" s="17" t="n"/>
      <c r="T64" s="75" t="inlineStr">
        <is>
          <t>TOTAL</t>
        </is>
      </c>
      <c r="U64" s="75">
        <f>SUM(U58:U63)</f>
        <v/>
      </c>
      <c r="V64" s="75">
        <f>SUM(V58:V63)</f>
        <v/>
      </c>
      <c r="W64" s="17" t="n"/>
      <c r="X64" s="17" t="n"/>
      <c r="Y64" s="17" t="n"/>
      <c r="Z64" s="17" t="n"/>
    </row>
    <row r="65" ht="18" customHeight="1">
      <c r="A65" s="17" t="n"/>
      <c r="B65" s="42">
        <f t="array" ref="B65">IF(INDEX(DATOS!$A$1:$A$201,ROW()-12)="","",INDEX(DATOS!$A$1:$A$201,ROW()-12))</f>
        <v/>
      </c>
      <c r="C65" s="149">
        <f t="array" ref="C65">IF(INDEX(DATOS!$B$1:$B$201,ROW()-12)="","",INDEX(DATOS!$B$1:$B$201,ROW()-12))</f>
        <v/>
      </c>
      <c r="D65" s="150" t="n"/>
      <c r="E65" s="150" t="n"/>
      <c r="F65" s="150" t="n"/>
      <c r="G65" s="151" t="n"/>
      <c r="H65" s="43">
        <f t="array" ref="H65">IF(INDEX(DATOS!$C$1:$C$201,ROW()-12)="","",INDEX(DATOS!$C$1:$C$201,ROW()-12))</f>
        <v/>
      </c>
      <c r="I65" s="44">
        <f t="array" ref="I65">IF(INDEX(DATOS!$D$1:$D$201,ROW()-12)="","",INDEX(DATOS!$D$1:$D$201,ROW()-12))</f>
        <v/>
      </c>
      <c r="J65" s="45">
        <f t="array" ref="J65">IF(INDEX(DATOS!$M$1:$M$201,ROW()-12)="","",INDEX(DATOS!$M$1:$M$201,ROW()-12))</f>
        <v/>
      </c>
      <c r="K65" s="46">
        <f t="array" ref="K65">IF(INDEX(DATOS!$K$1:$K$201,ROW()-12)="","",INDEX(DATOS!$K$1:$K$201,ROW()-12))</f>
        <v/>
      </c>
      <c r="L65" s="47">
        <f t="array" ref="L65">IF(INDEX(DATOS!$E$1:$E$201,ROW()-12)="","",INDEX(DATOS!$E$1:$E$201,ROW()-12))</f>
        <v/>
      </c>
      <c r="M65" s="47">
        <f t="array" ref="M65">IF(INDEX(DATOS!$F$1:$F$201,ROW()-12)="","",INDEX(DATOS!$F$1:$F$201,ROW()-12))</f>
        <v/>
      </c>
      <c r="N65" s="47">
        <f t="array" ref="N65">IF(INDEX(DATOS!$G$1:$G$201,ROW()-12)="","",INDEX(DATOS!$G$1:$G$201,ROW()-12))</f>
        <v/>
      </c>
      <c r="O65" s="47">
        <f t="array" ref="O65">IF(INDEX(DATOS!$H$1:$H$201,ROW()-12)="","",INDEX(DATOS!$H$1:$H$201,ROW()-12))</f>
        <v/>
      </c>
      <c r="P65" s="47">
        <f t="array" ref="P65">IF(INDEX(DATOS!$I$1:$I$201,ROW()-12)="","",INDEX(DATOS!$I$1:$I$201,ROW()-12))</f>
        <v/>
      </c>
      <c r="Q65" s="48">
        <f t="array" ref="Q65">IF(INDEX(DATOS!$J$1:$J$201,ROW()-12)="","",INDEX(DATOS!$J$1:$J$201,ROW()-12))</f>
        <v/>
      </c>
      <c r="R65" s="49">
        <f t="array" ref="R65">IF(INDEX(DATOS!$P$1:$P$201,ROW()-12)="","",INDEX(DATOS!$P$1:$P$201,ROW()-12))</f>
        <v/>
      </c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8" customHeight="1">
      <c r="A66" s="17" t="n"/>
      <c r="B66" s="42">
        <f t="array" ref="B66">IF(INDEX(DATOS!$A$1:$A$201,ROW()-12)="","",INDEX(DATOS!$A$1:$A$201,ROW()-12))</f>
        <v/>
      </c>
      <c r="C66" s="149">
        <f t="array" ref="C66">IF(INDEX(DATOS!$B$1:$B$201,ROW()-12)="","",INDEX(DATOS!$B$1:$B$201,ROW()-12))</f>
        <v/>
      </c>
      <c r="D66" s="150" t="n"/>
      <c r="E66" s="150" t="n"/>
      <c r="F66" s="150" t="n"/>
      <c r="G66" s="151" t="n"/>
      <c r="H66" s="43">
        <f t="array" ref="H66">IF(INDEX(DATOS!$C$1:$C$201,ROW()-12)="","",INDEX(DATOS!$C$1:$C$201,ROW()-12))</f>
        <v/>
      </c>
      <c r="I66" s="44">
        <f t="array" ref="I66">IF(INDEX(DATOS!$D$1:$D$201,ROW()-12)="","",INDEX(DATOS!$D$1:$D$201,ROW()-12))</f>
        <v/>
      </c>
      <c r="J66" s="45">
        <f t="array" ref="J66">IF(INDEX(DATOS!$M$1:$M$201,ROW()-12)="","",INDEX(DATOS!$M$1:$M$201,ROW()-12))</f>
        <v/>
      </c>
      <c r="K66" s="46">
        <f t="array" ref="K66">IF(INDEX(DATOS!$K$1:$K$201,ROW()-12)="","",INDEX(DATOS!$K$1:$K$201,ROW()-12))</f>
        <v/>
      </c>
      <c r="L66" s="47">
        <f t="array" ref="L66">IF(INDEX(DATOS!$E$1:$E$201,ROW()-12)="","",INDEX(DATOS!$E$1:$E$201,ROW()-12))</f>
        <v/>
      </c>
      <c r="M66" s="47">
        <f t="array" ref="M66">IF(INDEX(DATOS!$F$1:$F$201,ROW()-12)="","",INDEX(DATOS!$F$1:$F$201,ROW()-12))</f>
        <v/>
      </c>
      <c r="N66" s="47">
        <f t="array" ref="N66">IF(INDEX(DATOS!$G$1:$G$201,ROW()-12)="","",INDEX(DATOS!$G$1:$G$201,ROW()-12))</f>
        <v/>
      </c>
      <c r="O66" s="47">
        <f t="array" ref="O66">IF(INDEX(DATOS!$H$1:$H$201,ROW()-12)="","",INDEX(DATOS!$H$1:$H$201,ROW()-12))</f>
        <v/>
      </c>
      <c r="P66" s="47">
        <f t="array" ref="P66">IF(INDEX(DATOS!$I$1:$I$201,ROW()-12)="","",INDEX(DATOS!$I$1:$I$201,ROW()-12))</f>
        <v/>
      </c>
      <c r="Q66" s="48">
        <f t="array" ref="Q66">IF(INDEX(DATOS!$J$1:$J$201,ROW()-12)="","",INDEX(DATOS!$J$1:$J$201,ROW()-12))</f>
        <v/>
      </c>
      <c r="R66" s="49">
        <f t="array" ref="R66">IF(INDEX(DATOS!$P$1:$P$201,ROW()-12)="","",INDEX(DATOS!$P$1:$P$201,ROW()-12))</f>
        <v/>
      </c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8" customHeight="1">
      <c r="A67" s="17" t="n"/>
      <c r="B67" s="42">
        <f t="array" ref="B67">IF(INDEX(DATOS!$A$1:$A$201,ROW()-12)="","",INDEX(DATOS!$A$1:$A$201,ROW()-12))</f>
        <v/>
      </c>
      <c r="C67" s="149">
        <f t="array" ref="C67">IF(INDEX(DATOS!$B$1:$B$201,ROW()-12)="","",INDEX(DATOS!$B$1:$B$201,ROW()-12))</f>
        <v/>
      </c>
      <c r="D67" s="150" t="n"/>
      <c r="E67" s="150" t="n"/>
      <c r="F67" s="150" t="n"/>
      <c r="G67" s="151" t="n"/>
      <c r="H67" s="43">
        <f t="array" ref="H67">IF(INDEX(DATOS!$C$1:$C$201,ROW()-12)="","",INDEX(DATOS!$C$1:$C$201,ROW()-12))</f>
        <v/>
      </c>
      <c r="I67" s="44">
        <f t="array" ref="I67">IF(INDEX(DATOS!$D$1:$D$201,ROW()-12)="","",INDEX(DATOS!$D$1:$D$201,ROW()-12))</f>
        <v/>
      </c>
      <c r="J67" s="45">
        <f t="array" ref="J67">IF(INDEX(DATOS!$M$1:$M$201,ROW()-12)="","",INDEX(DATOS!$M$1:$M$201,ROW()-12))</f>
        <v/>
      </c>
      <c r="K67" s="46">
        <f t="array" ref="K67">IF(INDEX(DATOS!$K$1:$K$201,ROW()-12)="","",INDEX(DATOS!$K$1:$K$201,ROW()-12))</f>
        <v/>
      </c>
      <c r="L67" s="47">
        <f t="array" ref="L67">IF(INDEX(DATOS!$E$1:$E$201,ROW()-12)="","",INDEX(DATOS!$E$1:$E$201,ROW()-12))</f>
        <v/>
      </c>
      <c r="M67" s="47">
        <f t="array" ref="M67">IF(INDEX(DATOS!$F$1:$F$201,ROW()-12)="","",INDEX(DATOS!$F$1:$F$201,ROW()-12))</f>
        <v/>
      </c>
      <c r="N67" s="47">
        <f t="array" ref="N67">IF(INDEX(DATOS!$G$1:$G$201,ROW()-12)="","",INDEX(DATOS!$G$1:$G$201,ROW()-12))</f>
        <v/>
      </c>
      <c r="O67" s="47">
        <f t="array" ref="O67">IF(INDEX(DATOS!$H$1:$H$201,ROW()-12)="","",INDEX(DATOS!$H$1:$H$201,ROW()-12))</f>
        <v/>
      </c>
      <c r="P67" s="47">
        <f t="array" ref="P67">IF(INDEX(DATOS!$I$1:$I$201,ROW()-12)="","",INDEX(DATOS!$I$1:$I$201,ROW()-12))</f>
        <v/>
      </c>
      <c r="Q67" s="48">
        <f t="array" ref="Q67">IF(INDEX(DATOS!$J$1:$J$201,ROW()-12)="","",INDEX(DATOS!$J$1:$J$201,ROW()-12))</f>
        <v/>
      </c>
      <c r="R67" s="49">
        <f t="array" ref="R67">IF(INDEX(DATOS!$P$1:$P$201,ROW()-12)="","",INDEX(DATOS!$P$1:$P$201,ROW()-12))</f>
        <v/>
      </c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8" customHeight="1">
      <c r="A68" s="17" t="n"/>
      <c r="B68" s="42">
        <f t="array" ref="B68">IF(INDEX(DATOS!$A$1:$A$201,ROW()-12)="","",INDEX(DATOS!$A$1:$A$201,ROW()-12))</f>
        <v/>
      </c>
      <c r="C68" s="149">
        <f t="array" ref="C68">IF(INDEX(DATOS!$B$1:$B$201,ROW()-12)="","",INDEX(DATOS!$B$1:$B$201,ROW()-12))</f>
        <v/>
      </c>
      <c r="D68" s="150" t="n"/>
      <c r="E68" s="150" t="n"/>
      <c r="F68" s="150" t="n"/>
      <c r="G68" s="151" t="n"/>
      <c r="H68" s="43">
        <f t="array" ref="H68">IF(INDEX(DATOS!$C$1:$C$201,ROW()-12)="","",INDEX(DATOS!$C$1:$C$201,ROW()-12))</f>
        <v/>
      </c>
      <c r="I68" s="44">
        <f t="array" ref="I68">IF(INDEX(DATOS!$D$1:$D$201,ROW()-12)="","",INDEX(DATOS!$D$1:$D$201,ROW()-12))</f>
        <v/>
      </c>
      <c r="J68" s="45">
        <f t="array" ref="J68">IF(INDEX(DATOS!$M$1:$M$201,ROW()-12)="","",INDEX(DATOS!$M$1:$M$201,ROW()-12))</f>
        <v/>
      </c>
      <c r="K68" s="46">
        <f t="array" ref="K68">IF(INDEX(DATOS!$K$1:$K$201,ROW()-12)="","",INDEX(DATOS!$K$1:$K$201,ROW()-12))</f>
        <v/>
      </c>
      <c r="L68" s="47">
        <f t="array" ref="L68">IF(INDEX(DATOS!$E$1:$E$201,ROW()-12)="","",INDEX(DATOS!$E$1:$E$201,ROW()-12))</f>
        <v/>
      </c>
      <c r="M68" s="47">
        <f t="array" ref="M68">IF(INDEX(DATOS!$F$1:$F$201,ROW()-12)="","",INDEX(DATOS!$F$1:$F$201,ROW()-12))</f>
        <v/>
      </c>
      <c r="N68" s="47">
        <f t="array" ref="N68">IF(INDEX(DATOS!$G$1:$G$201,ROW()-12)="","",INDEX(DATOS!$G$1:$G$201,ROW()-12))</f>
        <v/>
      </c>
      <c r="O68" s="47">
        <f t="array" ref="O68">IF(INDEX(DATOS!$H$1:$H$201,ROW()-12)="","",INDEX(DATOS!$H$1:$H$201,ROW()-12))</f>
        <v/>
      </c>
      <c r="P68" s="47">
        <f t="array" ref="P68">IF(INDEX(DATOS!$I$1:$I$201,ROW()-12)="","",INDEX(DATOS!$I$1:$I$201,ROW()-12))</f>
        <v/>
      </c>
      <c r="Q68" s="48">
        <f t="array" ref="Q68">IF(INDEX(DATOS!$J$1:$J$201,ROW()-12)="","",INDEX(DATOS!$J$1:$J$201,ROW()-12))</f>
        <v/>
      </c>
      <c r="R68" s="49">
        <f t="array" ref="R68">IF(INDEX(DATOS!$P$1:$P$201,ROW()-12)="","",INDEX(DATOS!$P$1:$P$201,ROW()-12))</f>
        <v/>
      </c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8" customHeight="1">
      <c r="A69" s="17" t="n"/>
      <c r="B69" s="42">
        <f t="array" ref="B69">IF(INDEX(DATOS!$A$1:$A$201,ROW()-12)="","",INDEX(DATOS!$A$1:$A$201,ROW()-12))</f>
        <v/>
      </c>
      <c r="C69" s="149">
        <f t="array" ref="C69">IF(INDEX(DATOS!$B$1:$B$201,ROW()-12)="","",INDEX(DATOS!$B$1:$B$201,ROW()-12))</f>
        <v/>
      </c>
      <c r="D69" s="150" t="n"/>
      <c r="E69" s="150" t="n"/>
      <c r="F69" s="150" t="n"/>
      <c r="G69" s="151" t="n"/>
      <c r="H69" s="43">
        <f t="array" ref="H69">IF(INDEX(DATOS!$C$1:$C$201,ROW()-12)="","",INDEX(DATOS!$C$1:$C$201,ROW()-12))</f>
        <v/>
      </c>
      <c r="I69" s="44">
        <f t="array" ref="I69">IF(INDEX(DATOS!$D$1:$D$201,ROW()-12)="","",INDEX(DATOS!$D$1:$D$201,ROW()-12))</f>
        <v/>
      </c>
      <c r="J69" s="45">
        <f t="array" ref="J69">IF(INDEX(DATOS!$M$1:$M$201,ROW()-12)="","",INDEX(DATOS!$M$1:$M$201,ROW()-12))</f>
        <v/>
      </c>
      <c r="K69" s="46">
        <f t="array" ref="K69">IF(INDEX(DATOS!$K$1:$K$201,ROW()-12)="","",INDEX(DATOS!$K$1:$K$201,ROW()-12))</f>
        <v/>
      </c>
      <c r="L69" s="47">
        <f t="array" ref="L69">IF(INDEX(DATOS!$E$1:$E$201,ROW()-12)="","",INDEX(DATOS!$E$1:$E$201,ROW()-12))</f>
        <v/>
      </c>
      <c r="M69" s="47">
        <f t="array" ref="M69">IF(INDEX(DATOS!$F$1:$F$201,ROW()-12)="","",INDEX(DATOS!$F$1:$F$201,ROW()-12))</f>
        <v/>
      </c>
      <c r="N69" s="47">
        <f t="array" ref="N69">IF(INDEX(DATOS!$G$1:$G$201,ROW()-12)="","",INDEX(DATOS!$G$1:$G$201,ROW()-12))</f>
        <v/>
      </c>
      <c r="O69" s="47">
        <f t="array" ref="O69">IF(INDEX(DATOS!$H$1:$H$201,ROW()-12)="","",INDEX(DATOS!$H$1:$H$201,ROW()-12))</f>
        <v/>
      </c>
      <c r="P69" s="47">
        <f t="array" ref="P69">IF(INDEX(DATOS!$I$1:$I$201,ROW()-12)="","",INDEX(DATOS!$I$1:$I$201,ROW()-12))</f>
        <v/>
      </c>
      <c r="Q69" s="48">
        <f t="array" ref="Q69">IF(INDEX(DATOS!$J$1:$J$201,ROW()-12)="","",INDEX(DATOS!$J$1:$J$201,ROW()-12))</f>
        <v/>
      </c>
      <c r="R69" s="49">
        <f t="array" ref="R69">IF(INDEX(DATOS!$P$1:$P$201,ROW()-12)="","",INDEX(DATOS!$P$1:$P$201,ROW()-12))</f>
        <v/>
      </c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8" customHeight="1">
      <c r="A70" s="17" t="n"/>
      <c r="B70" s="42">
        <f t="array" ref="B70">IF(INDEX(DATOS!$A$1:$A$201,ROW()-12)="","",INDEX(DATOS!$A$1:$A$201,ROW()-12))</f>
        <v/>
      </c>
      <c r="C70" s="149">
        <f t="array" ref="C70">IF(INDEX(DATOS!$B$1:$B$201,ROW()-12)="","",INDEX(DATOS!$B$1:$B$201,ROW()-12))</f>
        <v/>
      </c>
      <c r="D70" s="150" t="n"/>
      <c r="E70" s="150" t="n"/>
      <c r="F70" s="150" t="n"/>
      <c r="G70" s="151" t="n"/>
      <c r="H70" s="43">
        <f t="array" ref="H70">IF(INDEX(DATOS!$C$1:$C$201,ROW()-12)="","",INDEX(DATOS!$C$1:$C$201,ROW()-12))</f>
        <v/>
      </c>
      <c r="I70" s="44">
        <f t="array" ref="I70">IF(INDEX(DATOS!$D$1:$D$201,ROW()-12)="","",INDEX(DATOS!$D$1:$D$201,ROW()-12))</f>
        <v/>
      </c>
      <c r="J70" s="45">
        <f t="array" ref="J70">IF(INDEX(DATOS!$M$1:$M$201,ROW()-12)="","",INDEX(DATOS!$M$1:$M$201,ROW()-12))</f>
        <v/>
      </c>
      <c r="K70" s="46">
        <f t="array" ref="K70">IF(INDEX(DATOS!$K$1:$K$201,ROW()-12)="","",INDEX(DATOS!$K$1:$K$201,ROW()-12))</f>
        <v/>
      </c>
      <c r="L70" s="47">
        <f t="array" ref="L70">IF(INDEX(DATOS!$E$1:$E$201,ROW()-12)="","",INDEX(DATOS!$E$1:$E$201,ROW()-12))</f>
        <v/>
      </c>
      <c r="M70" s="47">
        <f t="array" ref="M70">IF(INDEX(DATOS!$F$1:$F$201,ROW()-12)="","",INDEX(DATOS!$F$1:$F$201,ROW()-12))</f>
        <v/>
      </c>
      <c r="N70" s="47">
        <f t="array" ref="N70">IF(INDEX(DATOS!$G$1:$G$201,ROW()-12)="","",INDEX(DATOS!$G$1:$G$201,ROW()-12))</f>
        <v/>
      </c>
      <c r="O70" s="47">
        <f t="array" ref="O70">IF(INDEX(DATOS!$H$1:$H$201,ROW()-12)="","",INDEX(DATOS!$H$1:$H$201,ROW()-12))</f>
        <v/>
      </c>
      <c r="P70" s="47">
        <f t="array" ref="P70">IF(INDEX(DATOS!$I$1:$I$201,ROW()-12)="","",INDEX(DATOS!$I$1:$I$201,ROW()-12))</f>
        <v/>
      </c>
      <c r="Q70" s="48">
        <f t="array" ref="Q70">IF(INDEX(DATOS!$J$1:$J$201,ROW()-12)="","",INDEX(DATOS!$J$1:$J$201,ROW()-12))</f>
        <v/>
      </c>
      <c r="R70" s="49">
        <f t="array" ref="R70">IF(INDEX(DATOS!$P$1:$P$201,ROW()-12)="","",INDEX(DATOS!$P$1:$P$201,ROW()-12))</f>
        <v/>
      </c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8" customHeight="1">
      <c r="A71" s="17" t="n"/>
      <c r="B71" s="42">
        <f t="array" ref="B71">IF(INDEX(DATOS!$A$1:$A$201,ROW()-12)="","",INDEX(DATOS!$A$1:$A$201,ROW()-12))</f>
        <v/>
      </c>
      <c r="C71" s="149">
        <f t="array" ref="C71">IF(INDEX(DATOS!$B$1:$B$201,ROW()-12)="","",INDEX(DATOS!$B$1:$B$201,ROW()-12))</f>
        <v/>
      </c>
      <c r="D71" s="150" t="n"/>
      <c r="E71" s="150" t="n"/>
      <c r="F71" s="150" t="n"/>
      <c r="G71" s="151" t="n"/>
      <c r="H71" s="43">
        <f t="array" ref="H71">IF(INDEX(DATOS!$C$1:$C$201,ROW()-12)="","",INDEX(DATOS!$C$1:$C$201,ROW()-12))</f>
        <v/>
      </c>
      <c r="I71" s="44">
        <f t="array" ref="I71">IF(INDEX(DATOS!$D$1:$D$201,ROW()-12)="","",INDEX(DATOS!$D$1:$D$201,ROW()-12))</f>
        <v/>
      </c>
      <c r="J71" s="45">
        <f t="array" ref="J71">IF(INDEX(DATOS!$M$1:$M$201,ROW()-12)="","",INDEX(DATOS!$M$1:$M$201,ROW()-12))</f>
        <v/>
      </c>
      <c r="K71" s="46">
        <f t="array" ref="K71">IF(INDEX(DATOS!$K$1:$K$201,ROW()-12)="","",INDEX(DATOS!$K$1:$K$201,ROW()-12))</f>
        <v/>
      </c>
      <c r="L71" s="47">
        <f t="array" ref="L71">IF(INDEX(DATOS!$E$1:$E$201,ROW()-12)="","",INDEX(DATOS!$E$1:$E$201,ROW()-12))</f>
        <v/>
      </c>
      <c r="M71" s="47">
        <f t="array" ref="M71">IF(INDEX(DATOS!$F$1:$F$201,ROW()-12)="","",INDEX(DATOS!$F$1:$F$201,ROW()-12))</f>
        <v/>
      </c>
      <c r="N71" s="47">
        <f t="array" ref="N71">IF(INDEX(DATOS!$G$1:$G$201,ROW()-12)="","",INDEX(DATOS!$G$1:$G$201,ROW()-12))</f>
        <v/>
      </c>
      <c r="O71" s="47">
        <f t="array" ref="O71">IF(INDEX(DATOS!$H$1:$H$201,ROW()-12)="","",INDEX(DATOS!$H$1:$H$201,ROW()-12))</f>
        <v/>
      </c>
      <c r="P71" s="47">
        <f t="array" ref="P71">IF(INDEX(DATOS!$I$1:$I$201,ROW()-12)="","",INDEX(DATOS!$I$1:$I$201,ROW()-12))</f>
        <v/>
      </c>
      <c r="Q71" s="48">
        <f t="array" ref="Q71">IF(INDEX(DATOS!$J$1:$J$201,ROW()-12)="","",INDEX(DATOS!$J$1:$J$201,ROW()-12))</f>
        <v/>
      </c>
      <c r="R71" s="49">
        <f t="array" ref="R71">IF(INDEX(DATOS!$P$1:$P$201,ROW()-12)="","",INDEX(DATOS!$P$1:$P$201,ROW()-12))</f>
        <v/>
      </c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8" customHeight="1">
      <c r="A72" s="17" t="n"/>
      <c r="B72" s="42">
        <f t="array" ref="B72">IF(INDEX(DATOS!$A$1:$A$201,ROW()-12)="","",INDEX(DATOS!$A$1:$A$201,ROW()-12))</f>
        <v/>
      </c>
      <c r="C72" s="149">
        <f t="array" ref="C72">IF(INDEX(DATOS!$B$1:$B$201,ROW()-12)="","",INDEX(DATOS!$B$1:$B$201,ROW()-12))</f>
        <v/>
      </c>
      <c r="D72" s="150" t="n"/>
      <c r="E72" s="150" t="n"/>
      <c r="F72" s="150" t="n"/>
      <c r="G72" s="151" t="n"/>
      <c r="H72" s="43">
        <f t="array" ref="H72">IF(INDEX(DATOS!$C$1:$C$201,ROW()-12)="","",INDEX(DATOS!$C$1:$C$201,ROW()-12))</f>
        <v/>
      </c>
      <c r="I72" s="44">
        <f t="array" ref="I72">IF(INDEX(DATOS!$D$1:$D$201,ROW()-12)="","",INDEX(DATOS!$D$1:$D$201,ROW()-12))</f>
        <v/>
      </c>
      <c r="J72" s="45">
        <f t="array" ref="J72">IF(INDEX(DATOS!$M$1:$M$201,ROW()-12)="","",INDEX(DATOS!$M$1:$M$201,ROW()-12))</f>
        <v/>
      </c>
      <c r="K72" s="46">
        <f t="array" ref="K72">IF(INDEX(DATOS!$K$1:$K$201,ROW()-12)="","",INDEX(DATOS!$K$1:$K$201,ROW()-12))</f>
        <v/>
      </c>
      <c r="L72" s="47">
        <f t="array" ref="L72">IF(INDEX(DATOS!$E$1:$E$201,ROW()-12)="","",INDEX(DATOS!$E$1:$E$201,ROW()-12))</f>
        <v/>
      </c>
      <c r="M72" s="47">
        <f t="array" ref="M72">IF(INDEX(DATOS!$F$1:$F$201,ROW()-12)="","",INDEX(DATOS!$F$1:$F$201,ROW()-12))</f>
        <v/>
      </c>
      <c r="N72" s="47">
        <f t="array" ref="N72">IF(INDEX(DATOS!$G$1:$G$201,ROW()-12)="","",INDEX(DATOS!$G$1:$G$201,ROW()-12))</f>
        <v/>
      </c>
      <c r="O72" s="47">
        <f t="array" ref="O72">IF(INDEX(DATOS!$H$1:$H$201,ROW()-12)="","",INDEX(DATOS!$H$1:$H$201,ROW()-12))</f>
        <v/>
      </c>
      <c r="P72" s="47">
        <f t="array" ref="P72">IF(INDEX(DATOS!$I$1:$I$201,ROW()-12)="","",INDEX(DATOS!$I$1:$I$201,ROW()-12))</f>
        <v/>
      </c>
      <c r="Q72" s="48">
        <f t="array" ref="Q72">IF(INDEX(DATOS!$J$1:$J$201,ROW()-12)="","",INDEX(DATOS!$J$1:$J$201,ROW()-12))</f>
        <v/>
      </c>
      <c r="R72" s="49">
        <f t="array" ref="R72">IF(INDEX(DATOS!$P$1:$P$201,ROW()-12)="","",INDEX(DATOS!$P$1:$P$201,ROW()-12))</f>
        <v/>
      </c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8" customHeight="1">
      <c r="A73" s="17" t="n"/>
      <c r="B73" s="42">
        <f t="array" ref="B73">IF(INDEX(DATOS!$A$1:$A$201,ROW()-12)="","",INDEX(DATOS!$A$1:$A$201,ROW()-12))</f>
        <v/>
      </c>
      <c r="C73" s="149">
        <f t="array" ref="C73">IF(INDEX(DATOS!$B$1:$B$201,ROW()-12)="","",INDEX(DATOS!$B$1:$B$201,ROW()-12))</f>
        <v/>
      </c>
      <c r="D73" s="150" t="n"/>
      <c r="E73" s="150" t="n"/>
      <c r="F73" s="150" t="n"/>
      <c r="G73" s="151" t="n"/>
      <c r="H73" s="43">
        <f t="array" ref="H73">IF(INDEX(DATOS!$C$1:$C$201,ROW()-12)="","",INDEX(DATOS!$C$1:$C$201,ROW()-12))</f>
        <v/>
      </c>
      <c r="I73" s="44">
        <f t="array" ref="I73">IF(INDEX(DATOS!$D$1:$D$201,ROW()-12)="","",INDEX(DATOS!$D$1:$D$201,ROW()-12))</f>
        <v/>
      </c>
      <c r="J73" s="45">
        <f t="array" ref="J73">IF(INDEX(DATOS!$M$1:$M$201,ROW()-12)="","",INDEX(DATOS!$M$1:$M$201,ROW()-12))</f>
        <v/>
      </c>
      <c r="K73" s="46">
        <f t="array" ref="K73">IF(INDEX(DATOS!$K$1:$K$201,ROW()-12)="","",INDEX(DATOS!$K$1:$K$201,ROW()-12))</f>
        <v/>
      </c>
      <c r="L73" s="47">
        <f t="array" ref="L73">IF(INDEX(DATOS!$E$1:$E$201,ROW()-12)="","",INDEX(DATOS!$E$1:$E$201,ROW()-12))</f>
        <v/>
      </c>
      <c r="M73" s="47">
        <f t="array" ref="M73">IF(INDEX(DATOS!$F$1:$F$201,ROW()-12)="","",INDEX(DATOS!$F$1:$F$201,ROW()-12))</f>
        <v/>
      </c>
      <c r="N73" s="47">
        <f t="array" ref="N73">IF(INDEX(DATOS!$G$1:$G$201,ROW()-12)="","",INDEX(DATOS!$G$1:$G$201,ROW()-12))</f>
        <v/>
      </c>
      <c r="O73" s="47">
        <f t="array" ref="O73">IF(INDEX(DATOS!$H$1:$H$201,ROW()-12)="","",INDEX(DATOS!$H$1:$H$201,ROW()-12))</f>
        <v/>
      </c>
      <c r="P73" s="47">
        <f t="array" ref="P73">IF(INDEX(DATOS!$I$1:$I$201,ROW()-12)="","",INDEX(DATOS!$I$1:$I$201,ROW()-12))</f>
        <v/>
      </c>
      <c r="Q73" s="48">
        <f t="array" ref="Q73">IF(INDEX(DATOS!$J$1:$J$201,ROW()-12)="","",INDEX(DATOS!$J$1:$J$201,ROW()-12))</f>
        <v/>
      </c>
      <c r="R73" s="49">
        <f t="array" ref="R73">IF(INDEX(DATOS!$P$1:$P$201,ROW()-12)="","",INDEX(DATOS!$P$1:$P$201,ROW()-12))</f>
        <v/>
      </c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8" customHeight="1">
      <c r="A74" s="17" t="n"/>
      <c r="B74" s="42">
        <f t="array" ref="B74">IF(INDEX(DATOS!$A$1:$A$201,ROW()-12)="","",INDEX(DATOS!$A$1:$A$201,ROW()-12))</f>
        <v/>
      </c>
      <c r="C74" s="149">
        <f t="array" ref="C74">IF(INDEX(DATOS!$B$1:$B$201,ROW()-12)="","",INDEX(DATOS!$B$1:$B$201,ROW()-12))</f>
        <v/>
      </c>
      <c r="D74" s="150" t="n"/>
      <c r="E74" s="150" t="n"/>
      <c r="F74" s="150" t="n"/>
      <c r="G74" s="151" t="n"/>
      <c r="H74" s="43">
        <f t="array" ref="H74">IF(INDEX(DATOS!$C$1:$C$201,ROW()-12)="","",INDEX(DATOS!$C$1:$C$201,ROW()-12))</f>
        <v/>
      </c>
      <c r="I74" s="44">
        <f t="array" ref="I74">IF(INDEX(DATOS!$D$1:$D$201,ROW()-12)="","",INDEX(DATOS!$D$1:$D$201,ROW()-12))</f>
        <v/>
      </c>
      <c r="J74" s="45">
        <f t="array" ref="J74">IF(INDEX(DATOS!$M$1:$M$201,ROW()-12)="","",INDEX(DATOS!$M$1:$M$201,ROW()-12))</f>
        <v/>
      </c>
      <c r="K74" s="46">
        <f t="array" ref="K74">IF(INDEX(DATOS!$K$1:$K$201,ROW()-12)="","",INDEX(DATOS!$K$1:$K$201,ROW()-12))</f>
        <v/>
      </c>
      <c r="L74" s="47">
        <f t="array" ref="L74">IF(INDEX(DATOS!$E$1:$E$201,ROW()-12)="","",INDEX(DATOS!$E$1:$E$201,ROW()-12))</f>
        <v/>
      </c>
      <c r="M74" s="47">
        <f t="array" ref="M74">IF(INDEX(DATOS!$F$1:$F$201,ROW()-12)="","",INDEX(DATOS!$F$1:$F$201,ROW()-12))</f>
        <v/>
      </c>
      <c r="N74" s="47">
        <f t="array" ref="N74">IF(INDEX(DATOS!$G$1:$G$201,ROW()-12)="","",INDEX(DATOS!$G$1:$G$201,ROW()-12))</f>
        <v/>
      </c>
      <c r="O74" s="47">
        <f t="array" ref="O74">IF(INDEX(DATOS!$H$1:$H$201,ROW()-12)="","",INDEX(DATOS!$H$1:$H$201,ROW()-12))</f>
        <v/>
      </c>
      <c r="P74" s="47">
        <f t="array" ref="P74">IF(INDEX(DATOS!$I$1:$I$201,ROW()-12)="","",INDEX(DATOS!$I$1:$I$201,ROW()-12))</f>
        <v/>
      </c>
      <c r="Q74" s="48">
        <f t="array" ref="Q74">IF(INDEX(DATOS!$J$1:$J$201,ROW()-12)="","",INDEX(DATOS!$J$1:$J$201,ROW()-12))</f>
        <v/>
      </c>
      <c r="R74" s="49">
        <f t="array" ref="R74">IF(INDEX(DATOS!$P$1:$P$201,ROW()-12)="","",INDEX(DATOS!$P$1:$P$201,ROW()-12))</f>
        <v/>
      </c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8" customHeight="1">
      <c r="A75" s="17" t="n"/>
      <c r="B75" s="42">
        <f t="array" ref="B75">IF(INDEX(DATOS!$A$1:$A$201,ROW()-12)="","",INDEX(DATOS!$A$1:$A$201,ROW()-12))</f>
        <v/>
      </c>
      <c r="C75" s="149">
        <f t="array" ref="C75">IF(INDEX(DATOS!$B$1:$B$201,ROW()-12)="","",INDEX(DATOS!$B$1:$B$201,ROW()-12))</f>
        <v/>
      </c>
      <c r="D75" s="150" t="n"/>
      <c r="E75" s="150" t="n"/>
      <c r="F75" s="150" t="n"/>
      <c r="G75" s="151" t="n"/>
      <c r="H75" s="43">
        <f t="array" ref="H75">IF(INDEX(DATOS!$C$1:$C$201,ROW()-12)="","",INDEX(DATOS!$C$1:$C$201,ROW()-12))</f>
        <v/>
      </c>
      <c r="I75" s="44">
        <f t="array" ref="I75">IF(INDEX(DATOS!$D$1:$D$201,ROW()-12)="","",INDEX(DATOS!$D$1:$D$201,ROW()-12))</f>
        <v/>
      </c>
      <c r="J75" s="45">
        <f t="array" ref="J75">IF(INDEX(DATOS!$M$1:$M$201,ROW()-12)="","",INDEX(DATOS!$M$1:$M$201,ROW()-12))</f>
        <v/>
      </c>
      <c r="K75" s="46">
        <f t="array" ref="K75">IF(INDEX(DATOS!$K$1:$K$201,ROW()-12)="","",INDEX(DATOS!$K$1:$K$201,ROW()-12))</f>
        <v/>
      </c>
      <c r="L75" s="47">
        <f t="array" ref="L75">IF(INDEX(DATOS!$E$1:$E$201,ROW()-12)="","",INDEX(DATOS!$E$1:$E$201,ROW()-12))</f>
        <v/>
      </c>
      <c r="M75" s="47">
        <f t="array" ref="M75">IF(INDEX(DATOS!$F$1:$F$201,ROW()-12)="","",INDEX(DATOS!$F$1:$F$201,ROW()-12))</f>
        <v/>
      </c>
      <c r="N75" s="47">
        <f t="array" ref="N75">IF(INDEX(DATOS!$G$1:$G$201,ROW()-12)="","",INDEX(DATOS!$G$1:$G$201,ROW()-12))</f>
        <v/>
      </c>
      <c r="O75" s="47">
        <f t="array" ref="O75">IF(INDEX(DATOS!$H$1:$H$201,ROW()-12)="","",INDEX(DATOS!$H$1:$H$201,ROW()-12))</f>
        <v/>
      </c>
      <c r="P75" s="47">
        <f t="array" ref="P75">IF(INDEX(DATOS!$I$1:$I$201,ROW()-12)="","",INDEX(DATOS!$I$1:$I$201,ROW()-12))</f>
        <v/>
      </c>
      <c r="Q75" s="48">
        <f t="array" ref="Q75">IF(INDEX(DATOS!$J$1:$J$201,ROW()-12)="","",INDEX(DATOS!$J$1:$J$201,ROW()-12))</f>
        <v/>
      </c>
      <c r="R75" s="49">
        <f t="array" ref="R75">IF(INDEX(DATOS!$P$1:$P$201,ROW()-12)="","",INDEX(DATOS!$P$1:$P$201,ROW()-12))</f>
        <v/>
      </c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8" customHeight="1">
      <c r="A76" s="17" t="n"/>
      <c r="B76" s="42">
        <f t="array" ref="B76">IF(INDEX(DATOS!$A$1:$A$201,ROW()-12)="","",INDEX(DATOS!$A$1:$A$201,ROW()-12))</f>
        <v/>
      </c>
      <c r="C76" s="149">
        <f t="array" ref="C76">IF(INDEX(DATOS!$B$1:$B$201,ROW()-12)="","",INDEX(DATOS!$B$1:$B$201,ROW()-12))</f>
        <v/>
      </c>
      <c r="D76" s="150" t="n"/>
      <c r="E76" s="150" t="n"/>
      <c r="F76" s="150" t="n"/>
      <c r="G76" s="151" t="n"/>
      <c r="H76" s="43">
        <f t="array" ref="H76">IF(INDEX(DATOS!$C$1:$C$201,ROW()-12)="","",INDEX(DATOS!$C$1:$C$201,ROW()-12))</f>
        <v/>
      </c>
      <c r="I76" s="44">
        <f t="array" ref="I76">IF(INDEX(DATOS!$D$1:$D$201,ROW()-12)="","",INDEX(DATOS!$D$1:$D$201,ROW()-12))</f>
        <v/>
      </c>
      <c r="J76" s="45">
        <f t="array" ref="J76">IF(INDEX(DATOS!$M$1:$M$201,ROW()-12)="","",INDEX(DATOS!$M$1:$M$201,ROW()-12))</f>
        <v/>
      </c>
      <c r="K76" s="46">
        <f t="array" ref="K76">IF(INDEX(DATOS!$K$1:$K$201,ROW()-12)="","",INDEX(DATOS!$K$1:$K$201,ROW()-12))</f>
        <v/>
      </c>
      <c r="L76" s="47">
        <f t="array" ref="L76">IF(INDEX(DATOS!$E$1:$E$201,ROW()-12)="","",INDEX(DATOS!$E$1:$E$201,ROW()-12))</f>
        <v/>
      </c>
      <c r="M76" s="47">
        <f t="array" ref="M76">IF(INDEX(DATOS!$F$1:$F$201,ROW()-12)="","",INDEX(DATOS!$F$1:$F$201,ROW()-12))</f>
        <v/>
      </c>
      <c r="N76" s="47">
        <f t="array" ref="N76">IF(INDEX(DATOS!$G$1:$G$201,ROW()-12)="","",INDEX(DATOS!$G$1:$G$201,ROW()-12))</f>
        <v/>
      </c>
      <c r="O76" s="47">
        <f t="array" ref="O76">IF(INDEX(DATOS!$H$1:$H$201,ROW()-12)="","",INDEX(DATOS!$H$1:$H$201,ROW()-12))</f>
        <v/>
      </c>
      <c r="P76" s="47">
        <f t="array" ref="P76">IF(INDEX(DATOS!$I$1:$I$201,ROW()-12)="","",INDEX(DATOS!$I$1:$I$201,ROW()-12))</f>
        <v/>
      </c>
      <c r="Q76" s="48">
        <f t="array" ref="Q76">IF(INDEX(DATOS!$J$1:$J$201,ROW()-12)="","",INDEX(DATOS!$J$1:$J$201,ROW()-12))</f>
        <v/>
      </c>
      <c r="R76" s="49">
        <f t="array" ref="R76">IF(INDEX(DATOS!$P$1:$P$201,ROW()-12)="","",INDEX(DATOS!$P$1:$P$201,ROW()-12))</f>
        <v/>
      </c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8" customHeight="1">
      <c r="A77" s="17" t="n"/>
      <c r="B77" s="42">
        <f t="array" ref="B77">IF(INDEX(DATOS!$A$1:$A$201,ROW()-12)="","",INDEX(DATOS!$A$1:$A$201,ROW()-12))</f>
        <v/>
      </c>
      <c r="C77" s="149">
        <f t="array" ref="C77">IF(INDEX(DATOS!$B$1:$B$201,ROW()-12)="","",INDEX(DATOS!$B$1:$B$201,ROW()-12))</f>
        <v/>
      </c>
      <c r="D77" s="150" t="n"/>
      <c r="E77" s="150" t="n"/>
      <c r="F77" s="150" t="n"/>
      <c r="G77" s="151" t="n"/>
      <c r="H77" s="43">
        <f t="array" ref="H77">IF(INDEX(DATOS!$C$1:$C$201,ROW()-12)="","",INDEX(DATOS!$C$1:$C$201,ROW()-12))</f>
        <v/>
      </c>
      <c r="I77" s="44">
        <f t="array" ref="I77">IF(INDEX(DATOS!$D$1:$D$201,ROW()-12)="","",INDEX(DATOS!$D$1:$D$201,ROW()-12))</f>
        <v/>
      </c>
      <c r="J77" s="45">
        <f t="array" ref="J77">IF(INDEX(DATOS!$M$1:$M$201,ROW()-12)="","",INDEX(DATOS!$M$1:$M$201,ROW()-12))</f>
        <v/>
      </c>
      <c r="K77" s="46">
        <f t="array" ref="K77">IF(INDEX(DATOS!$K$1:$K$201,ROW()-12)="","",INDEX(DATOS!$K$1:$K$201,ROW()-12))</f>
        <v/>
      </c>
      <c r="L77" s="47">
        <f t="array" ref="L77">IF(INDEX(DATOS!$E$1:$E$201,ROW()-12)="","",INDEX(DATOS!$E$1:$E$201,ROW()-12))</f>
        <v/>
      </c>
      <c r="M77" s="47">
        <f t="array" ref="M77">IF(INDEX(DATOS!$F$1:$F$201,ROW()-12)="","",INDEX(DATOS!$F$1:$F$201,ROW()-12))</f>
        <v/>
      </c>
      <c r="N77" s="47">
        <f t="array" ref="N77">IF(INDEX(DATOS!$G$1:$G$201,ROW()-12)="","",INDEX(DATOS!$G$1:$G$201,ROW()-12))</f>
        <v/>
      </c>
      <c r="O77" s="47">
        <f t="array" ref="O77">IF(INDEX(DATOS!$H$1:$H$201,ROW()-12)="","",INDEX(DATOS!$H$1:$H$201,ROW()-12))</f>
        <v/>
      </c>
      <c r="P77" s="47">
        <f t="array" ref="P77">IF(INDEX(DATOS!$I$1:$I$201,ROW()-12)="","",INDEX(DATOS!$I$1:$I$201,ROW()-12))</f>
        <v/>
      </c>
      <c r="Q77" s="48">
        <f t="array" ref="Q77">IF(INDEX(DATOS!$J$1:$J$201,ROW()-12)="","",INDEX(DATOS!$J$1:$J$201,ROW()-12))</f>
        <v/>
      </c>
      <c r="R77" s="49">
        <f t="array" ref="R77">IF(INDEX(DATOS!$P$1:$P$201,ROW()-12)="","",INDEX(DATOS!$P$1:$P$201,ROW()-12))</f>
        <v/>
      </c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8" customHeight="1">
      <c r="A78" s="17" t="n"/>
      <c r="B78" s="42">
        <f t="array" ref="B78">IF(INDEX(DATOS!$A$1:$A$201,ROW()-12)="","",INDEX(DATOS!$A$1:$A$201,ROW()-12))</f>
        <v/>
      </c>
      <c r="C78" s="149">
        <f t="array" ref="C78">IF(INDEX(DATOS!$B$1:$B$201,ROW()-12)="","",INDEX(DATOS!$B$1:$B$201,ROW()-12))</f>
        <v/>
      </c>
      <c r="D78" s="150" t="n"/>
      <c r="E78" s="150" t="n"/>
      <c r="F78" s="150" t="n"/>
      <c r="G78" s="151" t="n"/>
      <c r="H78" s="43">
        <f t="array" ref="H78">IF(INDEX(DATOS!$C$1:$C$201,ROW()-12)="","",INDEX(DATOS!$C$1:$C$201,ROW()-12))</f>
        <v/>
      </c>
      <c r="I78" s="44">
        <f t="array" ref="I78">IF(INDEX(DATOS!$D$1:$D$201,ROW()-12)="","",INDEX(DATOS!$D$1:$D$201,ROW()-12))</f>
        <v/>
      </c>
      <c r="J78" s="45">
        <f t="array" ref="J78">IF(INDEX(DATOS!$M$1:$M$201,ROW()-12)="","",INDEX(DATOS!$M$1:$M$201,ROW()-12))</f>
        <v/>
      </c>
      <c r="K78" s="46">
        <f t="array" ref="K78">IF(INDEX(DATOS!$K$1:$K$201,ROW()-12)="","",INDEX(DATOS!$K$1:$K$201,ROW()-12))</f>
        <v/>
      </c>
      <c r="L78" s="47">
        <f t="array" ref="L78">IF(INDEX(DATOS!$E$1:$E$201,ROW()-12)="","",INDEX(DATOS!$E$1:$E$201,ROW()-12))</f>
        <v/>
      </c>
      <c r="M78" s="47">
        <f t="array" ref="M78">IF(INDEX(DATOS!$F$1:$F$201,ROW()-12)="","",INDEX(DATOS!$F$1:$F$201,ROW()-12))</f>
        <v/>
      </c>
      <c r="N78" s="47">
        <f t="array" ref="N78">IF(INDEX(DATOS!$G$1:$G$201,ROW()-12)="","",INDEX(DATOS!$G$1:$G$201,ROW()-12))</f>
        <v/>
      </c>
      <c r="O78" s="47">
        <f t="array" ref="O78">IF(INDEX(DATOS!$H$1:$H$201,ROW()-12)="","",INDEX(DATOS!$H$1:$H$201,ROW()-12))</f>
        <v/>
      </c>
      <c r="P78" s="47">
        <f t="array" ref="P78">IF(INDEX(DATOS!$I$1:$I$201,ROW()-12)="","",INDEX(DATOS!$I$1:$I$201,ROW()-12))</f>
        <v/>
      </c>
      <c r="Q78" s="48">
        <f t="array" ref="Q78">IF(INDEX(DATOS!$J$1:$J$201,ROW()-12)="","",INDEX(DATOS!$J$1:$J$201,ROW()-12))</f>
        <v/>
      </c>
      <c r="R78" s="49">
        <f t="array" ref="R78">IF(INDEX(DATOS!$P$1:$P$201,ROW()-12)="","",INDEX(DATOS!$P$1:$P$201,ROW()-12))</f>
        <v/>
      </c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8" customHeight="1">
      <c r="A79" s="17" t="n"/>
      <c r="B79" s="42">
        <f t="array" ref="B79">IF(INDEX(DATOS!$A$1:$A$201,ROW()-12)="","",INDEX(DATOS!$A$1:$A$201,ROW()-12))</f>
        <v/>
      </c>
      <c r="C79" s="149">
        <f t="array" ref="C79">IF(INDEX(DATOS!$B$1:$B$201,ROW()-12)="","",INDEX(DATOS!$B$1:$B$201,ROW()-12))</f>
        <v/>
      </c>
      <c r="D79" s="150" t="n"/>
      <c r="E79" s="150" t="n"/>
      <c r="F79" s="150" t="n"/>
      <c r="G79" s="151" t="n"/>
      <c r="H79" s="43">
        <f t="array" ref="H79">IF(INDEX(DATOS!$C$1:$C$201,ROW()-12)="","",INDEX(DATOS!$C$1:$C$201,ROW()-12))</f>
        <v/>
      </c>
      <c r="I79" s="44">
        <f t="array" ref="I79">IF(INDEX(DATOS!$D$1:$D$201,ROW()-12)="","",INDEX(DATOS!$D$1:$D$201,ROW()-12))</f>
        <v/>
      </c>
      <c r="J79" s="45">
        <f t="array" ref="J79">IF(INDEX(DATOS!$M$1:$M$201,ROW()-12)="","",INDEX(DATOS!$M$1:$M$201,ROW()-12))</f>
        <v/>
      </c>
      <c r="K79" s="46">
        <f t="array" ref="K79">IF(INDEX(DATOS!$K$1:$K$201,ROW()-12)="","",INDEX(DATOS!$K$1:$K$201,ROW()-12))</f>
        <v/>
      </c>
      <c r="L79" s="47">
        <f t="array" ref="L79">IF(INDEX(DATOS!$E$1:$E$201,ROW()-12)="","",INDEX(DATOS!$E$1:$E$201,ROW()-12))</f>
        <v/>
      </c>
      <c r="M79" s="47">
        <f t="array" ref="M79">IF(INDEX(DATOS!$F$1:$F$201,ROW()-12)="","",INDEX(DATOS!$F$1:$F$201,ROW()-12))</f>
        <v/>
      </c>
      <c r="N79" s="47">
        <f t="array" ref="N79">IF(INDEX(DATOS!$G$1:$G$201,ROW()-12)="","",INDEX(DATOS!$G$1:$G$201,ROW()-12))</f>
        <v/>
      </c>
      <c r="O79" s="47">
        <f t="array" ref="O79">IF(INDEX(DATOS!$H$1:$H$201,ROW()-12)="","",INDEX(DATOS!$H$1:$H$201,ROW()-12))</f>
        <v/>
      </c>
      <c r="P79" s="47">
        <f t="array" ref="P79">IF(INDEX(DATOS!$I$1:$I$201,ROW()-12)="","",INDEX(DATOS!$I$1:$I$201,ROW()-12))</f>
        <v/>
      </c>
      <c r="Q79" s="48">
        <f t="array" ref="Q79">IF(INDEX(DATOS!$J$1:$J$201,ROW()-12)="","",INDEX(DATOS!$J$1:$J$201,ROW()-12))</f>
        <v/>
      </c>
      <c r="R79" s="49">
        <f t="array" ref="R79">IF(INDEX(DATOS!$P$1:$P$201,ROW()-12)="","",INDEX(DATOS!$P$1:$P$201,ROW()-12))</f>
        <v/>
      </c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8" customHeight="1">
      <c r="A80" s="17" t="n"/>
      <c r="B80" s="42">
        <f t="array" ref="B80">IF(INDEX(DATOS!$A$1:$A$201,ROW()-12)="","",INDEX(DATOS!$A$1:$A$201,ROW()-12))</f>
        <v/>
      </c>
      <c r="C80" s="149">
        <f t="array" ref="C80">IF(INDEX(DATOS!$B$1:$B$201,ROW()-12)="","",INDEX(DATOS!$B$1:$B$201,ROW()-12))</f>
        <v/>
      </c>
      <c r="D80" s="150" t="n"/>
      <c r="E80" s="150" t="n"/>
      <c r="F80" s="150" t="n"/>
      <c r="G80" s="151" t="n"/>
      <c r="H80" s="43">
        <f t="array" ref="H80">IF(INDEX(DATOS!$C$1:$C$201,ROW()-12)="","",INDEX(DATOS!$C$1:$C$201,ROW()-12))</f>
        <v/>
      </c>
      <c r="I80" s="44">
        <f t="array" ref="I80">IF(INDEX(DATOS!$D$1:$D$201,ROW()-12)="","",INDEX(DATOS!$D$1:$D$201,ROW()-12))</f>
        <v/>
      </c>
      <c r="J80" s="45">
        <f t="array" ref="J80">IF(INDEX(DATOS!$M$1:$M$201,ROW()-12)="","",INDEX(DATOS!$M$1:$M$201,ROW()-12))</f>
        <v/>
      </c>
      <c r="K80" s="46">
        <f t="array" ref="K80">IF(INDEX(DATOS!$K$1:$K$201,ROW()-12)="","",INDEX(DATOS!$K$1:$K$201,ROW()-12))</f>
        <v/>
      </c>
      <c r="L80" s="47">
        <f t="array" ref="L80">IF(INDEX(DATOS!$E$1:$E$201,ROW()-12)="","",INDEX(DATOS!$E$1:$E$201,ROW()-12))</f>
        <v/>
      </c>
      <c r="M80" s="47">
        <f t="array" ref="M80">IF(INDEX(DATOS!$F$1:$F$201,ROW()-12)="","",INDEX(DATOS!$F$1:$F$201,ROW()-12))</f>
        <v/>
      </c>
      <c r="N80" s="47">
        <f t="array" ref="N80">IF(INDEX(DATOS!$G$1:$G$201,ROW()-12)="","",INDEX(DATOS!$G$1:$G$201,ROW()-12))</f>
        <v/>
      </c>
      <c r="O80" s="47">
        <f t="array" ref="O80">IF(INDEX(DATOS!$H$1:$H$201,ROW()-12)="","",INDEX(DATOS!$H$1:$H$201,ROW()-12))</f>
        <v/>
      </c>
      <c r="P80" s="47">
        <f t="array" ref="P80">IF(INDEX(DATOS!$I$1:$I$201,ROW()-12)="","",INDEX(DATOS!$I$1:$I$201,ROW()-12))</f>
        <v/>
      </c>
      <c r="Q80" s="48">
        <f t="array" ref="Q80">IF(INDEX(DATOS!$J$1:$J$201,ROW()-12)="","",INDEX(DATOS!$J$1:$J$201,ROW()-12))</f>
        <v/>
      </c>
      <c r="R80" s="49">
        <f t="array" ref="R80">IF(INDEX(DATOS!$P$1:$P$201,ROW()-12)="","",INDEX(DATOS!$P$1:$P$201,ROW()-12))</f>
        <v/>
      </c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8" customHeight="1">
      <c r="A81" s="17" t="n"/>
      <c r="B81" s="42">
        <f t="array" ref="B81">IF(INDEX(DATOS!$A$1:$A$201,ROW()-12)="","",INDEX(DATOS!$A$1:$A$201,ROW()-12))</f>
        <v/>
      </c>
      <c r="C81" s="149">
        <f t="array" ref="C81">IF(INDEX(DATOS!$B$1:$B$201,ROW()-12)="","",INDEX(DATOS!$B$1:$B$201,ROW()-12))</f>
        <v/>
      </c>
      <c r="D81" s="150" t="n"/>
      <c r="E81" s="150" t="n"/>
      <c r="F81" s="150" t="n"/>
      <c r="G81" s="151" t="n"/>
      <c r="H81" s="43">
        <f t="array" ref="H81">IF(INDEX(DATOS!$C$1:$C$201,ROW()-12)="","",INDEX(DATOS!$C$1:$C$201,ROW()-12))</f>
        <v/>
      </c>
      <c r="I81" s="44">
        <f t="array" ref="I81">IF(INDEX(DATOS!$D$1:$D$201,ROW()-12)="","",INDEX(DATOS!$D$1:$D$201,ROW()-12))</f>
        <v/>
      </c>
      <c r="J81" s="45">
        <f t="array" ref="J81">IF(INDEX(DATOS!$M$1:$M$201,ROW()-12)="","",INDEX(DATOS!$M$1:$M$201,ROW()-12))</f>
        <v/>
      </c>
      <c r="K81" s="46">
        <f t="array" ref="K81">IF(INDEX(DATOS!$K$1:$K$201,ROW()-12)="","",INDEX(DATOS!$K$1:$K$201,ROW()-12))</f>
        <v/>
      </c>
      <c r="L81" s="47">
        <f t="array" ref="L81">IF(INDEX(DATOS!$E$1:$E$201,ROW()-12)="","",INDEX(DATOS!$E$1:$E$201,ROW()-12))</f>
        <v/>
      </c>
      <c r="M81" s="47">
        <f t="array" ref="M81">IF(INDEX(DATOS!$F$1:$F$201,ROW()-12)="","",INDEX(DATOS!$F$1:$F$201,ROW()-12))</f>
        <v/>
      </c>
      <c r="N81" s="47">
        <f t="array" ref="N81">IF(INDEX(DATOS!$G$1:$G$201,ROW()-12)="","",INDEX(DATOS!$G$1:$G$201,ROW()-12))</f>
        <v/>
      </c>
      <c r="O81" s="47">
        <f t="array" ref="O81">IF(INDEX(DATOS!$H$1:$H$201,ROW()-12)="","",INDEX(DATOS!$H$1:$H$201,ROW()-12))</f>
        <v/>
      </c>
      <c r="P81" s="47">
        <f t="array" ref="P81">IF(INDEX(DATOS!$I$1:$I$201,ROW()-12)="","",INDEX(DATOS!$I$1:$I$201,ROW()-12))</f>
        <v/>
      </c>
      <c r="Q81" s="48">
        <f t="array" ref="Q81">IF(INDEX(DATOS!$J$1:$J$201,ROW()-12)="","",INDEX(DATOS!$J$1:$J$201,ROW()-12))</f>
        <v/>
      </c>
      <c r="R81" s="49">
        <f t="array" ref="R81">IF(INDEX(DATOS!$P$1:$P$201,ROW()-12)="","",INDEX(DATOS!$P$1:$P$201,ROW()-12))</f>
        <v/>
      </c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8" customHeight="1">
      <c r="A82" s="17" t="n"/>
      <c r="B82" s="42">
        <f t="array" ref="B82">IF(INDEX(DATOS!$A$1:$A$201,ROW()-12)="","",INDEX(DATOS!$A$1:$A$201,ROW()-12))</f>
        <v/>
      </c>
      <c r="C82" s="149">
        <f t="array" ref="C82">IF(INDEX(DATOS!$B$1:$B$201,ROW()-12)="","",INDEX(DATOS!$B$1:$B$201,ROW()-12))</f>
        <v/>
      </c>
      <c r="D82" s="150" t="n"/>
      <c r="E82" s="150" t="n"/>
      <c r="F82" s="150" t="n"/>
      <c r="G82" s="151" t="n"/>
      <c r="H82" s="43">
        <f t="array" ref="H82">IF(INDEX(DATOS!$C$1:$C$201,ROW()-12)="","",INDEX(DATOS!$C$1:$C$201,ROW()-12))</f>
        <v/>
      </c>
      <c r="I82" s="44">
        <f t="array" ref="I82">IF(INDEX(DATOS!$D$1:$D$201,ROW()-12)="","",INDEX(DATOS!$D$1:$D$201,ROW()-12))</f>
        <v/>
      </c>
      <c r="J82" s="45">
        <f t="array" ref="J82">IF(INDEX(DATOS!$M$1:$M$201,ROW()-12)="","",INDEX(DATOS!$M$1:$M$201,ROW()-12))</f>
        <v/>
      </c>
      <c r="K82" s="46">
        <f t="array" ref="K82">IF(INDEX(DATOS!$K$1:$K$201,ROW()-12)="","",INDEX(DATOS!$K$1:$K$201,ROW()-12))</f>
        <v/>
      </c>
      <c r="L82" s="47">
        <f t="array" ref="L82">IF(INDEX(DATOS!$E$1:$E$201,ROW()-12)="","",INDEX(DATOS!$E$1:$E$201,ROW()-12))</f>
        <v/>
      </c>
      <c r="M82" s="47">
        <f t="array" ref="M82">IF(INDEX(DATOS!$F$1:$F$201,ROW()-12)="","",INDEX(DATOS!$F$1:$F$201,ROW()-12))</f>
        <v/>
      </c>
      <c r="N82" s="47">
        <f t="array" ref="N82">IF(INDEX(DATOS!$G$1:$G$201,ROW()-12)="","",INDEX(DATOS!$G$1:$G$201,ROW()-12))</f>
        <v/>
      </c>
      <c r="O82" s="47">
        <f t="array" ref="O82">IF(INDEX(DATOS!$H$1:$H$201,ROW()-12)="","",INDEX(DATOS!$H$1:$H$201,ROW()-12))</f>
        <v/>
      </c>
      <c r="P82" s="47">
        <f t="array" ref="P82">IF(INDEX(DATOS!$I$1:$I$201,ROW()-12)="","",INDEX(DATOS!$I$1:$I$201,ROW()-12))</f>
        <v/>
      </c>
      <c r="Q82" s="48">
        <f t="array" ref="Q82">IF(INDEX(DATOS!$J$1:$J$201,ROW()-12)="","",INDEX(DATOS!$J$1:$J$201,ROW()-12))</f>
        <v/>
      </c>
      <c r="R82" s="49">
        <f t="array" ref="R82">IF(INDEX(DATOS!$P$1:$P$201,ROW()-12)="","",INDEX(DATOS!$P$1:$P$201,ROW()-12))</f>
        <v/>
      </c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8" customHeight="1">
      <c r="A83" s="17" t="n"/>
      <c r="B83" s="42">
        <f t="array" ref="B83">IF(INDEX(DATOS!$A$1:$A$201,ROW()-12)="","",INDEX(DATOS!$A$1:$A$201,ROW()-12))</f>
        <v/>
      </c>
      <c r="C83" s="149">
        <f t="array" ref="C83">IF(INDEX(DATOS!$B$1:$B$201,ROW()-12)="","",INDEX(DATOS!$B$1:$B$201,ROW()-12))</f>
        <v/>
      </c>
      <c r="D83" s="150" t="n"/>
      <c r="E83" s="150" t="n"/>
      <c r="F83" s="150" t="n"/>
      <c r="G83" s="151" t="n"/>
      <c r="H83" s="43">
        <f t="array" ref="H83">IF(INDEX(DATOS!$C$1:$C$201,ROW()-12)="","",INDEX(DATOS!$C$1:$C$201,ROW()-12))</f>
        <v/>
      </c>
      <c r="I83" s="44">
        <f t="array" ref="I83">IF(INDEX(DATOS!$D$1:$D$201,ROW()-12)="","",INDEX(DATOS!$D$1:$D$201,ROW()-12))</f>
        <v/>
      </c>
      <c r="J83" s="45">
        <f t="array" ref="J83">IF(INDEX(DATOS!$M$1:$M$201,ROW()-12)="","",INDEX(DATOS!$M$1:$M$201,ROW()-12))</f>
        <v/>
      </c>
      <c r="K83" s="46">
        <f t="array" ref="K83">IF(INDEX(DATOS!$K$1:$K$201,ROW()-12)="","",INDEX(DATOS!$K$1:$K$201,ROW()-12))</f>
        <v/>
      </c>
      <c r="L83" s="47">
        <f t="array" ref="L83">IF(INDEX(DATOS!$E$1:$E$201,ROW()-12)="","",INDEX(DATOS!$E$1:$E$201,ROW()-12))</f>
        <v/>
      </c>
      <c r="M83" s="47">
        <f t="array" ref="M83">IF(INDEX(DATOS!$F$1:$F$201,ROW()-12)="","",INDEX(DATOS!$F$1:$F$201,ROW()-12))</f>
        <v/>
      </c>
      <c r="N83" s="47">
        <f t="array" ref="N83">IF(INDEX(DATOS!$G$1:$G$201,ROW()-12)="","",INDEX(DATOS!$G$1:$G$201,ROW()-12))</f>
        <v/>
      </c>
      <c r="O83" s="47">
        <f t="array" ref="O83">IF(INDEX(DATOS!$H$1:$H$201,ROW()-12)="","",INDEX(DATOS!$H$1:$H$201,ROW()-12))</f>
        <v/>
      </c>
      <c r="P83" s="47">
        <f t="array" ref="P83">IF(INDEX(DATOS!$I$1:$I$201,ROW()-12)="","",INDEX(DATOS!$I$1:$I$201,ROW()-12))</f>
        <v/>
      </c>
      <c r="Q83" s="48">
        <f t="array" ref="Q83">IF(INDEX(DATOS!$J$1:$J$201,ROW()-12)="","",INDEX(DATOS!$J$1:$J$201,ROW()-12))</f>
        <v/>
      </c>
      <c r="R83" s="49">
        <f t="array" ref="R83">IF(INDEX(DATOS!$P$1:$P$201,ROW()-12)="","",INDEX(DATOS!$P$1:$P$201,ROW()-12))</f>
        <v/>
      </c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8" customHeight="1">
      <c r="A84" s="17" t="n"/>
      <c r="B84" s="42">
        <f t="array" ref="B84">IF(INDEX(DATOS!$A$1:$A$201,ROW()-12)="","",INDEX(DATOS!$A$1:$A$201,ROW()-12))</f>
        <v/>
      </c>
      <c r="C84" s="149">
        <f t="array" ref="C84">IF(INDEX(DATOS!$B$1:$B$201,ROW()-12)="","",INDEX(DATOS!$B$1:$B$201,ROW()-12))</f>
        <v/>
      </c>
      <c r="D84" s="150" t="n"/>
      <c r="E84" s="150" t="n"/>
      <c r="F84" s="150" t="n"/>
      <c r="G84" s="151" t="n"/>
      <c r="H84" s="43">
        <f t="array" ref="H84">IF(INDEX(DATOS!$C$1:$C$201,ROW()-12)="","",INDEX(DATOS!$C$1:$C$201,ROW()-12))</f>
        <v/>
      </c>
      <c r="I84" s="44">
        <f t="array" ref="I84">IF(INDEX(DATOS!$D$1:$D$201,ROW()-12)="","",INDEX(DATOS!$D$1:$D$201,ROW()-12))</f>
        <v/>
      </c>
      <c r="J84" s="45">
        <f t="array" ref="J84">IF(INDEX(DATOS!$M$1:$M$201,ROW()-12)="","",INDEX(DATOS!$M$1:$M$201,ROW()-12))</f>
        <v/>
      </c>
      <c r="K84" s="46">
        <f t="array" ref="K84">IF(INDEX(DATOS!$K$1:$K$201,ROW()-12)="","",INDEX(DATOS!$K$1:$K$201,ROW()-12))</f>
        <v/>
      </c>
      <c r="L84" s="47">
        <f t="array" ref="L84">IF(INDEX(DATOS!$E$1:$E$201,ROW()-12)="","",INDEX(DATOS!$E$1:$E$201,ROW()-12))</f>
        <v/>
      </c>
      <c r="M84" s="47">
        <f t="array" ref="M84">IF(INDEX(DATOS!$F$1:$F$201,ROW()-12)="","",INDEX(DATOS!$F$1:$F$201,ROW()-12))</f>
        <v/>
      </c>
      <c r="N84" s="47">
        <f t="array" ref="N84">IF(INDEX(DATOS!$G$1:$G$201,ROW()-12)="","",INDEX(DATOS!$G$1:$G$201,ROW()-12))</f>
        <v/>
      </c>
      <c r="O84" s="47">
        <f t="array" ref="O84">IF(INDEX(DATOS!$H$1:$H$201,ROW()-12)="","",INDEX(DATOS!$H$1:$H$201,ROW()-12))</f>
        <v/>
      </c>
      <c r="P84" s="47">
        <f t="array" ref="P84">IF(INDEX(DATOS!$I$1:$I$201,ROW()-12)="","",INDEX(DATOS!$I$1:$I$201,ROW()-12))</f>
        <v/>
      </c>
      <c r="Q84" s="48">
        <f t="array" ref="Q84">IF(INDEX(DATOS!$J$1:$J$201,ROW()-12)="","",INDEX(DATOS!$J$1:$J$201,ROW()-12))</f>
        <v/>
      </c>
      <c r="R84" s="49">
        <f t="array" ref="R84">IF(INDEX(DATOS!$P$1:$P$201,ROW()-12)="","",INDEX(DATOS!$P$1:$P$201,ROW()-12))</f>
        <v/>
      </c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8" customHeight="1">
      <c r="A85" s="17" t="n"/>
      <c r="B85" s="42">
        <f t="array" ref="B85">IF(INDEX(DATOS!$A$1:$A$201,ROW()-12)="","",INDEX(DATOS!$A$1:$A$201,ROW()-12))</f>
        <v/>
      </c>
      <c r="C85" s="149">
        <f t="array" ref="C85">IF(INDEX(DATOS!$B$1:$B$201,ROW()-12)="","",INDEX(DATOS!$B$1:$B$201,ROW()-12))</f>
        <v/>
      </c>
      <c r="D85" s="150" t="n"/>
      <c r="E85" s="150" t="n"/>
      <c r="F85" s="150" t="n"/>
      <c r="G85" s="151" t="n"/>
      <c r="H85" s="43">
        <f t="array" ref="H85">IF(INDEX(DATOS!$C$1:$C$201,ROW()-12)="","",INDEX(DATOS!$C$1:$C$201,ROW()-12))</f>
        <v/>
      </c>
      <c r="I85" s="44">
        <f t="array" ref="I85">IF(INDEX(DATOS!$D$1:$D$201,ROW()-12)="","",INDEX(DATOS!$D$1:$D$201,ROW()-12))</f>
        <v/>
      </c>
      <c r="J85" s="45">
        <f t="array" ref="J85">IF(INDEX(DATOS!$M$1:$M$201,ROW()-12)="","",INDEX(DATOS!$M$1:$M$201,ROW()-12))</f>
        <v/>
      </c>
      <c r="K85" s="46">
        <f t="array" ref="K85">IF(INDEX(DATOS!$K$1:$K$201,ROW()-12)="","",INDEX(DATOS!$K$1:$K$201,ROW()-12))</f>
        <v/>
      </c>
      <c r="L85" s="47">
        <f t="array" ref="L85">IF(INDEX(DATOS!$E$1:$E$201,ROW()-12)="","",INDEX(DATOS!$E$1:$E$201,ROW()-12))</f>
        <v/>
      </c>
      <c r="M85" s="47">
        <f t="array" ref="M85">IF(INDEX(DATOS!$F$1:$F$201,ROW()-12)="","",INDEX(DATOS!$F$1:$F$201,ROW()-12))</f>
        <v/>
      </c>
      <c r="N85" s="47">
        <f t="array" ref="N85">IF(INDEX(DATOS!$G$1:$G$201,ROW()-12)="","",INDEX(DATOS!$G$1:$G$201,ROW()-12))</f>
        <v/>
      </c>
      <c r="O85" s="47">
        <f t="array" ref="O85">IF(INDEX(DATOS!$H$1:$H$201,ROW()-12)="","",INDEX(DATOS!$H$1:$H$201,ROW()-12))</f>
        <v/>
      </c>
      <c r="P85" s="47">
        <f t="array" ref="P85">IF(INDEX(DATOS!$I$1:$I$201,ROW()-12)="","",INDEX(DATOS!$I$1:$I$201,ROW()-12))</f>
        <v/>
      </c>
      <c r="Q85" s="48">
        <f t="array" ref="Q85">IF(INDEX(DATOS!$J$1:$J$201,ROW()-12)="","",INDEX(DATOS!$J$1:$J$201,ROW()-12))</f>
        <v/>
      </c>
      <c r="R85" s="49">
        <f t="array" ref="R85">IF(INDEX(DATOS!$P$1:$P$201,ROW()-12)="","",INDEX(DATOS!$P$1:$P$201,ROW()-12))</f>
        <v/>
      </c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8" customHeight="1">
      <c r="A86" s="17" t="n"/>
      <c r="B86" s="42">
        <f t="array" ref="B86">IF(INDEX(DATOS!$A$1:$A$201,ROW()-12)="","",INDEX(DATOS!$A$1:$A$201,ROW()-12))</f>
        <v/>
      </c>
      <c r="C86" s="149">
        <f t="array" ref="C86">IF(INDEX(DATOS!$B$1:$B$201,ROW()-12)="","",INDEX(DATOS!$B$1:$B$201,ROW()-12))</f>
        <v/>
      </c>
      <c r="D86" s="150" t="n"/>
      <c r="E86" s="150" t="n"/>
      <c r="F86" s="150" t="n"/>
      <c r="G86" s="151" t="n"/>
      <c r="H86" s="43">
        <f t="array" ref="H86">IF(INDEX(DATOS!$C$1:$C$201,ROW()-12)="","",INDEX(DATOS!$C$1:$C$201,ROW()-12))</f>
        <v/>
      </c>
      <c r="I86" s="44">
        <f t="array" ref="I86">IF(INDEX(DATOS!$D$1:$D$201,ROW()-12)="","",INDEX(DATOS!$D$1:$D$201,ROW()-12))</f>
        <v/>
      </c>
      <c r="J86" s="45">
        <f t="array" ref="J86">IF(INDEX(DATOS!$M$1:$M$201,ROW()-12)="","",INDEX(DATOS!$M$1:$M$201,ROW()-12))</f>
        <v/>
      </c>
      <c r="K86" s="46">
        <f t="array" ref="K86">IF(INDEX(DATOS!$K$1:$K$201,ROW()-12)="","",INDEX(DATOS!$K$1:$K$201,ROW()-12))</f>
        <v/>
      </c>
      <c r="L86" s="47">
        <f t="array" ref="L86">IF(INDEX(DATOS!$E$1:$E$201,ROW()-12)="","",INDEX(DATOS!$E$1:$E$201,ROW()-12))</f>
        <v/>
      </c>
      <c r="M86" s="47">
        <f t="array" ref="M86">IF(INDEX(DATOS!$F$1:$F$201,ROW()-12)="","",INDEX(DATOS!$F$1:$F$201,ROW()-12))</f>
        <v/>
      </c>
      <c r="N86" s="47">
        <f t="array" ref="N86">IF(INDEX(DATOS!$G$1:$G$201,ROW()-12)="","",INDEX(DATOS!$G$1:$G$201,ROW()-12))</f>
        <v/>
      </c>
      <c r="O86" s="47">
        <f t="array" ref="O86">IF(INDEX(DATOS!$H$1:$H$201,ROW()-12)="","",INDEX(DATOS!$H$1:$H$201,ROW()-12))</f>
        <v/>
      </c>
      <c r="P86" s="47">
        <f t="array" ref="P86">IF(INDEX(DATOS!$I$1:$I$201,ROW()-12)="","",INDEX(DATOS!$I$1:$I$201,ROW()-12))</f>
        <v/>
      </c>
      <c r="Q86" s="48">
        <f t="array" ref="Q86">IF(INDEX(DATOS!$J$1:$J$201,ROW()-12)="","",INDEX(DATOS!$J$1:$J$201,ROW()-12))</f>
        <v/>
      </c>
      <c r="R86" s="49">
        <f t="array" ref="R86">IF(INDEX(DATOS!$P$1:$P$201,ROW()-12)="","",INDEX(DATOS!$P$1:$P$201,ROW()-12))</f>
        <v/>
      </c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8" customHeight="1">
      <c r="A87" s="17" t="n"/>
      <c r="B87" s="42">
        <f t="array" ref="B87">IF(INDEX(DATOS!$A$1:$A$201,ROW()-12)="","",INDEX(DATOS!$A$1:$A$201,ROW()-12))</f>
        <v/>
      </c>
      <c r="C87" s="149">
        <f t="array" ref="C87">IF(INDEX(DATOS!$B$1:$B$201,ROW()-12)="","",INDEX(DATOS!$B$1:$B$201,ROW()-12))</f>
        <v/>
      </c>
      <c r="D87" s="150" t="n"/>
      <c r="E87" s="150" t="n"/>
      <c r="F87" s="150" t="n"/>
      <c r="G87" s="151" t="n"/>
      <c r="H87" s="43">
        <f t="array" ref="H87">IF(INDEX(DATOS!$C$1:$C$201,ROW()-12)="","",INDEX(DATOS!$C$1:$C$201,ROW()-12))</f>
        <v/>
      </c>
      <c r="I87" s="44">
        <f t="array" ref="I87">IF(INDEX(DATOS!$D$1:$D$201,ROW()-12)="","",INDEX(DATOS!$D$1:$D$201,ROW()-12))</f>
        <v/>
      </c>
      <c r="J87" s="45">
        <f t="array" ref="J87">IF(INDEX(DATOS!$M$1:$M$201,ROW()-12)="","",INDEX(DATOS!$M$1:$M$201,ROW()-12))</f>
        <v/>
      </c>
      <c r="K87" s="46">
        <f t="array" ref="K87">IF(INDEX(DATOS!$K$1:$K$201,ROW()-12)="","",INDEX(DATOS!$K$1:$K$201,ROW()-12))</f>
        <v/>
      </c>
      <c r="L87" s="47">
        <f t="array" ref="L87">IF(INDEX(DATOS!$E$1:$E$201,ROW()-12)="","",INDEX(DATOS!$E$1:$E$201,ROW()-12))</f>
        <v/>
      </c>
      <c r="M87" s="47">
        <f t="array" ref="M87">IF(INDEX(DATOS!$F$1:$F$201,ROW()-12)="","",INDEX(DATOS!$F$1:$F$201,ROW()-12))</f>
        <v/>
      </c>
      <c r="N87" s="47">
        <f t="array" ref="N87">IF(INDEX(DATOS!$G$1:$G$201,ROW()-12)="","",INDEX(DATOS!$G$1:$G$201,ROW()-12))</f>
        <v/>
      </c>
      <c r="O87" s="47">
        <f t="array" ref="O87">IF(INDEX(DATOS!$H$1:$H$201,ROW()-12)="","",INDEX(DATOS!$H$1:$H$201,ROW()-12))</f>
        <v/>
      </c>
      <c r="P87" s="47">
        <f t="array" ref="P87">IF(INDEX(DATOS!$I$1:$I$201,ROW()-12)="","",INDEX(DATOS!$I$1:$I$201,ROW()-12))</f>
        <v/>
      </c>
      <c r="Q87" s="48">
        <f t="array" ref="Q87">IF(INDEX(DATOS!$J$1:$J$201,ROW()-12)="","",INDEX(DATOS!$J$1:$J$201,ROW()-12))</f>
        <v/>
      </c>
      <c r="R87" s="49">
        <f t="array" ref="R87">IF(INDEX(DATOS!$P$1:$P$201,ROW()-12)="","",INDEX(DATOS!$P$1:$P$201,ROW()-12))</f>
        <v/>
      </c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8" customHeight="1">
      <c r="A88" s="17" t="n"/>
      <c r="B88" s="42">
        <f t="array" ref="B88">IF(INDEX(DATOS!$A$1:$A$201,ROW()-12)="","",INDEX(DATOS!$A$1:$A$201,ROW()-12))</f>
        <v/>
      </c>
      <c r="C88" s="149">
        <f t="array" ref="C88">IF(INDEX(DATOS!$B$1:$B$201,ROW()-12)="","",INDEX(DATOS!$B$1:$B$201,ROW()-12))</f>
        <v/>
      </c>
      <c r="D88" s="150" t="n"/>
      <c r="E88" s="150" t="n"/>
      <c r="F88" s="150" t="n"/>
      <c r="G88" s="151" t="n"/>
      <c r="H88" s="43">
        <f t="array" ref="H88">IF(INDEX(DATOS!$C$1:$C$201,ROW()-12)="","",INDEX(DATOS!$C$1:$C$201,ROW()-12))</f>
        <v/>
      </c>
      <c r="I88" s="44">
        <f t="array" ref="I88">IF(INDEX(DATOS!$D$1:$D$201,ROW()-12)="","",INDEX(DATOS!$D$1:$D$201,ROW()-12))</f>
        <v/>
      </c>
      <c r="J88" s="45">
        <f t="array" ref="J88">IF(INDEX(DATOS!$M$1:$M$201,ROW()-12)="","",INDEX(DATOS!$M$1:$M$201,ROW()-12))</f>
        <v/>
      </c>
      <c r="K88" s="46">
        <f t="array" ref="K88">IF(INDEX(DATOS!$K$1:$K$201,ROW()-12)="","",INDEX(DATOS!$K$1:$K$201,ROW()-12))</f>
        <v/>
      </c>
      <c r="L88" s="47">
        <f t="array" ref="L88">IF(INDEX(DATOS!$E$1:$E$201,ROW()-12)="","",INDEX(DATOS!$E$1:$E$201,ROW()-12))</f>
        <v/>
      </c>
      <c r="M88" s="47">
        <f t="array" ref="M88">IF(INDEX(DATOS!$F$1:$F$201,ROW()-12)="","",INDEX(DATOS!$F$1:$F$201,ROW()-12))</f>
        <v/>
      </c>
      <c r="N88" s="47">
        <f t="array" ref="N88">IF(INDEX(DATOS!$G$1:$G$201,ROW()-12)="","",INDEX(DATOS!$G$1:$G$201,ROW()-12))</f>
        <v/>
      </c>
      <c r="O88" s="47">
        <f t="array" ref="O88">IF(INDEX(DATOS!$H$1:$H$201,ROW()-12)="","",INDEX(DATOS!$H$1:$H$201,ROW()-12))</f>
        <v/>
      </c>
      <c r="P88" s="47">
        <f t="array" ref="P88">IF(INDEX(DATOS!$I$1:$I$201,ROW()-12)="","",INDEX(DATOS!$I$1:$I$201,ROW()-12))</f>
        <v/>
      </c>
      <c r="Q88" s="48">
        <f t="array" ref="Q88">IF(INDEX(DATOS!$J$1:$J$201,ROW()-12)="","",INDEX(DATOS!$J$1:$J$201,ROW()-12))</f>
        <v/>
      </c>
      <c r="R88" s="49">
        <f t="array" ref="R88">IF(INDEX(DATOS!$P$1:$P$201,ROW()-12)="","",INDEX(DATOS!$P$1:$P$201,ROW()-12))</f>
        <v/>
      </c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8" customHeight="1">
      <c r="A89" s="17" t="n"/>
      <c r="B89" s="42">
        <f t="array" ref="B89">IF(INDEX(DATOS!$A$1:$A$201,ROW()-12)="","",INDEX(DATOS!$A$1:$A$201,ROW()-12))</f>
        <v/>
      </c>
      <c r="C89" s="149">
        <f t="array" ref="C89">IF(INDEX(DATOS!$B$1:$B$201,ROW()-12)="","",INDEX(DATOS!$B$1:$B$201,ROW()-12))</f>
        <v/>
      </c>
      <c r="D89" s="150" t="n"/>
      <c r="E89" s="150" t="n"/>
      <c r="F89" s="150" t="n"/>
      <c r="G89" s="151" t="n"/>
      <c r="H89" s="43">
        <f t="array" ref="H89">IF(INDEX(DATOS!$C$1:$C$201,ROW()-12)="","",INDEX(DATOS!$C$1:$C$201,ROW()-12))</f>
        <v/>
      </c>
      <c r="I89" s="44">
        <f t="array" ref="I89">IF(INDEX(DATOS!$D$1:$D$201,ROW()-12)="","",INDEX(DATOS!$D$1:$D$201,ROW()-12))</f>
        <v/>
      </c>
      <c r="J89" s="45">
        <f t="array" ref="J89">IF(INDEX(DATOS!$M$1:$M$201,ROW()-12)="","",INDEX(DATOS!$M$1:$M$201,ROW()-12))</f>
        <v/>
      </c>
      <c r="K89" s="46">
        <f t="array" ref="K89">IF(INDEX(DATOS!$K$1:$K$201,ROW()-12)="","",INDEX(DATOS!$K$1:$K$201,ROW()-12))</f>
        <v/>
      </c>
      <c r="L89" s="47">
        <f t="array" ref="L89">IF(INDEX(DATOS!$E$1:$E$201,ROW()-12)="","",INDEX(DATOS!$E$1:$E$201,ROW()-12))</f>
        <v/>
      </c>
      <c r="M89" s="47">
        <f t="array" ref="M89">IF(INDEX(DATOS!$F$1:$F$201,ROW()-12)="","",INDEX(DATOS!$F$1:$F$201,ROW()-12))</f>
        <v/>
      </c>
      <c r="N89" s="47">
        <f t="array" ref="N89">IF(INDEX(DATOS!$G$1:$G$201,ROW()-12)="","",INDEX(DATOS!$G$1:$G$201,ROW()-12))</f>
        <v/>
      </c>
      <c r="O89" s="47">
        <f t="array" ref="O89">IF(INDEX(DATOS!$H$1:$H$201,ROW()-12)="","",INDEX(DATOS!$H$1:$H$201,ROW()-12))</f>
        <v/>
      </c>
      <c r="P89" s="47">
        <f t="array" ref="P89">IF(INDEX(DATOS!$I$1:$I$201,ROW()-12)="","",INDEX(DATOS!$I$1:$I$201,ROW()-12))</f>
        <v/>
      </c>
      <c r="Q89" s="48">
        <f t="array" ref="Q89">IF(INDEX(DATOS!$J$1:$J$201,ROW()-12)="","",INDEX(DATOS!$J$1:$J$201,ROW()-12))</f>
        <v/>
      </c>
      <c r="R89" s="49">
        <f t="array" ref="R89">IF(INDEX(DATOS!$P$1:$P$201,ROW()-12)="","",INDEX(DATOS!$P$1:$P$201,ROW()-12))</f>
        <v/>
      </c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8" customHeight="1">
      <c r="A90" s="17" t="n"/>
      <c r="B90" s="42">
        <f t="array" ref="B90">IF(INDEX(DATOS!$A$1:$A$201,ROW()-12)="","",INDEX(DATOS!$A$1:$A$201,ROW()-12))</f>
        <v/>
      </c>
      <c r="C90" s="149">
        <f t="array" ref="C90">IF(INDEX(DATOS!$B$1:$B$201,ROW()-12)="","",INDEX(DATOS!$B$1:$B$201,ROW()-12))</f>
        <v/>
      </c>
      <c r="D90" s="150" t="n"/>
      <c r="E90" s="150" t="n"/>
      <c r="F90" s="150" t="n"/>
      <c r="G90" s="151" t="n"/>
      <c r="H90" s="43">
        <f t="array" ref="H90">IF(INDEX(DATOS!$C$1:$C$201,ROW()-12)="","",INDEX(DATOS!$C$1:$C$201,ROW()-12))</f>
        <v/>
      </c>
      <c r="I90" s="44">
        <f t="array" ref="I90">IF(INDEX(DATOS!$D$1:$D$201,ROW()-12)="","",INDEX(DATOS!$D$1:$D$201,ROW()-12))</f>
        <v/>
      </c>
      <c r="J90" s="45">
        <f t="array" ref="J90">IF(INDEX(DATOS!$M$1:$M$201,ROW()-12)="","",INDEX(DATOS!$M$1:$M$201,ROW()-12))</f>
        <v/>
      </c>
      <c r="K90" s="46">
        <f t="array" ref="K90">IF(INDEX(DATOS!$K$1:$K$201,ROW()-12)="","",INDEX(DATOS!$K$1:$K$201,ROW()-12))</f>
        <v/>
      </c>
      <c r="L90" s="47">
        <f t="array" ref="L90">IF(INDEX(DATOS!$E$1:$E$201,ROW()-12)="","",INDEX(DATOS!$E$1:$E$201,ROW()-12))</f>
        <v/>
      </c>
      <c r="M90" s="47">
        <f t="array" ref="M90">IF(INDEX(DATOS!$F$1:$F$201,ROW()-12)="","",INDEX(DATOS!$F$1:$F$201,ROW()-12))</f>
        <v/>
      </c>
      <c r="N90" s="47">
        <f t="array" ref="N90">IF(INDEX(DATOS!$G$1:$G$201,ROW()-12)="","",INDEX(DATOS!$G$1:$G$201,ROW()-12))</f>
        <v/>
      </c>
      <c r="O90" s="47">
        <f t="array" ref="O90">IF(INDEX(DATOS!$H$1:$H$201,ROW()-12)="","",INDEX(DATOS!$H$1:$H$201,ROW()-12))</f>
        <v/>
      </c>
      <c r="P90" s="47">
        <f t="array" ref="P90">IF(INDEX(DATOS!$I$1:$I$201,ROW()-12)="","",INDEX(DATOS!$I$1:$I$201,ROW()-12))</f>
        <v/>
      </c>
      <c r="Q90" s="48">
        <f t="array" ref="Q90">IF(INDEX(DATOS!$J$1:$J$201,ROW()-12)="","",INDEX(DATOS!$J$1:$J$201,ROW()-12))</f>
        <v/>
      </c>
      <c r="R90" s="49">
        <f t="array" ref="R90">IF(INDEX(DATOS!$P$1:$P$201,ROW()-12)="","",INDEX(DATOS!$P$1:$P$201,ROW()-12))</f>
        <v/>
      </c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8" customHeight="1">
      <c r="A91" s="17" t="n"/>
      <c r="B91" s="42">
        <f t="array" ref="B91">IF(INDEX(DATOS!$A$1:$A$201,ROW()-12)="","",INDEX(DATOS!$A$1:$A$201,ROW()-12))</f>
        <v/>
      </c>
      <c r="C91" s="149">
        <f t="array" ref="C91">IF(INDEX(DATOS!$B$1:$B$201,ROW()-12)="","",INDEX(DATOS!$B$1:$B$201,ROW()-12))</f>
        <v/>
      </c>
      <c r="D91" s="150" t="n"/>
      <c r="E91" s="150" t="n"/>
      <c r="F91" s="150" t="n"/>
      <c r="G91" s="151" t="n"/>
      <c r="H91" s="43">
        <f t="array" ref="H91">IF(INDEX(DATOS!$C$1:$C$201,ROW()-12)="","",INDEX(DATOS!$C$1:$C$201,ROW()-12))</f>
        <v/>
      </c>
      <c r="I91" s="44">
        <f t="array" ref="I91">IF(INDEX(DATOS!$D$1:$D$201,ROW()-12)="","",INDEX(DATOS!$D$1:$D$201,ROW()-12))</f>
        <v/>
      </c>
      <c r="J91" s="45">
        <f t="array" ref="J91">IF(INDEX(DATOS!$M$1:$M$201,ROW()-12)="","",INDEX(DATOS!$M$1:$M$201,ROW()-12))</f>
        <v/>
      </c>
      <c r="K91" s="46">
        <f t="array" ref="K91">IF(INDEX(DATOS!$K$1:$K$201,ROW()-12)="","",INDEX(DATOS!$K$1:$K$201,ROW()-12))</f>
        <v/>
      </c>
      <c r="L91" s="47">
        <f t="array" ref="L91">IF(INDEX(DATOS!$E$1:$E$201,ROW()-12)="","",INDEX(DATOS!$E$1:$E$201,ROW()-12))</f>
        <v/>
      </c>
      <c r="M91" s="47">
        <f t="array" ref="M91">IF(INDEX(DATOS!$F$1:$F$201,ROW()-12)="","",INDEX(DATOS!$F$1:$F$201,ROW()-12))</f>
        <v/>
      </c>
      <c r="N91" s="47">
        <f t="array" ref="N91">IF(INDEX(DATOS!$G$1:$G$201,ROW()-12)="","",INDEX(DATOS!$G$1:$G$201,ROW()-12))</f>
        <v/>
      </c>
      <c r="O91" s="47">
        <f t="array" ref="O91">IF(INDEX(DATOS!$H$1:$H$201,ROW()-12)="","",INDEX(DATOS!$H$1:$H$201,ROW()-12))</f>
        <v/>
      </c>
      <c r="P91" s="47">
        <f t="array" ref="P91">IF(INDEX(DATOS!$I$1:$I$201,ROW()-12)="","",INDEX(DATOS!$I$1:$I$201,ROW()-12))</f>
        <v/>
      </c>
      <c r="Q91" s="48">
        <f t="array" ref="Q91">IF(INDEX(DATOS!$J$1:$J$201,ROW()-12)="","",INDEX(DATOS!$J$1:$J$201,ROW()-12))</f>
        <v/>
      </c>
      <c r="R91" s="49">
        <f t="array" ref="R91">IF(INDEX(DATOS!$P$1:$P$201,ROW()-12)="","",INDEX(DATOS!$P$1:$P$201,ROW()-12))</f>
        <v/>
      </c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8" customHeight="1">
      <c r="A92" s="17" t="n"/>
      <c r="B92" s="42">
        <f t="array" ref="B92">IF(INDEX(DATOS!$A$1:$A$201,ROW()-12)="","",INDEX(DATOS!$A$1:$A$201,ROW()-12))</f>
        <v/>
      </c>
      <c r="C92" s="149">
        <f t="array" ref="C92">IF(INDEX(DATOS!$B$1:$B$201,ROW()-12)="","",INDEX(DATOS!$B$1:$B$201,ROW()-12))</f>
        <v/>
      </c>
      <c r="D92" s="150" t="n"/>
      <c r="E92" s="150" t="n"/>
      <c r="F92" s="150" t="n"/>
      <c r="G92" s="151" t="n"/>
      <c r="H92" s="43">
        <f t="array" ref="H92">IF(INDEX(DATOS!$C$1:$C$201,ROW()-12)="","",INDEX(DATOS!$C$1:$C$201,ROW()-12))</f>
        <v/>
      </c>
      <c r="I92" s="44">
        <f t="array" ref="I92">IF(INDEX(DATOS!$D$1:$D$201,ROW()-12)="","",INDEX(DATOS!$D$1:$D$201,ROW()-12))</f>
        <v/>
      </c>
      <c r="J92" s="45">
        <f t="array" ref="J92">IF(INDEX(DATOS!$M$1:$M$201,ROW()-12)="","",INDEX(DATOS!$M$1:$M$201,ROW()-12))</f>
        <v/>
      </c>
      <c r="K92" s="46">
        <f t="array" ref="K92">IF(INDEX(DATOS!$K$1:$K$201,ROW()-12)="","",INDEX(DATOS!$K$1:$K$201,ROW()-12))</f>
        <v/>
      </c>
      <c r="L92" s="47">
        <f t="array" ref="L92">IF(INDEX(DATOS!$E$1:$E$201,ROW()-12)="","",INDEX(DATOS!$E$1:$E$201,ROW()-12))</f>
        <v/>
      </c>
      <c r="M92" s="47">
        <f t="array" ref="M92">IF(INDEX(DATOS!$F$1:$F$201,ROW()-12)="","",INDEX(DATOS!$F$1:$F$201,ROW()-12))</f>
        <v/>
      </c>
      <c r="N92" s="47">
        <f t="array" ref="N92">IF(INDEX(DATOS!$G$1:$G$201,ROW()-12)="","",INDEX(DATOS!$G$1:$G$201,ROW()-12))</f>
        <v/>
      </c>
      <c r="O92" s="47">
        <f t="array" ref="O92">IF(INDEX(DATOS!$H$1:$H$201,ROW()-12)="","",INDEX(DATOS!$H$1:$H$201,ROW()-12))</f>
        <v/>
      </c>
      <c r="P92" s="47">
        <f t="array" ref="P92">IF(INDEX(DATOS!$I$1:$I$201,ROW()-12)="","",INDEX(DATOS!$I$1:$I$201,ROW()-12))</f>
        <v/>
      </c>
      <c r="Q92" s="48">
        <f t="array" ref="Q92">IF(INDEX(DATOS!$J$1:$J$201,ROW()-12)="","",INDEX(DATOS!$J$1:$J$201,ROW()-12))</f>
        <v/>
      </c>
      <c r="R92" s="49">
        <f t="array" ref="R92">IF(INDEX(DATOS!$P$1:$P$201,ROW()-12)="","",INDEX(DATOS!$P$1:$P$201,ROW()-12))</f>
        <v/>
      </c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8" customHeight="1">
      <c r="A93" s="17" t="n"/>
      <c r="B93" s="42">
        <f t="array" ref="B93">IF(INDEX(DATOS!$A$1:$A$201,ROW()-12)="","",INDEX(DATOS!$A$1:$A$201,ROW()-12))</f>
        <v/>
      </c>
      <c r="C93" s="149">
        <f t="array" ref="C93">IF(INDEX(DATOS!$B$1:$B$201,ROW()-12)="","",INDEX(DATOS!$B$1:$B$201,ROW()-12))</f>
        <v/>
      </c>
      <c r="D93" s="150" t="n"/>
      <c r="E93" s="150" t="n"/>
      <c r="F93" s="150" t="n"/>
      <c r="G93" s="151" t="n"/>
      <c r="H93" s="43">
        <f t="array" ref="H93">IF(INDEX(DATOS!$C$1:$C$201,ROW()-12)="","",INDEX(DATOS!$C$1:$C$201,ROW()-12))</f>
        <v/>
      </c>
      <c r="I93" s="44">
        <f t="array" ref="I93">IF(INDEX(DATOS!$D$1:$D$201,ROW()-12)="","",INDEX(DATOS!$D$1:$D$201,ROW()-12))</f>
        <v/>
      </c>
      <c r="J93" s="45">
        <f t="array" ref="J93">IF(INDEX(DATOS!$M$1:$M$201,ROW()-12)="","",INDEX(DATOS!$M$1:$M$201,ROW()-12))</f>
        <v/>
      </c>
      <c r="K93" s="46">
        <f t="array" ref="K93">IF(INDEX(DATOS!$K$1:$K$201,ROW()-12)="","",INDEX(DATOS!$K$1:$K$201,ROW()-12))</f>
        <v/>
      </c>
      <c r="L93" s="47">
        <f t="array" ref="L93">IF(INDEX(DATOS!$E$1:$E$201,ROW()-12)="","",INDEX(DATOS!$E$1:$E$201,ROW()-12))</f>
        <v/>
      </c>
      <c r="M93" s="47">
        <f t="array" ref="M93">IF(INDEX(DATOS!$F$1:$F$201,ROW()-12)="","",INDEX(DATOS!$F$1:$F$201,ROW()-12))</f>
        <v/>
      </c>
      <c r="N93" s="47">
        <f t="array" ref="N93">IF(INDEX(DATOS!$G$1:$G$201,ROW()-12)="","",INDEX(DATOS!$G$1:$G$201,ROW()-12))</f>
        <v/>
      </c>
      <c r="O93" s="47">
        <f t="array" ref="O93">IF(INDEX(DATOS!$H$1:$H$201,ROW()-12)="","",INDEX(DATOS!$H$1:$H$201,ROW()-12))</f>
        <v/>
      </c>
      <c r="P93" s="47">
        <f t="array" ref="P93">IF(INDEX(DATOS!$I$1:$I$201,ROW()-12)="","",INDEX(DATOS!$I$1:$I$201,ROW()-12))</f>
        <v/>
      </c>
      <c r="Q93" s="48">
        <f t="array" ref="Q93">IF(INDEX(DATOS!$J$1:$J$201,ROW()-12)="","",INDEX(DATOS!$J$1:$J$201,ROW()-12))</f>
        <v/>
      </c>
      <c r="R93" s="49">
        <f t="array" ref="R93">IF(INDEX(DATOS!$P$1:$P$201,ROW()-12)="","",INDEX(DATOS!$P$1:$P$201,ROW()-12))</f>
        <v/>
      </c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8" customHeight="1">
      <c r="A94" s="17" t="n"/>
      <c r="B94" s="42">
        <f t="array" ref="B94">IF(INDEX(DATOS!$A$1:$A$201,ROW()-12)="","",INDEX(DATOS!$A$1:$A$201,ROW()-12))</f>
        <v/>
      </c>
      <c r="C94" s="149">
        <f t="array" ref="C94">IF(INDEX(DATOS!$B$1:$B$201,ROW()-12)="","",INDEX(DATOS!$B$1:$B$201,ROW()-12))</f>
        <v/>
      </c>
      <c r="D94" s="150" t="n"/>
      <c r="E94" s="150" t="n"/>
      <c r="F94" s="150" t="n"/>
      <c r="G94" s="151" t="n"/>
      <c r="H94" s="43">
        <f t="array" ref="H94">IF(INDEX(DATOS!$C$1:$C$201,ROW()-12)="","",INDEX(DATOS!$C$1:$C$201,ROW()-12))</f>
        <v/>
      </c>
      <c r="I94" s="44">
        <f t="array" ref="I94">IF(INDEX(DATOS!$D$1:$D$201,ROW()-12)="","",INDEX(DATOS!$D$1:$D$201,ROW()-12))</f>
        <v/>
      </c>
      <c r="J94" s="45">
        <f t="array" ref="J94">IF(INDEX(DATOS!$M$1:$M$201,ROW()-12)="","",INDEX(DATOS!$M$1:$M$201,ROW()-12))</f>
        <v/>
      </c>
      <c r="K94" s="46">
        <f t="array" ref="K94">IF(INDEX(DATOS!$K$1:$K$201,ROW()-12)="","",INDEX(DATOS!$K$1:$K$201,ROW()-12))</f>
        <v/>
      </c>
      <c r="L94" s="47">
        <f t="array" ref="L94">IF(INDEX(DATOS!$E$1:$E$201,ROW()-12)="","",INDEX(DATOS!$E$1:$E$201,ROW()-12))</f>
        <v/>
      </c>
      <c r="M94" s="47">
        <f t="array" ref="M94">IF(INDEX(DATOS!$F$1:$F$201,ROW()-12)="","",INDEX(DATOS!$F$1:$F$201,ROW()-12))</f>
        <v/>
      </c>
      <c r="N94" s="47">
        <f t="array" ref="N94">IF(INDEX(DATOS!$G$1:$G$201,ROW()-12)="","",INDEX(DATOS!$G$1:$G$201,ROW()-12))</f>
        <v/>
      </c>
      <c r="O94" s="47">
        <f t="array" ref="O94">IF(INDEX(DATOS!$H$1:$H$201,ROW()-12)="","",INDEX(DATOS!$H$1:$H$201,ROW()-12))</f>
        <v/>
      </c>
      <c r="P94" s="47">
        <f t="array" ref="P94">IF(INDEX(DATOS!$I$1:$I$201,ROW()-12)="","",INDEX(DATOS!$I$1:$I$201,ROW()-12))</f>
        <v/>
      </c>
      <c r="Q94" s="48">
        <f t="array" ref="Q94">IF(INDEX(DATOS!$J$1:$J$201,ROW()-12)="","",INDEX(DATOS!$J$1:$J$201,ROW()-12))</f>
        <v/>
      </c>
      <c r="R94" s="49">
        <f t="array" ref="R94">IF(INDEX(DATOS!$P$1:$P$201,ROW()-12)="","",INDEX(DATOS!$P$1:$P$201,ROW()-12))</f>
        <v/>
      </c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8" customHeight="1">
      <c r="A95" s="17" t="n"/>
      <c r="B95" s="42">
        <f t="array" ref="B95">IF(INDEX(DATOS!$A$1:$A$201,ROW()-12)="","",INDEX(DATOS!$A$1:$A$201,ROW()-12))</f>
        <v/>
      </c>
      <c r="C95" s="149">
        <f t="array" ref="C95">IF(INDEX(DATOS!$B$1:$B$201,ROW()-12)="","",INDEX(DATOS!$B$1:$B$201,ROW()-12))</f>
        <v/>
      </c>
      <c r="D95" s="150" t="n"/>
      <c r="E95" s="150" t="n"/>
      <c r="F95" s="150" t="n"/>
      <c r="G95" s="151" t="n"/>
      <c r="H95" s="43">
        <f t="array" ref="H95">IF(INDEX(DATOS!$C$1:$C$201,ROW()-12)="","",INDEX(DATOS!$C$1:$C$201,ROW()-12))</f>
        <v/>
      </c>
      <c r="I95" s="44">
        <f t="array" ref="I95">IF(INDEX(DATOS!$D$1:$D$201,ROW()-12)="","",INDEX(DATOS!$D$1:$D$201,ROW()-12))</f>
        <v/>
      </c>
      <c r="J95" s="45">
        <f t="array" ref="J95">IF(INDEX(DATOS!$M$1:$M$201,ROW()-12)="","",INDEX(DATOS!$M$1:$M$201,ROW()-12))</f>
        <v/>
      </c>
      <c r="K95" s="46">
        <f t="array" ref="K95">IF(INDEX(DATOS!$K$1:$K$201,ROW()-12)="","",INDEX(DATOS!$K$1:$K$201,ROW()-12))</f>
        <v/>
      </c>
      <c r="L95" s="47">
        <f t="array" ref="L95">IF(INDEX(DATOS!$E$1:$E$201,ROW()-12)="","",INDEX(DATOS!$E$1:$E$201,ROW()-12))</f>
        <v/>
      </c>
      <c r="M95" s="47">
        <f t="array" ref="M95">IF(INDEX(DATOS!$F$1:$F$201,ROW()-12)="","",INDEX(DATOS!$F$1:$F$201,ROW()-12))</f>
        <v/>
      </c>
      <c r="N95" s="47">
        <f t="array" ref="N95">IF(INDEX(DATOS!$G$1:$G$201,ROW()-12)="","",INDEX(DATOS!$G$1:$G$201,ROW()-12))</f>
        <v/>
      </c>
      <c r="O95" s="47">
        <f t="array" ref="O95">IF(INDEX(DATOS!$H$1:$H$201,ROW()-12)="","",INDEX(DATOS!$H$1:$H$201,ROW()-12))</f>
        <v/>
      </c>
      <c r="P95" s="47">
        <f t="array" ref="P95">IF(INDEX(DATOS!$I$1:$I$201,ROW()-12)="","",INDEX(DATOS!$I$1:$I$201,ROW()-12))</f>
        <v/>
      </c>
      <c r="Q95" s="48">
        <f t="array" ref="Q95">IF(INDEX(DATOS!$J$1:$J$201,ROW()-12)="","",INDEX(DATOS!$J$1:$J$201,ROW()-12))</f>
        <v/>
      </c>
      <c r="R95" s="49">
        <f t="array" ref="R95">IF(INDEX(DATOS!$P$1:$P$201,ROW()-12)="","",INDEX(DATOS!$P$1:$P$201,ROW()-12))</f>
        <v/>
      </c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8" customHeight="1">
      <c r="A96" s="17" t="n"/>
      <c r="B96" s="42">
        <f t="array" ref="B96">IF(INDEX(DATOS!$A$1:$A$201,ROW()-12)="","",INDEX(DATOS!$A$1:$A$201,ROW()-12))</f>
        <v/>
      </c>
      <c r="C96" s="149">
        <f t="array" ref="C96">IF(INDEX(DATOS!$B$1:$B$201,ROW()-12)="","",INDEX(DATOS!$B$1:$B$201,ROW()-12))</f>
        <v/>
      </c>
      <c r="D96" s="150" t="n"/>
      <c r="E96" s="150" t="n"/>
      <c r="F96" s="150" t="n"/>
      <c r="G96" s="151" t="n"/>
      <c r="H96" s="43">
        <f t="array" ref="H96">IF(INDEX(DATOS!$C$1:$C$201,ROW()-12)="","",INDEX(DATOS!$C$1:$C$201,ROW()-12))</f>
        <v/>
      </c>
      <c r="I96" s="44">
        <f t="array" ref="I96">IF(INDEX(DATOS!$D$1:$D$201,ROW()-12)="","",INDEX(DATOS!$D$1:$D$201,ROW()-12))</f>
        <v/>
      </c>
      <c r="J96" s="45">
        <f t="array" ref="J96">IF(INDEX(DATOS!$M$1:$M$201,ROW()-12)="","",INDEX(DATOS!$M$1:$M$201,ROW()-12))</f>
        <v/>
      </c>
      <c r="K96" s="46">
        <f t="array" ref="K96">IF(INDEX(DATOS!$K$1:$K$201,ROW()-12)="","",INDEX(DATOS!$K$1:$K$201,ROW()-12))</f>
        <v/>
      </c>
      <c r="L96" s="47">
        <f t="array" ref="L96">IF(INDEX(DATOS!$E$1:$E$201,ROW()-12)="","",INDEX(DATOS!$E$1:$E$201,ROW()-12))</f>
        <v/>
      </c>
      <c r="M96" s="47">
        <f t="array" ref="M96">IF(INDEX(DATOS!$F$1:$F$201,ROW()-12)="","",INDEX(DATOS!$F$1:$F$201,ROW()-12))</f>
        <v/>
      </c>
      <c r="N96" s="47">
        <f t="array" ref="N96">IF(INDEX(DATOS!$G$1:$G$201,ROW()-12)="","",INDEX(DATOS!$G$1:$G$201,ROW()-12))</f>
        <v/>
      </c>
      <c r="O96" s="47">
        <f t="array" ref="O96">IF(INDEX(DATOS!$H$1:$H$201,ROW()-12)="","",INDEX(DATOS!$H$1:$H$201,ROW()-12))</f>
        <v/>
      </c>
      <c r="P96" s="47">
        <f t="array" ref="P96">IF(INDEX(DATOS!$I$1:$I$201,ROW()-12)="","",INDEX(DATOS!$I$1:$I$201,ROW()-12))</f>
        <v/>
      </c>
      <c r="Q96" s="48">
        <f t="array" ref="Q96">IF(INDEX(DATOS!$J$1:$J$201,ROW()-12)="","",INDEX(DATOS!$J$1:$J$201,ROW()-12))</f>
        <v/>
      </c>
      <c r="R96" s="49">
        <f t="array" ref="R96">IF(INDEX(DATOS!$P$1:$P$201,ROW()-12)="","",INDEX(DATOS!$P$1:$P$201,ROW()-12))</f>
        <v/>
      </c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8" customHeight="1">
      <c r="A97" s="17" t="n"/>
      <c r="B97" s="42">
        <f t="array" ref="B97">IF(INDEX(DATOS!$A$1:$A$201,ROW()-12)="","",INDEX(DATOS!$A$1:$A$201,ROW()-12))</f>
        <v/>
      </c>
      <c r="C97" s="149">
        <f t="array" ref="C97">IF(INDEX(DATOS!$B$1:$B$201,ROW()-12)="","",INDEX(DATOS!$B$1:$B$201,ROW()-12))</f>
        <v/>
      </c>
      <c r="D97" s="150" t="n"/>
      <c r="E97" s="150" t="n"/>
      <c r="F97" s="150" t="n"/>
      <c r="G97" s="151" t="n"/>
      <c r="H97" s="43">
        <f t="array" ref="H97">IF(INDEX(DATOS!$C$1:$C$201,ROW()-12)="","",INDEX(DATOS!$C$1:$C$201,ROW()-12))</f>
        <v/>
      </c>
      <c r="I97" s="44">
        <f t="array" ref="I97">IF(INDEX(DATOS!$D$1:$D$201,ROW()-12)="","",INDEX(DATOS!$D$1:$D$201,ROW()-12))</f>
        <v/>
      </c>
      <c r="J97" s="45">
        <f t="array" ref="J97">IF(INDEX(DATOS!$M$1:$M$201,ROW()-12)="","",INDEX(DATOS!$M$1:$M$201,ROW()-12))</f>
        <v/>
      </c>
      <c r="K97" s="46">
        <f t="array" ref="K97">IF(INDEX(DATOS!$K$1:$K$201,ROW()-12)="","",INDEX(DATOS!$K$1:$K$201,ROW()-12))</f>
        <v/>
      </c>
      <c r="L97" s="47">
        <f t="array" ref="L97">IF(INDEX(DATOS!$E$1:$E$201,ROW()-12)="","",INDEX(DATOS!$E$1:$E$201,ROW()-12))</f>
        <v/>
      </c>
      <c r="M97" s="47">
        <f t="array" ref="M97">IF(INDEX(DATOS!$F$1:$F$201,ROW()-12)="","",INDEX(DATOS!$F$1:$F$201,ROW()-12))</f>
        <v/>
      </c>
      <c r="N97" s="47">
        <f t="array" ref="N97">IF(INDEX(DATOS!$G$1:$G$201,ROW()-12)="","",INDEX(DATOS!$G$1:$G$201,ROW()-12))</f>
        <v/>
      </c>
      <c r="O97" s="47">
        <f t="array" ref="O97">IF(INDEX(DATOS!$H$1:$H$201,ROW()-12)="","",INDEX(DATOS!$H$1:$H$201,ROW()-12))</f>
        <v/>
      </c>
      <c r="P97" s="47">
        <f t="array" ref="P97">IF(INDEX(DATOS!$I$1:$I$201,ROW()-12)="","",INDEX(DATOS!$I$1:$I$201,ROW()-12))</f>
        <v/>
      </c>
      <c r="Q97" s="48">
        <f t="array" ref="Q97">IF(INDEX(DATOS!$J$1:$J$201,ROW()-12)="","",INDEX(DATOS!$J$1:$J$201,ROW()-12))</f>
        <v/>
      </c>
      <c r="R97" s="49">
        <f t="array" ref="R97">IF(INDEX(DATOS!$P$1:$P$201,ROW()-12)="","",INDEX(DATOS!$P$1:$P$201,ROW()-12))</f>
        <v/>
      </c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8" customHeight="1">
      <c r="A98" s="17" t="n"/>
      <c r="B98" s="42">
        <f t="array" ref="B98">IF(INDEX(DATOS!$A$1:$A$201,ROW()-12)="","",INDEX(DATOS!$A$1:$A$201,ROW()-12))</f>
        <v/>
      </c>
      <c r="C98" s="149">
        <f t="array" ref="C98">IF(INDEX(DATOS!$B$1:$B$201,ROW()-12)="","",INDEX(DATOS!$B$1:$B$201,ROW()-12))</f>
        <v/>
      </c>
      <c r="D98" s="150" t="n"/>
      <c r="E98" s="150" t="n"/>
      <c r="F98" s="150" t="n"/>
      <c r="G98" s="151" t="n"/>
      <c r="H98" s="43">
        <f t="array" ref="H98">IF(INDEX(DATOS!$C$1:$C$201,ROW()-12)="","",INDEX(DATOS!$C$1:$C$201,ROW()-12))</f>
        <v/>
      </c>
      <c r="I98" s="44">
        <f t="array" ref="I98">IF(INDEX(DATOS!$D$1:$D$201,ROW()-12)="","",INDEX(DATOS!$D$1:$D$201,ROW()-12))</f>
        <v/>
      </c>
      <c r="J98" s="45">
        <f t="array" ref="J98">IF(INDEX(DATOS!$M$1:$M$201,ROW()-12)="","",INDEX(DATOS!$M$1:$M$201,ROW()-12))</f>
        <v/>
      </c>
      <c r="K98" s="46">
        <f t="array" ref="K98">IF(INDEX(DATOS!$K$1:$K$201,ROW()-12)="","",INDEX(DATOS!$K$1:$K$201,ROW()-12))</f>
        <v/>
      </c>
      <c r="L98" s="47">
        <f t="array" ref="L98">IF(INDEX(DATOS!$E$1:$E$201,ROW()-12)="","",INDEX(DATOS!$E$1:$E$201,ROW()-12))</f>
        <v/>
      </c>
      <c r="M98" s="47">
        <f t="array" ref="M98">IF(INDEX(DATOS!$F$1:$F$201,ROW()-12)="","",INDEX(DATOS!$F$1:$F$201,ROW()-12))</f>
        <v/>
      </c>
      <c r="N98" s="47">
        <f t="array" ref="N98">IF(INDEX(DATOS!$G$1:$G$201,ROW()-12)="","",INDEX(DATOS!$G$1:$G$201,ROW()-12))</f>
        <v/>
      </c>
      <c r="O98" s="47">
        <f t="array" ref="O98">IF(INDEX(DATOS!$H$1:$H$201,ROW()-12)="","",INDEX(DATOS!$H$1:$H$201,ROW()-12))</f>
        <v/>
      </c>
      <c r="P98" s="47">
        <f t="array" ref="P98">IF(INDEX(DATOS!$I$1:$I$201,ROW()-12)="","",INDEX(DATOS!$I$1:$I$201,ROW()-12))</f>
        <v/>
      </c>
      <c r="Q98" s="48">
        <f t="array" ref="Q98">IF(INDEX(DATOS!$J$1:$J$201,ROW()-12)="","",INDEX(DATOS!$J$1:$J$201,ROW()-12))</f>
        <v/>
      </c>
      <c r="R98" s="49">
        <f t="array" ref="R98">IF(INDEX(DATOS!$P$1:$P$201,ROW()-12)="","",INDEX(DATOS!$P$1:$P$201,ROW()-12))</f>
        <v/>
      </c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8" customHeight="1">
      <c r="A99" s="17" t="n"/>
      <c r="B99" s="42">
        <f t="array" ref="B99">IF(INDEX(DATOS!$A$1:$A$201,ROW()-12)="","",INDEX(DATOS!$A$1:$A$201,ROW()-12))</f>
        <v/>
      </c>
      <c r="C99" s="149">
        <f t="array" ref="C99">IF(INDEX(DATOS!$B$1:$B$201,ROW()-12)="","",INDEX(DATOS!$B$1:$B$201,ROW()-12))</f>
        <v/>
      </c>
      <c r="D99" s="150" t="n"/>
      <c r="E99" s="150" t="n"/>
      <c r="F99" s="150" t="n"/>
      <c r="G99" s="151" t="n"/>
      <c r="H99" s="43">
        <f t="array" ref="H99">IF(INDEX(DATOS!$C$1:$C$201,ROW()-12)="","",INDEX(DATOS!$C$1:$C$201,ROW()-12))</f>
        <v/>
      </c>
      <c r="I99" s="44">
        <f t="array" ref="I99">IF(INDEX(DATOS!$D$1:$D$201,ROW()-12)="","",INDEX(DATOS!$D$1:$D$201,ROW()-12))</f>
        <v/>
      </c>
      <c r="J99" s="45">
        <f t="array" ref="J99">IF(INDEX(DATOS!$M$1:$M$201,ROW()-12)="","",INDEX(DATOS!$M$1:$M$201,ROW()-12))</f>
        <v/>
      </c>
      <c r="K99" s="46">
        <f t="array" ref="K99">IF(INDEX(DATOS!$K$1:$K$201,ROW()-12)="","",INDEX(DATOS!$K$1:$K$201,ROW()-12))</f>
        <v/>
      </c>
      <c r="L99" s="47">
        <f t="array" ref="L99">IF(INDEX(DATOS!$E$1:$E$201,ROW()-12)="","",INDEX(DATOS!$E$1:$E$201,ROW()-12))</f>
        <v/>
      </c>
      <c r="M99" s="47">
        <f t="array" ref="M99">IF(INDEX(DATOS!$F$1:$F$201,ROW()-12)="","",INDEX(DATOS!$F$1:$F$201,ROW()-12))</f>
        <v/>
      </c>
      <c r="N99" s="47">
        <f t="array" ref="N99">IF(INDEX(DATOS!$G$1:$G$201,ROW()-12)="","",INDEX(DATOS!$G$1:$G$201,ROW()-12))</f>
        <v/>
      </c>
      <c r="O99" s="47">
        <f t="array" ref="O99">IF(INDEX(DATOS!$H$1:$H$201,ROW()-12)="","",INDEX(DATOS!$H$1:$H$201,ROW()-12))</f>
        <v/>
      </c>
      <c r="P99" s="47">
        <f t="array" ref="P99">IF(INDEX(DATOS!$I$1:$I$201,ROW()-12)="","",INDEX(DATOS!$I$1:$I$201,ROW()-12))</f>
        <v/>
      </c>
      <c r="Q99" s="48">
        <f t="array" ref="Q99">IF(INDEX(DATOS!$J$1:$J$201,ROW()-12)="","",INDEX(DATOS!$J$1:$J$201,ROW()-12))</f>
        <v/>
      </c>
      <c r="R99" s="49">
        <f t="array" ref="R99">IF(INDEX(DATOS!$P$1:$P$201,ROW()-12)="","",INDEX(DATOS!$P$1:$P$201,ROW()-12))</f>
        <v/>
      </c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8" customHeight="1">
      <c r="A100" s="17" t="n"/>
      <c r="B100" s="42">
        <f t="array" ref="B100">IF(INDEX(DATOS!$A$1:$A$201,ROW()-12)="","",INDEX(DATOS!$A$1:$A$201,ROW()-12))</f>
        <v/>
      </c>
      <c r="C100" s="149">
        <f t="array" ref="C100">IF(INDEX(DATOS!$B$1:$B$201,ROW()-12)="","",INDEX(DATOS!$B$1:$B$201,ROW()-12))</f>
        <v/>
      </c>
      <c r="D100" s="150" t="n"/>
      <c r="E100" s="150" t="n"/>
      <c r="F100" s="150" t="n"/>
      <c r="G100" s="151" t="n"/>
      <c r="H100" s="43">
        <f t="array" ref="H100">IF(INDEX(DATOS!$C$1:$C$201,ROW()-12)="","",INDEX(DATOS!$C$1:$C$201,ROW()-12))</f>
        <v/>
      </c>
      <c r="I100" s="44">
        <f t="array" ref="I100">IF(INDEX(DATOS!$D$1:$D$201,ROW()-12)="","",INDEX(DATOS!$D$1:$D$201,ROW()-12))</f>
        <v/>
      </c>
      <c r="J100" s="45">
        <f t="array" ref="J100">IF(INDEX(DATOS!$M$1:$M$201,ROW()-12)="","",INDEX(DATOS!$M$1:$M$201,ROW()-12))</f>
        <v/>
      </c>
      <c r="K100" s="46">
        <f t="array" ref="K100">IF(INDEX(DATOS!$K$1:$K$201,ROW()-12)="","",INDEX(DATOS!$K$1:$K$201,ROW()-12))</f>
        <v/>
      </c>
      <c r="L100" s="47">
        <f t="array" ref="L100">IF(INDEX(DATOS!$E$1:$E$201,ROW()-12)="","",INDEX(DATOS!$E$1:$E$201,ROW()-12))</f>
        <v/>
      </c>
      <c r="M100" s="47">
        <f t="array" ref="M100">IF(INDEX(DATOS!$F$1:$F$201,ROW()-12)="","",INDEX(DATOS!$F$1:$F$201,ROW()-12))</f>
        <v/>
      </c>
      <c r="N100" s="47">
        <f t="array" ref="N100">IF(INDEX(DATOS!$G$1:$G$201,ROW()-12)="","",INDEX(DATOS!$G$1:$G$201,ROW()-12))</f>
        <v/>
      </c>
      <c r="O100" s="47">
        <f t="array" ref="O100">IF(INDEX(DATOS!$H$1:$H$201,ROW()-12)="","",INDEX(DATOS!$H$1:$H$201,ROW()-12))</f>
        <v/>
      </c>
      <c r="P100" s="47">
        <f t="array" ref="P100">IF(INDEX(DATOS!$I$1:$I$201,ROW()-12)="","",INDEX(DATOS!$I$1:$I$201,ROW()-12))</f>
        <v/>
      </c>
      <c r="Q100" s="48">
        <f t="array" ref="Q100">IF(INDEX(DATOS!$J$1:$J$201,ROW()-12)="","",INDEX(DATOS!$J$1:$J$201,ROW()-12))</f>
        <v/>
      </c>
      <c r="R100" s="49">
        <f t="array" ref="R100">IF(INDEX(DATOS!$P$1:$P$201,ROW()-12)="","",INDEX(DATOS!$P$1:$P$201,ROW()-12))</f>
        <v/>
      </c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8" customHeight="1">
      <c r="A101" s="17" t="n"/>
      <c r="B101" s="42">
        <f t="array" ref="B101">IF(INDEX(DATOS!$A$1:$A$201,ROW()-12)="","",INDEX(DATOS!$A$1:$A$201,ROW()-12))</f>
        <v/>
      </c>
      <c r="C101" s="149">
        <f t="array" ref="C101">IF(INDEX(DATOS!$B$1:$B$201,ROW()-12)="","",INDEX(DATOS!$B$1:$B$201,ROW()-12))</f>
        <v/>
      </c>
      <c r="D101" s="150" t="n"/>
      <c r="E101" s="150" t="n"/>
      <c r="F101" s="150" t="n"/>
      <c r="G101" s="151" t="n"/>
      <c r="H101" s="43">
        <f t="array" ref="H101">IF(INDEX(DATOS!$C$1:$C$201,ROW()-12)="","",INDEX(DATOS!$C$1:$C$201,ROW()-12))</f>
        <v/>
      </c>
      <c r="I101" s="44">
        <f t="array" ref="I101">IF(INDEX(DATOS!$D$1:$D$201,ROW()-12)="","",INDEX(DATOS!$D$1:$D$201,ROW()-12))</f>
        <v/>
      </c>
      <c r="J101" s="45">
        <f t="array" ref="J101">IF(INDEX(DATOS!$M$1:$M$201,ROW()-12)="","",INDEX(DATOS!$M$1:$M$201,ROW()-12))</f>
        <v/>
      </c>
      <c r="K101" s="46">
        <f t="array" ref="K101">IF(INDEX(DATOS!$K$1:$K$201,ROW()-12)="","",INDEX(DATOS!$K$1:$K$201,ROW()-12))</f>
        <v/>
      </c>
      <c r="L101" s="47">
        <f t="array" ref="L101">IF(INDEX(DATOS!$E$1:$E$201,ROW()-12)="","",INDEX(DATOS!$E$1:$E$201,ROW()-12))</f>
        <v/>
      </c>
      <c r="M101" s="47">
        <f t="array" ref="M101">IF(INDEX(DATOS!$F$1:$F$201,ROW()-12)="","",INDEX(DATOS!$F$1:$F$201,ROW()-12))</f>
        <v/>
      </c>
      <c r="N101" s="47">
        <f t="array" ref="N101">IF(INDEX(DATOS!$G$1:$G$201,ROW()-12)="","",INDEX(DATOS!$G$1:$G$201,ROW()-12))</f>
        <v/>
      </c>
      <c r="O101" s="47">
        <f t="array" ref="O101">IF(INDEX(DATOS!$H$1:$H$201,ROW()-12)="","",INDEX(DATOS!$H$1:$H$201,ROW()-12))</f>
        <v/>
      </c>
      <c r="P101" s="47">
        <f t="array" ref="P101">IF(INDEX(DATOS!$I$1:$I$201,ROW()-12)="","",INDEX(DATOS!$I$1:$I$201,ROW()-12))</f>
        <v/>
      </c>
      <c r="Q101" s="48">
        <f t="array" ref="Q101">IF(INDEX(DATOS!$J$1:$J$201,ROW()-12)="","",INDEX(DATOS!$J$1:$J$201,ROW()-12))</f>
        <v/>
      </c>
      <c r="R101" s="49">
        <f t="array" ref="R101">IF(INDEX(DATOS!$P$1:$P$201,ROW()-12)="","",INDEX(DATOS!$P$1:$P$201,ROW()-12))</f>
        <v/>
      </c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8" customHeight="1">
      <c r="A102" s="17" t="n"/>
      <c r="B102" s="42">
        <f t="array" ref="B102">IF(INDEX(DATOS!$A$1:$A$201,ROW()-12)="","",INDEX(DATOS!$A$1:$A$201,ROW()-12))</f>
        <v/>
      </c>
      <c r="C102" s="149">
        <f t="array" ref="C102">IF(INDEX(DATOS!$B$1:$B$201,ROW()-12)="","",INDEX(DATOS!$B$1:$B$201,ROW()-12))</f>
        <v/>
      </c>
      <c r="D102" s="150" t="n"/>
      <c r="E102" s="150" t="n"/>
      <c r="F102" s="150" t="n"/>
      <c r="G102" s="151" t="n"/>
      <c r="H102" s="43">
        <f t="array" ref="H102">IF(INDEX(DATOS!$C$1:$C$201,ROW()-12)="","",INDEX(DATOS!$C$1:$C$201,ROW()-12))</f>
        <v/>
      </c>
      <c r="I102" s="44">
        <f t="array" ref="I102">IF(INDEX(DATOS!$D$1:$D$201,ROW()-12)="","",INDEX(DATOS!$D$1:$D$201,ROW()-12))</f>
        <v/>
      </c>
      <c r="J102" s="45">
        <f t="array" ref="J102">IF(INDEX(DATOS!$M$1:$M$201,ROW()-12)="","",INDEX(DATOS!$M$1:$M$201,ROW()-12))</f>
        <v/>
      </c>
      <c r="K102" s="46">
        <f t="array" ref="K102">IF(INDEX(DATOS!$K$1:$K$201,ROW()-12)="","",INDEX(DATOS!$K$1:$K$201,ROW()-12))</f>
        <v/>
      </c>
      <c r="L102" s="47">
        <f t="array" ref="L102">IF(INDEX(DATOS!$E$1:$E$201,ROW()-12)="","",INDEX(DATOS!$E$1:$E$201,ROW()-12))</f>
        <v/>
      </c>
      <c r="M102" s="47">
        <f t="array" ref="M102">IF(INDEX(DATOS!$F$1:$F$201,ROW()-12)="","",INDEX(DATOS!$F$1:$F$201,ROW()-12))</f>
        <v/>
      </c>
      <c r="N102" s="47">
        <f t="array" ref="N102">IF(INDEX(DATOS!$G$1:$G$201,ROW()-12)="","",INDEX(DATOS!$G$1:$G$201,ROW()-12))</f>
        <v/>
      </c>
      <c r="O102" s="47">
        <f t="array" ref="O102">IF(INDEX(DATOS!$H$1:$H$201,ROW()-12)="","",INDEX(DATOS!$H$1:$H$201,ROW()-12))</f>
        <v/>
      </c>
      <c r="P102" s="47">
        <f t="array" ref="P102">IF(INDEX(DATOS!$I$1:$I$201,ROW()-12)="","",INDEX(DATOS!$I$1:$I$201,ROW()-12))</f>
        <v/>
      </c>
      <c r="Q102" s="48">
        <f t="array" ref="Q102">IF(INDEX(DATOS!$J$1:$J$201,ROW()-12)="","",INDEX(DATOS!$J$1:$J$201,ROW()-12))</f>
        <v/>
      </c>
      <c r="R102" s="49">
        <f t="array" ref="R102">IF(INDEX(DATOS!$P$1:$P$201,ROW()-12)="","",INDEX(DATOS!$P$1:$P$201,ROW()-12))</f>
        <v/>
      </c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8" customHeight="1">
      <c r="A103" s="17" t="n"/>
      <c r="B103" s="42">
        <f t="array" ref="B103">IF(INDEX(DATOS!$A$1:$A$201,ROW()-12)="","",INDEX(DATOS!$A$1:$A$201,ROW()-12))</f>
        <v/>
      </c>
      <c r="C103" s="149">
        <f t="array" ref="C103">IF(INDEX(DATOS!$B$1:$B$201,ROW()-12)="","",INDEX(DATOS!$B$1:$B$201,ROW()-12))</f>
        <v/>
      </c>
      <c r="D103" s="150" t="n"/>
      <c r="E103" s="150" t="n"/>
      <c r="F103" s="150" t="n"/>
      <c r="G103" s="151" t="n"/>
      <c r="H103" s="43">
        <f t="array" ref="H103">IF(INDEX(DATOS!$C$1:$C$201,ROW()-12)="","",INDEX(DATOS!$C$1:$C$201,ROW()-12))</f>
        <v/>
      </c>
      <c r="I103" s="44">
        <f t="array" ref="I103">IF(INDEX(DATOS!$D$1:$D$201,ROW()-12)="","",INDEX(DATOS!$D$1:$D$201,ROW()-12))</f>
        <v/>
      </c>
      <c r="J103" s="45">
        <f t="array" ref="J103">IF(INDEX(DATOS!$M$1:$M$201,ROW()-12)="","",INDEX(DATOS!$M$1:$M$201,ROW()-12))</f>
        <v/>
      </c>
      <c r="K103" s="46">
        <f t="array" ref="K103">IF(INDEX(DATOS!$K$1:$K$201,ROW()-12)="","",INDEX(DATOS!$K$1:$K$201,ROW()-12))</f>
        <v/>
      </c>
      <c r="L103" s="47">
        <f t="array" ref="L103">IF(INDEX(DATOS!$E$1:$E$201,ROW()-12)="","",INDEX(DATOS!$E$1:$E$201,ROW()-12))</f>
        <v/>
      </c>
      <c r="M103" s="47">
        <f t="array" ref="M103">IF(INDEX(DATOS!$F$1:$F$201,ROW()-12)="","",INDEX(DATOS!$F$1:$F$201,ROW()-12))</f>
        <v/>
      </c>
      <c r="N103" s="47">
        <f t="array" ref="N103">IF(INDEX(DATOS!$G$1:$G$201,ROW()-12)="","",INDEX(DATOS!$G$1:$G$201,ROW()-12))</f>
        <v/>
      </c>
      <c r="O103" s="47">
        <f t="array" ref="O103">IF(INDEX(DATOS!$H$1:$H$201,ROW()-12)="","",INDEX(DATOS!$H$1:$H$201,ROW()-12))</f>
        <v/>
      </c>
      <c r="P103" s="47">
        <f t="array" ref="P103">IF(INDEX(DATOS!$I$1:$I$201,ROW()-12)="","",INDEX(DATOS!$I$1:$I$201,ROW()-12))</f>
        <v/>
      </c>
      <c r="Q103" s="48">
        <f t="array" ref="Q103">IF(INDEX(DATOS!$J$1:$J$201,ROW()-12)="","",INDEX(DATOS!$J$1:$J$201,ROW()-12))</f>
        <v/>
      </c>
      <c r="R103" s="49">
        <f t="array" ref="R103">IF(INDEX(DATOS!$P$1:$P$201,ROW()-12)="","",INDEX(DATOS!$P$1:$P$201,ROW()-12))</f>
        <v/>
      </c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8" customHeight="1">
      <c r="A104" s="17" t="n"/>
      <c r="B104" s="42">
        <f t="array" ref="B104">IF(INDEX(DATOS!$A$1:$A$201,ROW()-12)="","",INDEX(DATOS!$A$1:$A$201,ROW()-12))</f>
        <v/>
      </c>
      <c r="C104" s="149">
        <f t="array" ref="C104">IF(INDEX(DATOS!$B$1:$B$201,ROW()-12)="","",INDEX(DATOS!$B$1:$B$201,ROW()-12))</f>
        <v/>
      </c>
      <c r="D104" s="150" t="n"/>
      <c r="E104" s="150" t="n"/>
      <c r="F104" s="150" t="n"/>
      <c r="G104" s="151" t="n"/>
      <c r="H104" s="43">
        <f t="array" ref="H104">IF(INDEX(DATOS!$C$1:$C$201,ROW()-12)="","",INDEX(DATOS!$C$1:$C$201,ROW()-12))</f>
        <v/>
      </c>
      <c r="I104" s="44">
        <f t="array" ref="I104">IF(INDEX(DATOS!$D$1:$D$201,ROW()-12)="","",INDEX(DATOS!$D$1:$D$201,ROW()-12))</f>
        <v/>
      </c>
      <c r="J104" s="45">
        <f t="array" ref="J104">IF(INDEX(DATOS!$M$1:$M$201,ROW()-12)="","",INDEX(DATOS!$M$1:$M$201,ROW()-12))</f>
        <v/>
      </c>
      <c r="K104" s="46">
        <f t="array" ref="K104">IF(INDEX(DATOS!$K$1:$K$201,ROW()-12)="","",INDEX(DATOS!$K$1:$K$201,ROW()-12))</f>
        <v/>
      </c>
      <c r="L104" s="47">
        <f t="array" ref="L104">IF(INDEX(DATOS!$E$1:$E$201,ROW()-12)="","",INDEX(DATOS!$E$1:$E$201,ROW()-12))</f>
        <v/>
      </c>
      <c r="M104" s="47">
        <f t="array" ref="M104">IF(INDEX(DATOS!$F$1:$F$201,ROW()-12)="","",INDEX(DATOS!$F$1:$F$201,ROW()-12))</f>
        <v/>
      </c>
      <c r="N104" s="47">
        <f t="array" ref="N104">IF(INDEX(DATOS!$G$1:$G$201,ROW()-12)="","",INDEX(DATOS!$G$1:$G$201,ROW()-12))</f>
        <v/>
      </c>
      <c r="O104" s="47">
        <f t="array" ref="O104">IF(INDEX(DATOS!$H$1:$H$201,ROW()-12)="","",INDEX(DATOS!$H$1:$H$201,ROW()-12))</f>
        <v/>
      </c>
      <c r="P104" s="47">
        <f t="array" ref="P104">IF(INDEX(DATOS!$I$1:$I$201,ROW()-12)="","",INDEX(DATOS!$I$1:$I$201,ROW()-12))</f>
        <v/>
      </c>
      <c r="Q104" s="48">
        <f t="array" ref="Q104">IF(INDEX(DATOS!$J$1:$J$201,ROW()-12)="","",INDEX(DATOS!$J$1:$J$201,ROW()-12))</f>
        <v/>
      </c>
      <c r="R104" s="49">
        <f t="array" ref="R104">IF(INDEX(DATOS!$P$1:$P$201,ROW()-12)="","",INDEX(DATOS!$P$1:$P$201,ROW()-12))</f>
        <v/>
      </c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8" customHeight="1">
      <c r="A105" s="17" t="n"/>
      <c r="B105" s="42">
        <f t="array" ref="B105">IF(INDEX(DATOS!$A$1:$A$201,ROW()-12)="","",INDEX(DATOS!$A$1:$A$201,ROW()-12))</f>
        <v/>
      </c>
      <c r="C105" s="149">
        <f t="array" ref="C105">IF(INDEX(DATOS!$B$1:$B$201,ROW()-12)="","",INDEX(DATOS!$B$1:$B$201,ROW()-12))</f>
        <v/>
      </c>
      <c r="D105" s="150" t="n"/>
      <c r="E105" s="150" t="n"/>
      <c r="F105" s="150" t="n"/>
      <c r="G105" s="151" t="n"/>
      <c r="H105" s="43">
        <f t="array" ref="H105">IF(INDEX(DATOS!$C$1:$C$201,ROW()-12)="","",INDEX(DATOS!$C$1:$C$201,ROW()-12))</f>
        <v/>
      </c>
      <c r="I105" s="44">
        <f t="array" ref="I105">IF(INDEX(DATOS!$D$1:$D$201,ROW()-12)="","",INDEX(DATOS!$D$1:$D$201,ROW()-12))</f>
        <v/>
      </c>
      <c r="J105" s="45">
        <f t="array" ref="J105">IF(INDEX(DATOS!$M$1:$M$201,ROW()-12)="","",INDEX(DATOS!$M$1:$M$201,ROW()-12))</f>
        <v/>
      </c>
      <c r="K105" s="46">
        <f t="array" ref="K105">IF(INDEX(DATOS!$K$1:$K$201,ROW()-12)="","",INDEX(DATOS!$K$1:$K$201,ROW()-12))</f>
        <v/>
      </c>
      <c r="L105" s="47">
        <f t="array" ref="L105">IF(INDEX(DATOS!$E$1:$E$201,ROW()-12)="","",INDEX(DATOS!$E$1:$E$201,ROW()-12))</f>
        <v/>
      </c>
      <c r="M105" s="47">
        <f t="array" ref="M105">IF(INDEX(DATOS!$F$1:$F$201,ROW()-12)="","",INDEX(DATOS!$F$1:$F$201,ROW()-12))</f>
        <v/>
      </c>
      <c r="N105" s="47">
        <f t="array" ref="N105">IF(INDEX(DATOS!$G$1:$G$201,ROW()-12)="","",INDEX(DATOS!$G$1:$G$201,ROW()-12))</f>
        <v/>
      </c>
      <c r="O105" s="47">
        <f t="array" ref="O105">IF(INDEX(DATOS!$H$1:$H$201,ROW()-12)="","",INDEX(DATOS!$H$1:$H$201,ROW()-12))</f>
        <v/>
      </c>
      <c r="P105" s="47">
        <f t="array" ref="P105">IF(INDEX(DATOS!$I$1:$I$201,ROW()-12)="","",INDEX(DATOS!$I$1:$I$201,ROW()-12))</f>
        <v/>
      </c>
      <c r="Q105" s="48">
        <f t="array" ref="Q105">IF(INDEX(DATOS!$J$1:$J$201,ROW()-12)="","",INDEX(DATOS!$J$1:$J$201,ROW()-12))</f>
        <v/>
      </c>
      <c r="R105" s="49">
        <f t="array" ref="R105">IF(INDEX(DATOS!$P$1:$P$201,ROW()-12)="","",INDEX(DATOS!$P$1:$P$201,ROW()-12))</f>
        <v/>
      </c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8" customHeight="1">
      <c r="A106" s="17" t="n"/>
      <c r="B106" s="42">
        <f t="array" ref="B106">IF(INDEX(DATOS!$A$1:$A$201,ROW()-12)="","",INDEX(DATOS!$A$1:$A$201,ROW()-12))</f>
        <v/>
      </c>
      <c r="C106" s="149">
        <f t="array" ref="C106">IF(INDEX(DATOS!$B$1:$B$201,ROW()-12)="","",INDEX(DATOS!$B$1:$B$201,ROW()-12))</f>
        <v/>
      </c>
      <c r="D106" s="150" t="n"/>
      <c r="E106" s="150" t="n"/>
      <c r="F106" s="150" t="n"/>
      <c r="G106" s="151" t="n"/>
      <c r="H106" s="43">
        <f t="array" ref="H106">IF(INDEX(DATOS!$C$1:$C$201,ROW()-12)="","",INDEX(DATOS!$C$1:$C$201,ROW()-12))</f>
        <v/>
      </c>
      <c r="I106" s="44">
        <f t="array" ref="I106">IF(INDEX(DATOS!$D$1:$D$201,ROW()-12)="","",INDEX(DATOS!$D$1:$D$201,ROW()-12))</f>
        <v/>
      </c>
      <c r="J106" s="45">
        <f t="array" ref="J106">IF(INDEX(DATOS!$M$1:$M$201,ROW()-12)="","",INDEX(DATOS!$M$1:$M$201,ROW()-12))</f>
        <v/>
      </c>
      <c r="K106" s="46">
        <f t="array" ref="K106">IF(INDEX(DATOS!$K$1:$K$201,ROW()-12)="","",INDEX(DATOS!$K$1:$K$201,ROW()-12))</f>
        <v/>
      </c>
      <c r="L106" s="47">
        <f t="array" ref="L106">IF(INDEX(DATOS!$E$1:$E$201,ROW()-12)="","",INDEX(DATOS!$E$1:$E$201,ROW()-12))</f>
        <v/>
      </c>
      <c r="M106" s="47">
        <f t="array" ref="M106">IF(INDEX(DATOS!$F$1:$F$201,ROW()-12)="","",INDEX(DATOS!$F$1:$F$201,ROW()-12))</f>
        <v/>
      </c>
      <c r="N106" s="47">
        <f t="array" ref="N106">IF(INDEX(DATOS!$G$1:$G$201,ROW()-12)="","",INDEX(DATOS!$G$1:$G$201,ROW()-12))</f>
        <v/>
      </c>
      <c r="O106" s="47">
        <f t="array" ref="O106">IF(INDEX(DATOS!$H$1:$H$201,ROW()-12)="","",INDEX(DATOS!$H$1:$H$201,ROW()-12))</f>
        <v/>
      </c>
      <c r="P106" s="47">
        <f t="array" ref="P106">IF(INDEX(DATOS!$I$1:$I$201,ROW()-12)="","",INDEX(DATOS!$I$1:$I$201,ROW()-12))</f>
        <v/>
      </c>
      <c r="Q106" s="48">
        <f t="array" ref="Q106">IF(INDEX(DATOS!$J$1:$J$201,ROW()-12)="","",INDEX(DATOS!$J$1:$J$201,ROW()-12))</f>
        <v/>
      </c>
      <c r="R106" s="49">
        <f t="array" ref="R106">IF(INDEX(DATOS!$P$1:$P$201,ROW()-12)="","",INDEX(DATOS!$P$1:$P$201,ROW()-12))</f>
        <v/>
      </c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8" customHeight="1">
      <c r="A107" s="17" t="n"/>
      <c r="B107" s="42">
        <f t="array" ref="B107">IF(INDEX(DATOS!$A$1:$A$201,ROW()-12)="","",INDEX(DATOS!$A$1:$A$201,ROW()-12))</f>
        <v/>
      </c>
      <c r="C107" s="149">
        <f t="array" ref="C107">IF(INDEX(DATOS!$B$1:$B$201,ROW()-12)="","",INDEX(DATOS!$B$1:$B$201,ROW()-12))</f>
        <v/>
      </c>
      <c r="D107" s="150" t="n"/>
      <c r="E107" s="150" t="n"/>
      <c r="F107" s="150" t="n"/>
      <c r="G107" s="151" t="n"/>
      <c r="H107" s="43">
        <f t="array" ref="H107">IF(INDEX(DATOS!$C$1:$C$201,ROW()-12)="","",INDEX(DATOS!$C$1:$C$201,ROW()-12))</f>
        <v/>
      </c>
      <c r="I107" s="44">
        <f t="array" ref="I107">IF(INDEX(DATOS!$D$1:$D$201,ROW()-12)="","",INDEX(DATOS!$D$1:$D$201,ROW()-12))</f>
        <v/>
      </c>
      <c r="J107" s="45">
        <f t="array" ref="J107">IF(INDEX(DATOS!$M$1:$M$201,ROW()-12)="","",INDEX(DATOS!$M$1:$M$201,ROW()-12))</f>
        <v/>
      </c>
      <c r="K107" s="46">
        <f t="array" ref="K107">IF(INDEX(DATOS!$K$1:$K$201,ROW()-12)="","",INDEX(DATOS!$K$1:$K$201,ROW()-12))</f>
        <v/>
      </c>
      <c r="L107" s="47">
        <f t="array" ref="L107">IF(INDEX(DATOS!$E$1:$E$201,ROW()-12)="","",INDEX(DATOS!$E$1:$E$201,ROW()-12))</f>
        <v/>
      </c>
      <c r="M107" s="47">
        <f t="array" ref="M107">IF(INDEX(DATOS!$F$1:$F$201,ROW()-12)="","",INDEX(DATOS!$F$1:$F$201,ROW()-12))</f>
        <v/>
      </c>
      <c r="N107" s="47">
        <f t="array" ref="N107">IF(INDEX(DATOS!$G$1:$G$201,ROW()-12)="","",INDEX(DATOS!$G$1:$G$201,ROW()-12))</f>
        <v/>
      </c>
      <c r="O107" s="47">
        <f t="array" ref="O107">IF(INDEX(DATOS!$H$1:$H$201,ROW()-12)="","",INDEX(DATOS!$H$1:$H$201,ROW()-12))</f>
        <v/>
      </c>
      <c r="P107" s="47">
        <f t="array" ref="P107">IF(INDEX(DATOS!$I$1:$I$201,ROW()-12)="","",INDEX(DATOS!$I$1:$I$201,ROW()-12))</f>
        <v/>
      </c>
      <c r="Q107" s="48">
        <f t="array" ref="Q107">IF(INDEX(DATOS!$J$1:$J$201,ROW()-12)="","",INDEX(DATOS!$J$1:$J$201,ROW()-12))</f>
        <v/>
      </c>
      <c r="R107" s="49">
        <f t="array" ref="R107">IF(INDEX(DATOS!$P$1:$P$201,ROW()-12)="","",INDEX(DATOS!$P$1:$P$201,ROW()-12))</f>
        <v/>
      </c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8" customHeight="1">
      <c r="A108" s="17" t="n"/>
      <c r="B108" s="42">
        <f t="array" ref="B108">IF(INDEX(DATOS!$A$1:$A$201,ROW()-12)="","",INDEX(DATOS!$A$1:$A$201,ROW()-12))</f>
        <v/>
      </c>
      <c r="C108" s="149">
        <f t="array" ref="C108">IF(INDEX(DATOS!$B$1:$B$201,ROW()-12)="","",INDEX(DATOS!$B$1:$B$201,ROW()-12))</f>
        <v/>
      </c>
      <c r="D108" s="150" t="n"/>
      <c r="E108" s="150" t="n"/>
      <c r="F108" s="150" t="n"/>
      <c r="G108" s="151" t="n"/>
      <c r="H108" s="43">
        <f t="array" ref="H108">IF(INDEX(DATOS!$C$1:$C$201,ROW()-12)="","",INDEX(DATOS!$C$1:$C$201,ROW()-12))</f>
        <v/>
      </c>
      <c r="I108" s="44">
        <f t="array" ref="I108">IF(INDEX(DATOS!$D$1:$D$201,ROW()-12)="","",INDEX(DATOS!$D$1:$D$201,ROW()-12))</f>
        <v/>
      </c>
      <c r="J108" s="45">
        <f t="array" ref="J108">IF(INDEX(DATOS!$M$1:$M$201,ROW()-12)="","",INDEX(DATOS!$M$1:$M$201,ROW()-12))</f>
        <v/>
      </c>
      <c r="K108" s="46">
        <f t="array" ref="K108">IF(INDEX(DATOS!$K$1:$K$201,ROW()-12)="","",INDEX(DATOS!$K$1:$K$201,ROW()-12))</f>
        <v/>
      </c>
      <c r="L108" s="47">
        <f t="array" ref="L108">IF(INDEX(DATOS!$E$1:$E$201,ROW()-12)="","",INDEX(DATOS!$E$1:$E$201,ROW()-12))</f>
        <v/>
      </c>
      <c r="M108" s="47">
        <f t="array" ref="M108">IF(INDEX(DATOS!$F$1:$F$201,ROW()-12)="","",INDEX(DATOS!$F$1:$F$201,ROW()-12))</f>
        <v/>
      </c>
      <c r="N108" s="47">
        <f t="array" ref="N108">IF(INDEX(DATOS!$G$1:$G$201,ROW()-12)="","",INDEX(DATOS!$G$1:$G$201,ROW()-12))</f>
        <v/>
      </c>
      <c r="O108" s="47">
        <f t="array" ref="O108">IF(INDEX(DATOS!$H$1:$H$201,ROW()-12)="","",INDEX(DATOS!$H$1:$H$201,ROW()-12))</f>
        <v/>
      </c>
      <c r="P108" s="47">
        <f t="array" ref="P108">IF(INDEX(DATOS!$I$1:$I$201,ROW()-12)="","",INDEX(DATOS!$I$1:$I$201,ROW()-12))</f>
        <v/>
      </c>
      <c r="Q108" s="48">
        <f t="array" ref="Q108">IF(INDEX(DATOS!$J$1:$J$201,ROW()-12)="","",INDEX(DATOS!$J$1:$J$201,ROW()-12))</f>
        <v/>
      </c>
      <c r="R108" s="49">
        <f t="array" ref="R108">IF(INDEX(DATOS!$P$1:$P$201,ROW()-12)="","",INDEX(DATOS!$P$1:$P$201,ROW()-12))</f>
        <v/>
      </c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8" customHeight="1">
      <c r="A109" s="17" t="n"/>
      <c r="B109" s="42">
        <f t="array" ref="B109">IF(INDEX(DATOS!$A$1:$A$201,ROW()-12)="","",INDEX(DATOS!$A$1:$A$201,ROW()-12))</f>
        <v/>
      </c>
      <c r="C109" s="149">
        <f t="array" ref="C109">IF(INDEX(DATOS!$B$1:$B$201,ROW()-12)="","",INDEX(DATOS!$B$1:$B$201,ROW()-12))</f>
        <v/>
      </c>
      <c r="D109" s="150" t="n"/>
      <c r="E109" s="150" t="n"/>
      <c r="F109" s="150" t="n"/>
      <c r="G109" s="151" t="n"/>
      <c r="H109" s="43">
        <f t="array" ref="H109">IF(INDEX(DATOS!$C$1:$C$201,ROW()-12)="","",INDEX(DATOS!$C$1:$C$201,ROW()-12))</f>
        <v/>
      </c>
      <c r="I109" s="44">
        <f t="array" ref="I109">IF(INDEX(DATOS!$D$1:$D$201,ROW()-12)="","",INDEX(DATOS!$D$1:$D$201,ROW()-12))</f>
        <v/>
      </c>
      <c r="J109" s="45">
        <f t="array" ref="J109">IF(INDEX(DATOS!$M$1:$M$201,ROW()-12)="","",INDEX(DATOS!$M$1:$M$201,ROW()-12))</f>
        <v/>
      </c>
      <c r="K109" s="46">
        <f t="array" ref="K109">IF(INDEX(DATOS!$K$1:$K$201,ROW()-12)="","",INDEX(DATOS!$K$1:$K$201,ROW()-12))</f>
        <v/>
      </c>
      <c r="L109" s="47">
        <f t="array" ref="L109">IF(INDEX(DATOS!$E$1:$E$201,ROW()-12)="","",INDEX(DATOS!$E$1:$E$201,ROW()-12))</f>
        <v/>
      </c>
      <c r="M109" s="47">
        <f t="array" ref="M109">IF(INDEX(DATOS!$F$1:$F$201,ROW()-12)="","",INDEX(DATOS!$F$1:$F$201,ROW()-12))</f>
        <v/>
      </c>
      <c r="N109" s="47">
        <f t="array" ref="N109">IF(INDEX(DATOS!$G$1:$G$201,ROW()-12)="","",INDEX(DATOS!$G$1:$G$201,ROW()-12))</f>
        <v/>
      </c>
      <c r="O109" s="47">
        <f t="array" ref="O109">IF(INDEX(DATOS!$H$1:$H$201,ROW()-12)="","",INDEX(DATOS!$H$1:$H$201,ROW()-12))</f>
        <v/>
      </c>
      <c r="P109" s="47">
        <f t="array" ref="P109">IF(INDEX(DATOS!$I$1:$I$201,ROW()-12)="","",INDEX(DATOS!$I$1:$I$201,ROW()-12))</f>
        <v/>
      </c>
      <c r="Q109" s="48">
        <f t="array" ref="Q109">IF(INDEX(DATOS!$J$1:$J$201,ROW()-12)="","",INDEX(DATOS!$J$1:$J$201,ROW()-12))</f>
        <v/>
      </c>
      <c r="R109" s="49">
        <f t="array" ref="R109">IF(INDEX(DATOS!$P$1:$P$201,ROW()-12)="","",INDEX(DATOS!$P$1:$P$201,ROW()-12))</f>
        <v/>
      </c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8" customHeight="1">
      <c r="A110" s="17" t="n"/>
      <c r="B110" s="42">
        <f t="array" ref="B110">IF(INDEX(DATOS!$A$1:$A$201,ROW()-12)="","",INDEX(DATOS!$A$1:$A$201,ROW()-12))</f>
        <v/>
      </c>
      <c r="C110" s="149">
        <f t="array" ref="C110">IF(INDEX(DATOS!$B$1:$B$201,ROW()-12)="","",INDEX(DATOS!$B$1:$B$201,ROW()-12))</f>
        <v/>
      </c>
      <c r="D110" s="150" t="n"/>
      <c r="E110" s="150" t="n"/>
      <c r="F110" s="150" t="n"/>
      <c r="G110" s="151" t="n"/>
      <c r="H110" s="43">
        <f t="array" ref="H110">IF(INDEX(DATOS!$C$1:$C$201,ROW()-12)="","",INDEX(DATOS!$C$1:$C$201,ROW()-12))</f>
        <v/>
      </c>
      <c r="I110" s="44">
        <f t="array" ref="I110">IF(INDEX(DATOS!$D$1:$D$201,ROW()-12)="","",INDEX(DATOS!$D$1:$D$201,ROW()-12))</f>
        <v/>
      </c>
      <c r="J110" s="45">
        <f t="array" ref="J110">IF(INDEX(DATOS!$M$1:$M$201,ROW()-12)="","",INDEX(DATOS!$M$1:$M$201,ROW()-12))</f>
        <v/>
      </c>
      <c r="K110" s="46">
        <f t="array" ref="K110">IF(INDEX(DATOS!$K$1:$K$201,ROW()-12)="","",INDEX(DATOS!$K$1:$K$201,ROW()-12))</f>
        <v/>
      </c>
      <c r="L110" s="47">
        <f t="array" ref="L110">IF(INDEX(DATOS!$E$1:$E$201,ROW()-12)="","",INDEX(DATOS!$E$1:$E$201,ROW()-12))</f>
        <v/>
      </c>
      <c r="M110" s="47">
        <f t="array" ref="M110">IF(INDEX(DATOS!$F$1:$F$201,ROW()-12)="","",INDEX(DATOS!$F$1:$F$201,ROW()-12))</f>
        <v/>
      </c>
      <c r="N110" s="47">
        <f t="array" ref="N110">IF(INDEX(DATOS!$G$1:$G$201,ROW()-12)="","",INDEX(DATOS!$G$1:$G$201,ROW()-12))</f>
        <v/>
      </c>
      <c r="O110" s="47">
        <f t="array" ref="O110">IF(INDEX(DATOS!$H$1:$H$201,ROW()-12)="","",INDEX(DATOS!$H$1:$H$201,ROW()-12))</f>
        <v/>
      </c>
      <c r="P110" s="47">
        <f t="array" ref="P110">IF(INDEX(DATOS!$I$1:$I$201,ROW()-12)="","",INDEX(DATOS!$I$1:$I$201,ROW()-12))</f>
        <v/>
      </c>
      <c r="Q110" s="48">
        <f t="array" ref="Q110">IF(INDEX(DATOS!$J$1:$J$201,ROW()-12)="","",INDEX(DATOS!$J$1:$J$201,ROW()-12))</f>
        <v/>
      </c>
      <c r="R110" s="49">
        <f t="array" ref="R110">IF(INDEX(DATOS!$P$1:$P$201,ROW()-12)="","",INDEX(DATOS!$P$1:$P$201,ROW()-12))</f>
        <v/>
      </c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8" customHeight="1">
      <c r="A111" s="17" t="n"/>
      <c r="B111" s="42">
        <f t="array" ref="B111">IF(INDEX(DATOS!$A$1:$A$201,ROW()-12)="","",INDEX(DATOS!$A$1:$A$201,ROW()-12))</f>
        <v/>
      </c>
      <c r="C111" s="149">
        <f t="array" ref="C111">IF(INDEX(DATOS!$B$1:$B$201,ROW()-12)="","",INDEX(DATOS!$B$1:$B$201,ROW()-12))</f>
        <v/>
      </c>
      <c r="D111" s="150" t="n"/>
      <c r="E111" s="150" t="n"/>
      <c r="F111" s="150" t="n"/>
      <c r="G111" s="151" t="n"/>
      <c r="H111" s="43">
        <f t="array" ref="H111">IF(INDEX(DATOS!$C$1:$C$201,ROW()-12)="","",INDEX(DATOS!$C$1:$C$201,ROW()-12))</f>
        <v/>
      </c>
      <c r="I111" s="44">
        <f t="array" ref="I111">IF(INDEX(DATOS!$D$1:$D$201,ROW()-12)="","",INDEX(DATOS!$D$1:$D$201,ROW()-12))</f>
        <v/>
      </c>
      <c r="J111" s="45">
        <f t="array" ref="J111">IF(INDEX(DATOS!$M$1:$M$201,ROW()-12)="","",INDEX(DATOS!$M$1:$M$201,ROW()-12))</f>
        <v/>
      </c>
      <c r="K111" s="46">
        <f t="array" ref="K111">IF(INDEX(DATOS!$K$1:$K$201,ROW()-12)="","",INDEX(DATOS!$K$1:$K$201,ROW()-12))</f>
        <v/>
      </c>
      <c r="L111" s="47">
        <f t="array" ref="L111">IF(INDEX(DATOS!$E$1:$E$201,ROW()-12)="","",INDEX(DATOS!$E$1:$E$201,ROW()-12))</f>
        <v/>
      </c>
      <c r="M111" s="47">
        <f t="array" ref="M111">IF(INDEX(DATOS!$F$1:$F$201,ROW()-12)="","",INDEX(DATOS!$F$1:$F$201,ROW()-12))</f>
        <v/>
      </c>
      <c r="N111" s="47">
        <f t="array" ref="N111">IF(INDEX(DATOS!$G$1:$G$201,ROW()-12)="","",INDEX(DATOS!$G$1:$G$201,ROW()-12))</f>
        <v/>
      </c>
      <c r="O111" s="47">
        <f t="array" ref="O111">IF(INDEX(DATOS!$H$1:$H$201,ROW()-12)="","",INDEX(DATOS!$H$1:$H$201,ROW()-12))</f>
        <v/>
      </c>
      <c r="P111" s="47">
        <f t="array" ref="P111">IF(INDEX(DATOS!$I$1:$I$201,ROW()-12)="","",INDEX(DATOS!$I$1:$I$201,ROW()-12))</f>
        <v/>
      </c>
      <c r="Q111" s="48">
        <f t="array" ref="Q111">IF(INDEX(DATOS!$J$1:$J$201,ROW()-12)="","",INDEX(DATOS!$J$1:$J$201,ROW()-12))</f>
        <v/>
      </c>
      <c r="R111" s="49">
        <f t="array" ref="R111">IF(INDEX(DATOS!$P$1:$P$201,ROW()-12)="","",INDEX(DATOS!$P$1:$P$201,ROW()-12))</f>
        <v/>
      </c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8" customHeight="1">
      <c r="A112" s="17" t="n"/>
      <c r="B112" s="42">
        <f t="array" ref="B112">IF(INDEX(DATOS!$A$1:$A$201,ROW()-12)="","",INDEX(DATOS!$A$1:$A$201,ROW()-12))</f>
        <v/>
      </c>
      <c r="C112" s="149">
        <f t="array" ref="C112">IF(INDEX(DATOS!$B$1:$B$201,ROW()-12)="","",INDEX(DATOS!$B$1:$B$201,ROW()-12))</f>
        <v/>
      </c>
      <c r="D112" s="150" t="n"/>
      <c r="E112" s="150" t="n"/>
      <c r="F112" s="150" t="n"/>
      <c r="G112" s="151" t="n"/>
      <c r="H112" s="43">
        <f t="array" ref="H112">IF(INDEX(DATOS!$C$1:$C$201,ROW()-12)="","",INDEX(DATOS!$C$1:$C$201,ROW()-12))</f>
        <v/>
      </c>
      <c r="I112" s="44">
        <f t="array" ref="I112">IF(INDEX(DATOS!$D$1:$D$201,ROW()-12)="","",INDEX(DATOS!$D$1:$D$201,ROW()-12))</f>
        <v/>
      </c>
      <c r="J112" s="45">
        <f t="array" ref="J112">IF(INDEX(DATOS!$M$1:$M$201,ROW()-12)="","",INDEX(DATOS!$M$1:$M$201,ROW()-12))</f>
        <v/>
      </c>
      <c r="K112" s="46">
        <f t="array" ref="K112">IF(INDEX(DATOS!$K$1:$K$201,ROW()-12)="","",INDEX(DATOS!$K$1:$K$201,ROW()-12))</f>
        <v/>
      </c>
      <c r="L112" s="47">
        <f t="array" ref="L112">IF(INDEX(DATOS!$E$1:$E$201,ROW()-12)="","",INDEX(DATOS!$E$1:$E$201,ROW()-12))</f>
        <v/>
      </c>
      <c r="M112" s="47">
        <f t="array" ref="M112">IF(INDEX(DATOS!$F$1:$F$201,ROW()-12)="","",INDEX(DATOS!$F$1:$F$201,ROW()-12))</f>
        <v/>
      </c>
      <c r="N112" s="47">
        <f t="array" ref="N112">IF(INDEX(DATOS!$G$1:$G$201,ROW()-12)="","",INDEX(DATOS!$G$1:$G$201,ROW()-12))</f>
        <v/>
      </c>
      <c r="O112" s="47">
        <f t="array" ref="O112">IF(INDEX(DATOS!$H$1:$H$201,ROW()-12)="","",INDEX(DATOS!$H$1:$H$201,ROW()-12))</f>
        <v/>
      </c>
      <c r="P112" s="47">
        <f t="array" ref="P112">IF(INDEX(DATOS!$I$1:$I$201,ROW()-12)="","",INDEX(DATOS!$I$1:$I$201,ROW()-12))</f>
        <v/>
      </c>
      <c r="Q112" s="48">
        <f t="array" ref="Q112">IF(INDEX(DATOS!$J$1:$J$201,ROW()-12)="","",INDEX(DATOS!$J$1:$J$201,ROW()-12))</f>
        <v/>
      </c>
      <c r="R112" s="49">
        <f t="array" ref="R112">IF(INDEX(DATOS!$P$1:$P$201,ROW()-12)="","",INDEX(DATOS!$P$1:$P$201,ROW()-12))</f>
        <v/>
      </c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8" customHeight="1">
      <c r="A113" s="17" t="n"/>
      <c r="B113" s="42">
        <f t="array" ref="B113">IF(INDEX(DATOS!$A$1:$A$201,ROW()-12)="","",INDEX(DATOS!$A$1:$A$201,ROW()-12))</f>
        <v/>
      </c>
      <c r="C113" s="149">
        <f t="array" ref="C113">IF(INDEX(DATOS!$B$1:$B$201,ROW()-12)="","",INDEX(DATOS!$B$1:$B$201,ROW()-12))</f>
        <v/>
      </c>
      <c r="D113" s="150" t="n"/>
      <c r="E113" s="150" t="n"/>
      <c r="F113" s="150" t="n"/>
      <c r="G113" s="151" t="n"/>
      <c r="H113" s="43">
        <f t="array" ref="H113">IF(INDEX(DATOS!$C$1:$C$201,ROW()-12)="","",INDEX(DATOS!$C$1:$C$201,ROW()-12))</f>
        <v/>
      </c>
      <c r="I113" s="44">
        <f t="array" ref="I113">IF(INDEX(DATOS!$D$1:$D$201,ROW()-12)="","",INDEX(DATOS!$D$1:$D$201,ROW()-12))</f>
        <v/>
      </c>
      <c r="J113" s="45">
        <f t="array" ref="J113">IF(INDEX(DATOS!$M$1:$M$201,ROW()-12)="","",INDEX(DATOS!$M$1:$M$201,ROW()-12))</f>
        <v/>
      </c>
      <c r="K113" s="46">
        <f t="array" ref="K113">IF(INDEX(DATOS!$K$1:$K$201,ROW()-12)="","",INDEX(DATOS!$K$1:$K$201,ROW()-12))</f>
        <v/>
      </c>
      <c r="L113" s="47">
        <f t="array" ref="L113">IF(INDEX(DATOS!$E$1:$E$201,ROW()-12)="","",INDEX(DATOS!$E$1:$E$201,ROW()-12))</f>
        <v/>
      </c>
      <c r="M113" s="47">
        <f t="array" ref="M113">IF(INDEX(DATOS!$F$1:$F$201,ROW()-12)="","",INDEX(DATOS!$F$1:$F$201,ROW()-12))</f>
        <v/>
      </c>
      <c r="N113" s="47">
        <f t="array" ref="N113">IF(INDEX(DATOS!$G$1:$G$201,ROW()-12)="","",INDEX(DATOS!$G$1:$G$201,ROW()-12))</f>
        <v/>
      </c>
      <c r="O113" s="47">
        <f t="array" ref="O113">IF(INDEX(DATOS!$H$1:$H$201,ROW()-12)="","",INDEX(DATOS!$H$1:$H$201,ROW()-12))</f>
        <v/>
      </c>
      <c r="P113" s="47">
        <f t="array" ref="P113">IF(INDEX(DATOS!$I$1:$I$201,ROW()-12)="","",INDEX(DATOS!$I$1:$I$201,ROW()-12))</f>
        <v/>
      </c>
      <c r="Q113" s="48">
        <f t="array" ref="Q113">IF(INDEX(DATOS!$J$1:$J$201,ROW()-12)="","",INDEX(DATOS!$J$1:$J$201,ROW()-12))</f>
        <v/>
      </c>
      <c r="R113" s="49">
        <f t="array" ref="R113">IF(INDEX(DATOS!$P$1:$P$201,ROW()-12)="","",INDEX(DATOS!$P$1:$P$201,ROW()-12))</f>
        <v/>
      </c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8" customHeight="1">
      <c r="A114" s="17" t="n"/>
      <c r="B114" s="42">
        <f t="array" ref="B114">IF(INDEX(DATOS!$A$1:$A$201,ROW()-12)="","",INDEX(DATOS!$A$1:$A$201,ROW()-12))</f>
        <v/>
      </c>
      <c r="C114" s="149">
        <f t="array" ref="C114">IF(INDEX(DATOS!$B$1:$B$201,ROW()-12)="","",INDEX(DATOS!$B$1:$B$201,ROW()-12))</f>
        <v/>
      </c>
      <c r="D114" s="150" t="n"/>
      <c r="E114" s="150" t="n"/>
      <c r="F114" s="150" t="n"/>
      <c r="G114" s="151" t="n"/>
      <c r="H114" s="43">
        <f t="array" ref="H114">IF(INDEX(DATOS!$C$1:$C$201,ROW()-12)="","",INDEX(DATOS!$C$1:$C$201,ROW()-12))</f>
        <v/>
      </c>
      <c r="I114" s="44">
        <f t="array" ref="I114">IF(INDEX(DATOS!$D$1:$D$201,ROW()-12)="","",INDEX(DATOS!$D$1:$D$201,ROW()-12))</f>
        <v/>
      </c>
      <c r="J114" s="45">
        <f t="array" ref="J114">IF(INDEX(DATOS!$M$1:$M$201,ROW()-12)="","",INDEX(DATOS!$M$1:$M$201,ROW()-12))</f>
        <v/>
      </c>
      <c r="K114" s="46">
        <f t="array" ref="K114">IF(INDEX(DATOS!$K$1:$K$201,ROW()-12)="","",INDEX(DATOS!$K$1:$K$201,ROW()-12))</f>
        <v/>
      </c>
      <c r="L114" s="47">
        <f t="array" ref="L114">IF(INDEX(DATOS!$E$1:$E$201,ROW()-12)="","",INDEX(DATOS!$E$1:$E$201,ROW()-12))</f>
        <v/>
      </c>
      <c r="M114" s="47">
        <f t="array" ref="M114">IF(INDEX(DATOS!$F$1:$F$201,ROW()-12)="","",INDEX(DATOS!$F$1:$F$201,ROW()-12))</f>
        <v/>
      </c>
      <c r="N114" s="47">
        <f t="array" ref="N114">IF(INDEX(DATOS!$G$1:$G$201,ROW()-12)="","",INDEX(DATOS!$G$1:$G$201,ROW()-12))</f>
        <v/>
      </c>
      <c r="O114" s="47">
        <f t="array" ref="O114">IF(INDEX(DATOS!$H$1:$H$201,ROW()-12)="","",INDEX(DATOS!$H$1:$H$201,ROW()-12))</f>
        <v/>
      </c>
      <c r="P114" s="47">
        <f t="array" ref="P114">IF(INDEX(DATOS!$I$1:$I$201,ROW()-12)="","",INDEX(DATOS!$I$1:$I$201,ROW()-12))</f>
        <v/>
      </c>
      <c r="Q114" s="48">
        <f t="array" ref="Q114">IF(INDEX(DATOS!$J$1:$J$201,ROW()-12)="","",INDEX(DATOS!$J$1:$J$201,ROW()-12))</f>
        <v/>
      </c>
      <c r="R114" s="49">
        <f t="array" ref="R114">IF(INDEX(DATOS!$P$1:$P$201,ROW()-12)="","",INDEX(DATOS!$P$1:$P$201,ROW()-12))</f>
        <v/>
      </c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8" customHeight="1">
      <c r="A115" s="17" t="n"/>
      <c r="B115" s="42">
        <f t="array" ref="B115">IF(INDEX(DATOS!$A$1:$A$201,ROW()-12)="","",INDEX(DATOS!$A$1:$A$201,ROW()-12))</f>
        <v/>
      </c>
      <c r="C115" s="149">
        <f t="array" ref="C115">IF(INDEX(DATOS!$B$1:$B$201,ROW()-12)="","",INDEX(DATOS!$B$1:$B$201,ROW()-12))</f>
        <v/>
      </c>
      <c r="D115" s="150" t="n"/>
      <c r="E115" s="150" t="n"/>
      <c r="F115" s="150" t="n"/>
      <c r="G115" s="151" t="n"/>
      <c r="H115" s="43">
        <f t="array" ref="H115">IF(INDEX(DATOS!$C$1:$C$201,ROW()-12)="","",INDEX(DATOS!$C$1:$C$201,ROW()-12))</f>
        <v/>
      </c>
      <c r="I115" s="44">
        <f t="array" ref="I115">IF(INDEX(DATOS!$D$1:$D$201,ROW()-12)="","",INDEX(DATOS!$D$1:$D$201,ROW()-12))</f>
        <v/>
      </c>
      <c r="J115" s="45">
        <f t="array" ref="J115">IF(INDEX(DATOS!$M$1:$M$201,ROW()-12)="","",INDEX(DATOS!$M$1:$M$201,ROW()-12))</f>
        <v/>
      </c>
      <c r="K115" s="46">
        <f t="array" ref="K115">IF(INDEX(DATOS!$K$1:$K$201,ROW()-12)="","",INDEX(DATOS!$K$1:$K$201,ROW()-12))</f>
        <v/>
      </c>
      <c r="L115" s="47">
        <f t="array" ref="L115">IF(INDEX(DATOS!$E$1:$E$201,ROW()-12)="","",INDEX(DATOS!$E$1:$E$201,ROW()-12))</f>
        <v/>
      </c>
      <c r="M115" s="47">
        <f t="array" ref="M115">IF(INDEX(DATOS!$F$1:$F$201,ROW()-12)="","",INDEX(DATOS!$F$1:$F$201,ROW()-12))</f>
        <v/>
      </c>
      <c r="N115" s="47">
        <f t="array" ref="N115">IF(INDEX(DATOS!$G$1:$G$201,ROW()-12)="","",INDEX(DATOS!$G$1:$G$201,ROW()-12))</f>
        <v/>
      </c>
      <c r="O115" s="47">
        <f t="array" ref="O115">IF(INDEX(DATOS!$H$1:$H$201,ROW()-12)="","",INDEX(DATOS!$H$1:$H$201,ROW()-12))</f>
        <v/>
      </c>
      <c r="P115" s="47">
        <f t="array" ref="P115">IF(INDEX(DATOS!$I$1:$I$201,ROW()-12)="","",INDEX(DATOS!$I$1:$I$201,ROW()-12))</f>
        <v/>
      </c>
      <c r="Q115" s="48">
        <f t="array" ref="Q115">IF(INDEX(DATOS!$J$1:$J$201,ROW()-12)="","",INDEX(DATOS!$J$1:$J$201,ROW()-12))</f>
        <v/>
      </c>
      <c r="R115" s="49">
        <f t="array" ref="R115">IF(INDEX(DATOS!$P$1:$P$201,ROW()-12)="","",INDEX(DATOS!$P$1:$P$201,ROW()-12))</f>
        <v/>
      </c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8" customHeight="1">
      <c r="A116" s="17" t="n"/>
      <c r="B116" s="42">
        <f t="array" ref="B116">IF(INDEX(DATOS!$A$1:$A$201,ROW()-12)="","",INDEX(DATOS!$A$1:$A$201,ROW()-12))</f>
        <v/>
      </c>
      <c r="C116" s="149">
        <f t="array" ref="C116">IF(INDEX(DATOS!$B$1:$B$201,ROW()-12)="","",INDEX(DATOS!$B$1:$B$201,ROW()-12))</f>
        <v/>
      </c>
      <c r="D116" s="150" t="n"/>
      <c r="E116" s="150" t="n"/>
      <c r="F116" s="150" t="n"/>
      <c r="G116" s="151" t="n"/>
      <c r="H116" s="43">
        <f t="array" ref="H116">IF(INDEX(DATOS!$C$1:$C$201,ROW()-12)="","",INDEX(DATOS!$C$1:$C$201,ROW()-12))</f>
        <v/>
      </c>
      <c r="I116" s="44">
        <f t="array" ref="I116">IF(INDEX(DATOS!$D$1:$D$201,ROW()-12)="","",INDEX(DATOS!$D$1:$D$201,ROW()-12))</f>
        <v/>
      </c>
      <c r="J116" s="45">
        <f t="array" ref="J116">IF(INDEX(DATOS!$M$1:$M$201,ROW()-12)="","",INDEX(DATOS!$M$1:$M$201,ROW()-12))</f>
        <v/>
      </c>
      <c r="K116" s="46">
        <f t="array" ref="K116">IF(INDEX(DATOS!$K$1:$K$201,ROW()-12)="","",INDEX(DATOS!$K$1:$K$201,ROW()-12))</f>
        <v/>
      </c>
      <c r="L116" s="47">
        <f t="array" ref="L116">IF(INDEX(DATOS!$E$1:$E$201,ROW()-12)="","",INDEX(DATOS!$E$1:$E$201,ROW()-12))</f>
        <v/>
      </c>
      <c r="M116" s="47">
        <f t="array" ref="M116">IF(INDEX(DATOS!$F$1:$F$201,ROW()-12)="","",INDEX(DATOS!$F$1:$F$201,ROW()-12))</f>
        <v/>
      </c>
      <c r="N116" s="47">
        <f t="array" ref="N116">IF(INDEX(DATOS!$G$1:$G$201,ROW()-12)="","",INDEX(DATOS!$G$1:$G$201,ROW()-12))</f>
        <v/>
      </c>
      <c r="O116" s="47">
        <f t="array" ref="O116">IF(INDEX(DATOS!$H$1:$H$201,ROW()-12)="","",INDEX(DATOS!$H$1:$H$201,ROW()-12))</f>
        <v/>
      </c>
      <c r="P116" s="47">
        <f t="array" ref="P116">IF(INDEX(DATOS!$I$1:$I$201,ROW()-12)="","",INDEX(DATOS!$I$1:$I$201,ROW()-12))</f>
        <v/>
      </c>
      <c r="Q116" s="48">
        <f t="array" ref="Q116">IF(INDEX(DATOS!$J$1:$J$201,ROW()-12)="","",INDEX(DATOS!$J$1:$J$201,ROW()-12))</f>
        <v/>
      </c>
      <c r="R116" s="49">
        <f t="array" ref="R116">IF(INDEX(DATOS!$P$1:$P$201,ROW()-12)="","",INDEX(DATOS!$P$1:$P$201,ROW()-12))</f>
        <v/>
      </c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8" customHeight="1">
      <c r="A117" s="17" t="n"/>
      <c r="B117" s="42">
        <f t="array" ref="B117">IF(INDEX(DATOS!$A$1:$A$201,ROW()-12)="","",INDEX(DATOS!$A$1:$A$201,ROW()-12))</f>
        <v/>
      </c>
      <c r="C117" s="149">
        <f t="array" ref="C117">IF(INDEX(DATOS!$B$1:$B$201,ROW()-12)="","",INDEX(DATOS!$B$1:$B$201,ROW()-12))</f>
        <v/>
      </c>
      <c r="D117" s="150" t="n"/>
      <c r="E117" s="150" t="n"/>
      <c r="F117" s="150" t="n"/>
      <c r="G117" s="151" t="n"/>
      <c r="H117" s="43">
        <f t="array" ref="H117">IF(INDEX(DATOS!$C$1:$C$201,ROW()-12)="","",INDEX(DATOS!$C$1:$C$201,ROW()-12))</f>
        <v/>
      </c>
      <c r="I117" s="44">
        <f t="array" ref="I117">IF(INDEX(DATOS!$D$1:$D$201,ROW()-12)="","",INDEX(DATOS!$D$1:$D$201,ROW()-12))</f>
        <v/>
      </c>
      <c r="J117" s="45">
        <f t="array" ref="J117">IF(INDEX(DATOS!$M$1:$M$201,ROW()-12)="","",INDEX(DATOS!$M$1:$M$201,ROW()-12))</f>
        <v/>
      </c>
      <c r="K117" s="46">
        <f t="array" ref="K117">IF(INDEX(DATOS!$K$1:$K$201,ROW()-12)="","",INDEX(DATOS!$K$1:$K$201,ROW()-12))</f>
        <v/>
      </c>
      <c r="L117" s="47">
        <f t="array" ref="L117">IF(INDEX(DATOS!$E$1:$E$201,ROW()-12)="","",INDEX(DATOS!$E$1:$E$201,ROW()-12))</f>
        <v/>
      </c>
      <c r="M117" s="47">
        <f t="array" ref="M117">IF(INDEX(DATOS!$F$1:$F$201,ROW()-12)="","",INDEX(DATOS!$F$1:$F$201,ROW()-12))</f>
        <v/>
      </c>
      <c r="N117" s="47">
        <f t="array" ref="N117">IF(INDEX(DATOS!$G$1:$G$201,ROW()-12)="","",INDEX(DATOS!$G$1:$G$201,ROW()-12))</f>
        <v/>
      </c>
      <c r="O117" s="47">
        <f t="array" ref="O117">IF(INDEX(DATOS!$H$1:$H$201,ROW()-12)="","",INDEX(DATOS!$H$1:$H$201,ROW()-12))</f>
        <v/>
      </c>
      <c r="P117" s="47">
        <f t="array" ref="P117">IF(INDEX(DATOS!$I$1:$I$201,ROW()-12)="","",INDEX(DATOS!$I$1:$I$201,ROW()-12))</f>
        <v/>
      </c>
      <c r="Q117" s="48">
        <f t="array" ref="Q117">IF(INDEX(DATOS!$J$1:$J$201,ROW()-12)="","",INDEX(DATOS!$J$1:$J$201,ROW()-12))</f>
        <v/>
      </c>
      <c r="R117" s="49">
        <f t="array" ref="R117">IF(INDEX(DATOS!$P$1:$P$201,ROW()-12)="","",INDEX(DATOS!$P$1:$P$201,ROW()-12))</f>
        <v/>
      </c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8" customHeight="1">
      <c r="A118" s="17" t="n"/>
      <c r="B118" s="42">
        <f t="array" ref="B118">IF(INDEX(DATOS!$A$1:$A$201,ROW()-12)="","",INDEX(DATOS!$A$1:$A$201,ROW()-12))</f>
        <v/>
      </c>
      <c r="C118" s="149">
        <f t="array" ref="C118">IF(INDEX(DATOS!$B$1:$B$201,ROW()-12)="","",INDEX(DATOS!$B$1:$B$201,ROW()-12))</f>
        <v/>
      </c>
      <c r="D118" s="150" t="n"/>
      <c r="E118" s="150" t="n"/>
      <c r="F118" s="150" t="n"/>
      <c r="G118" s="151" t="n"/>
      <c r="H118" s="43">
        <f t="array" ref="H118">IF(INDEX(DATOS!$C$1:$C$201,ROW()-12)="","",INDEX(DATOS!$C$1:$C$201,ROW()-12))</f>
        <v/>
      </c>
      <c r="I118" s="44">
        <f t="array" ref="I118">IF(INDEX(DATOS!$D$1:$D$201,ROW()-12)="","",INDEX(DATOS!$D$1:$D$201,ROW()-12))</f>
        <v/>
      </c>
      <c r="J118" s="45">
        <f t="array" ref="J118">IF(INDEX(DATOS!$M$1:$M$201,ROW()-12)="","",INDEX(DATOS!$M$1:$M$201,ROW()-12))</f>
        <v/>
      </c>
      <c r="K118" s="46">
        <f t="array" ref="K118">IF(INDEX(DATOS!$K$1:$K$201,ROW()-12)="","",INDEX(DATOS!$K$1:$K$201,ROW()-12))</f>
        <v/>
      </c>
      <c r="L118" s="47">
        <f t="array" ref="L118">IF(INDEX(DATOS!$E$1:$E$201,ROW()-12)="","",INDEX(DATOS!$E$1:$E$201,ROW()-12))</f>
        <v/>
      </c>
      <c r="M118" s="47">
        <f t="array" ref="M118">IF(INDEX(DATOS!$F$1:$F$201,ROW()-12)="","",INDEX(DATOS!$F$1:$F$201,ROW()-12))</f>
        <v/>
      </c>
      <c r="N118" s="47">
        <f t="array" ref="N118">IF(INDEX(DATOS!$G$1:$G$201,ROW()-12)="","",INDEX(DATOS!$G$1:$G$201,ROW()-12))</f>
        <v/>
      </c>
      <c r="O118" s="47">
        <f t="array" ref="O118">IF(INDEX(DATOS!$H$1:$H$201,ROW()-12)="","",INDEX(DATOS!$H$1:$H$201,ROW()-12))</f>
        <v/>
      </c>
      <c r="P118" s="47">
        <f t="array" ref="P118">IF(INDEX(DATOS!$I$1:$I$201,ROW()-12)="","",INDEX(DATOS!$I$1:$I$201,ROW()-12))</f>
        <v/>
      </c>
      <c r="Q118" s="48">
        <f t="array" ref="Q118">IF(INDEX(DATOS!$J$1:$J$201,ROW()-12)="","",INDEX(DATOS!$J$1:$J$201,ROW()-12))</f>
        <v/>
      </c>
      <c r="R118" s="49">
        <f t="array" ref="R118">IF(INDEX(DATOS!$P$1:$P$201,ROW()-12)="","",INDEX(DATOS!$P$1:$P$201,ROW()-12))</f>
        <v/>
      </c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8" customHeight="1">
      <c r="A119" s="17" t="n"/>
      <c r="B119" s="42">
        <f t="array" ref="B119">IF(INDEX(DATOS!$A$1:$A$201,ROW()-12)="","",INDEX(DATOS!$A$1:$A$201,ROW()-12))</f>
        <v/>
      </c>
      <c r="C119" s="149">
        <f t="array" ref="C119">IF(INDEX(DATOS!$B$1:$B$201,ROW()-12)="","",INDEX(DATOS!$B$1:$B$201,ROW()-12))</f>
        <v/>
      </c>
      <c r="D119" s="150" t="n"/>
      <c r="E119" s="150" t="n"/>
      <c r="F119" s="150" t="n"/>
      <c r="G119" s="151" t="n"/>
      <c r="H119" s="43">
        <f t="array" ref="H119">IF(INDEX(DATOS!$C$1:$C$201,ROW()-12)="","",INDEX(DATOS!$C$1:$C$201,ROW()-12))</f>
        <v/>
      </c>
      <c r="I119" s="44">
        <f t="array" ref="I119">IF(INDEX(DATOS!$D$1:$D$201,ROW()-12)="","",INDEX(DATOS!$D$1:$D$201,ROW()-12))</f>
        <v/>
      </c>
      <c r="J119" s="45">
        <f t="array" ref="J119">IF(INDEX(DATOS!$M$1:$M$201,ROW()-12)="","",INDEX(DATOS!$M$1:$M$201,ROW()-12))</f>
        <v/>
      </c>
      <c r="K119" s="46">
        <f t="array" ref="K119">IF(INDEX(DATOS!$K$1:$K$201,ROW()-12)="","",INDEX(DATOS!$K$1:$K$201,ROW()-12))</f>
        <v/>
      </c>
      <c r="L119" s="47">
        <f t="array" ref="L119">IF(INDEX(DATOS!$E$1:$E$201,ROW()-12)="","",INDEX(DATOS!$E$1:$E$201,ROW()-12))</f>
        <v/>
      </c>
      <c r="M119" s="47">
        <f t="array" ref="M119">IF(INDEX(DATOS!$F$1:$F$201,ROW()-12)="","",INDEX(DATOS!$F$1:$F$201,ROW()-12))</f>
        <v/>
      </c>
      <c r="N119" s="47">
        <f t="array" ref="N119">IF(INDEX(DATOS!$G$1:$G$201,ROW()-12)="","",INDEX(DATOS!$G$1:$G$201,ROW()-12))</f>
        <v/>
      </c>
      <c r="O119" s="47">
        <f t="array" ref="O119">IF(INDEX(DATOS!$H$1:$H$201,ROW()-12)="","",INDEX(DATOS!$H$1:$H$201,ROW()-12))</f>
        <v/>
      </c>
      <c r="P119" s="47">
        <f t="array" ref="P119">IF(INDEX(DATOS!$I$1:$I$201,ROW()-12)="","",INDEX(DATOS!$I$1:$I$201,ROW()-12))</f>
        <v/>
      </c>
      <c r="Q119" s="48">
        <f t="array" ref="Q119">IF(INDEX(DATOS!$J$1:$J$201,ROW()-12)="","",INDEX(DATOS!$J$1:$J$201,ROW()-12))</f>
        <v/>
      </c>
      <c r="R119" s="49">
        <f t="array" ref="R119">IF(INDEX(DATOS!$P$1:$P$201,ROW()-12)="","",INDEX(DATOS!$P$1:$P$201,ROW()-12))</f>
        <v/>
      </c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8" customHeight="1">
      <c r="A120" s="17" t="n"/>
      <c r="B120" s="42">
        <f t="array" ref="B120">IF(INDEX(DATOS!$A$1:$A$201,ROW()-12)="","",INDEX(DATOS!$A$1:$A$201,ROW()-12))</f>
        <v/>
      </c>
      <c r="C120" s="149">
        <f t="array" ref="C120">IF(INDEX(DATOS!$B$1:$B$201,ROW()-12)="","",INDEX(DATOS!$B$1:$B$201,ROW()-12))</f>
        <v/>
      </c>
      <c r="D120" s="150" t="n"/>
      <c r="E120" s="150" t="n"/>
      <c r="F120" s="150" t="n"/>
      <c r="G120" s="151" t="n"/>
      <c r="H120" s="43">
        <f t="array" ref="H120">IF(INDEX(DATOS!$C$1:$C$201,ROW()-12)="","",INDEX(DATOS!$C$1:$C$201,ROW()-12))</f>
        <v/>
      </c>
      <c r="I120" s="44">
        <f t="array" ref="I120">IF(INDEX(DATOS!$D$1:$D$201,ROW()-12)="","",INDEX(DATOS!$D$1:$D$201,ROW()-12))</f>
        <v/>
      </c>
      <c r="J120" s="45">
        <f t="array" ref="J120">IF(INDEX(DATOS!$M$1:$M$201,ROW()-12)="","",INDEX(DATOS!$M$1:$M$201,ROW()-12))</f>
        <v/>
      </c>
      <c r="K120" s="46">
        <f t="array" ref="K120">IF(INDEX(DATOS!$K$1:$K$201,ROW()-12)="","",INDEX(DATOS!$K$1:$K$201,ROW()-12))</f>
        <v/>
      </c>
      <c r="L120" s="47">
        <f t="array" ref="L120">IF(INDEX(DATOS!$E$1:$E$201,ROW()-12)="","",INDEX(DATOS!$E$1:$E$201,ROW()-12))</f>
        <v/>
      </c>
      <c r="M120" s="47">
        <f t="array" ref="M120">IF(INDEX(DATOS!$F$1:$F$201,ROW()-12)="","",INDEX(DATOS!$F$1:$F$201,ROW()-12))</f>
        <v/>
      </c>
      <c r="N120" s="47">
        <f t="array" ref="N120">IF(INDEX(DATOS!$G$1:$G$201,ROW()-12)="","",INDEX(DATOS!$G$1:$G$201,ROW()-12))</f>
        <v/>
      </c>
      <c r="O120" s="47">
        <f t="array" ref="O120">IF(INDEX(DATOS!$H$1:$H$201,ROW()-12)="","",INDEX(DATOS!$H$1:$H$201,ROW()-12))</f>
        <v/>
      </c>
      <c r="P120" s="47">
        <f t="array" ref="P120">IF(INDEX(DATOS!$I$1:$I$201,ROW()-12)="","",INDEX(DATOS!$I$1:$I$201,ROW()-12))</f>
        <v/>
      </c>
      <c r="Q120" s="48">
        <f t="array" ref="Q120">IF(INDEX(DATOS!$J$1:$J$201,ROW()-12)="","",INDEX(DATOS!$J$1:$J$201,ROW()-12))</f>
        <v/>
      </c>
      <c r="R120" s="49">
        <f t="array" ref="R120">IF(INDEX(DATOS!$P$1:$P$201,ROW()-12)="","",INDEX(DATOS!$P$1:$P$201,ROW()-12))</f>
        <v/>
      </c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8" customHeight="1">
      <c r="A121" s="17" t="n"/>
      <c r="B121" s="42">
        <f t="array" ref="B121">IF(INDEX(DATOS!$A$1:$A$201,ROW()-12)="","",INDEX(DATOS!$A$1:$A$201,ROW()-12))</f>
        <v/>
      </c>
      <c r="C121" s="149">
        <f t="array" ref="C121">IF(INDEX(DATOS!$B$1:$B$201,ROW()-12)="","",INDEX(DATOS!$B$1:$B$201,ROW()-12))</f>
        <v/>
      </c>
      <c r="D121" s="150" t="n"/>
      <c r="E121" s="150" t="n"/>
      <c r="F121" s="150" t="n"/>
      <c r="G121" s="151" t="n"/>
      <c r="H121" s="43">
        <f t="array" ref="H121">IF(INDEX(DATOS!$C$1:$C$201,ROW()-12)="","",INDEX(DATOS!$C$1:$C$201,ROW()-12))</f>
        <v/>
      </c>
      <c r="I121" s="44">
        <f t="array" ref="I121">IF(INDEX(DATOS!$D$1:$D$201,ROW()-12)="","",INDEX(DATOS!$D$1:$D$201,ROW()-12))</f>
        <v/>
      </c>
      <c r="J121" s="45">
        <f t="array" ref="J121">IF(INDEX(DATOS!$M$1:$M$201,ROW()-12)="","",INDEX(DATOS!$M$1:$M$201,ROW()-12))</f>
        <v/>
      </c>
      <c r="K121" s="46">
        <f t="array" ref="K121">IF(INDEX(DATOS!$K$1:$K$201,ROW()-12)="","",INDEX(DATOS!$K$1:$K$201,ROW()-12))</f>
        <v/>
      </c>
      <c r="L121" s="47">
        <f t="array" ref="L121">IF(INDEX(DATOS!$E$1:$E$201,ROW()-12)="","",INDEX(DATOS!$E$1:$E$201,ROW()-12))</f>
        <v/>
      </c>
      <c r="M121" s="47">
        <f t="array" ref="M121">IF(INDEX(DATOS!$F$1:$F$201,ROW()-12)="","",INDEX(DATOS!$F$1:$F$201,ROW()-12))</f>
        <v/>
      </c>
      <c r="N121" s="47">
        <f t="array" ref="N121">IF(INDEX(DATOS!$G$1:$G$201,ROW()-12)="","",INDEX(DATOS!$G$1:$G$201,ROW()-12))</f>
        <v/>
      </c>
      <c r="O121" s="47">
        <f t="array" ref="O121">IF(INDEX(DATOS!$H$1:$H$201,ROW()-12)="","",INDEX(DATOS!$H$1:$H$201,ROW()-12))</f>
        <v/>
      </c>
      <c r="P121" s="47">
        <f t="array" ref="P121">IF(INDEX(DATOS!$I$1:$I$201,ROW()-12)="","",INDEX(DATOS!$I$1:$I$201,ROW()-12))</f>
        <v/>
      </c>
      <c r="Q121" s="48">
        <f t="array" ref="Q121">IF(INDEX(DATOS!$J$1:$J$201,ROW()-12)="","",INDEX(DATOS!$J$1:$J$201,ROW()-12))</f>
        <v/>
      </c>
      <c r="R121" s="49">
        <f t="array" ref="R121">IF(INDEX(DATOS!$P$1:$P$201,ROW()-12)="","",INDEX(DATOS!$P$1:$P$201,ROW()-12))</f>
        <v/>
      </c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8" customHeight="1">
      <c r="A122" s="17" t="n"/>
      <c r="B122" s="42">
        <f t="array" ref="B122">IF(INDEX(DATOS!$A$1:$A$201,ROW()-12)="","",INDEX(DATOS!$A$1:$A$201,ROW()-12))</f>
        <v/>
      </c>
      <c r="C122" s="149">
        <f t="array" ref="C122">IF(INDEX(DATOS!$B$1:$B$201,ROW()-12)="","",INDEX(DATOS!$B$1:$B$201,ROW()-12))</f>
        <v/>
      </c>
      <c r="D122" s="150" t="n"/>
      <c r="E122" s="150" t="n"/>
      <c r="F122" s="150" t="n"/>
      <c r="G122" s="151" t="n"/>
      <c r="H122" s="43">
        <f t="array" ref="H122">IF(INDEX(DATOS!$C$1:$C$201,ROW()-12)="","",INDEX(DATOS!$C$1:$C$201,ROW()-12))</f>
        <v/>
      </c>
      <c r="I122" s="44">
        <f t="array" ref="I122">IF(INDEX(DATOS!$D$1:$D$201,ROW()-12)="","",INDEX(DATOS!$D$1:$D$201,ROW()-12))</f>
        <v/>
      </c>
      <c r="J122" s="45">
        <f t="array" ref="J122">IF(INDEX(DATOS!$M$1:$M$201,ROW()-12)="","",INDEX(DATOS!$M$1:$M$201,ROW()-12))</f>
        <v/>
      </c>
      <c r="K122" s="46">
        <f t="array" ref="K122">IF(INDEX(DATOS!$K$1:$K$201,ROW()-12)="","",INDEX(DATOS!$K$1:$K$201,ROW()-12))</f>
        <v/>
      </c>
      <c r="L122" s="47">
        <f t="array" ref="L122">IF(INDEX(DATOS!$E$1:$E$201,ROW()-12)="","",INDEX(DATOS!$E$1:$E$201,ROW()-12))</f>
        <v/>
      </c>
      <c r="M122" s="47">
        <f t="array" ref="M122">IF(INDEX(DATOS!$F$1:$F$201,ROW()-12)="","",INDEX(DATOS!$F$1:$F$201,ROW()-12))</f>
        <v/>
      </c>
      <c r="N122" s="47">
        <f t="array" ref="N122">IF(INDEX(DATOS!$G$1:$G$201,ROW()-12)="","",INDEX(DATOS!$G$1:$G$201,ROW()-12))</f>
        <v/>
      </c>
      <c r="O122" s="47">
        <f t="array" ref="O122">IF(INDEX(DATOS!$H$1:$H$201,ROW()-12)="","",INDEX(DATOS!$H$1:$H$201,ROW()-12))</f>
        <v/>
      </c>
      <c r="P122" s="47">
        <f t="array" ref="P122">IF(INDEX(DATOS!$I$1:$I$201,ROW()-12)="","",INDEX(DATOS!$I$1:$I$201,ROW()-12))</f>
        <v/>
      </c>
      <c r="Q122" s="48">
        <f t="array" ref="Q122">IF(INDEX(DATOS!$J$1:$J$201,ROW()-12)="","",INDEX(DATOS!$J$1:$J$201,ROW()-12))</f>
        <v/>
      </c>
      <c r="R122" s="49">
        <f t="array" ref="R122">IF(INDEX(DATOS!$P$1:$P$201,ROW()-12)="","",INDEX(DATOS!$P$1:$P$201,ROW()-12))</f>
        <v/>
      </c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8" customHeight="1">
      <c r="A123" s="17" t="n"/>
      <c r="B123" s="42">
        <f t="array" ref="B123">IF(INDEX(DATOS!$A$1:$A$201,ROW()-12)="","",INDEX(DATOS!$A$1:$A$201,ROW()-12))</f>
        <v/>
      </c>
      <c r="C123" s="149">
        <f t="array" ref="C123">IF(INDEX(DATOS!$B$1:$B$201,ROW()-12)="","",INDEX(DATOS!$B$1:$B$201,ROW()-12))</f>
        <v/>
      </c>
      <c r="D123" s="150" t="n"/>
      <c r="E123" s="150" t="n"/>
      <c r="F123" s="150" t="n"/>
      <c r="G123" s="151" t="n"/>
      <c r="H123" s="43">
        <f t="array" ref="H123">IF(INDEX(DATOS!$C$1:$C$201,ROW()-12)="","",INDEX(DATOS!$C$1:$C$201,ROW()-12))</f>
        <v/>
      </c>
      <c r="I123" s="44">
        <f t="array" ref="I123">IF(INDEX(DATOS!$D$1:$D$201,ROW()-12)="","",INDEX(DATOS!$D$1:$D$201,ROW()-12))</f>
        <v/>
      </c>
      <c r="J123" s="45">
        <f t="array" ref="J123">IF(INDEX(DATOS!$M$1:$M$201,ROW()-12)="","",INDEX(DATOS!$M$1:$M$201,ROW()-12))</f>
        <v/>
      </c>
      <c r="K123" s="46">
        <f t="array" ref="K123">IF(INDEX(DATOS!$K$1:$K$201,ROW()-12)="","",INDEX(DATOS!$K$1:$K$201,ROW()-12))</f>
        <v/>
      </c>
      <c r="L123" s="47">
        <f t="array" ref="L123">IF(INDEX(DATOS!$E$1:$E$201,ROW()-12)="","",INDEX(DATOS!$E$1:$E$201,ROW()-12))</f>
        <v/>
      </c>
      <c r="M123" s="47">
        <f t="array" ref="M123">IF(INDEX(DATOS!$F$1:$F$201,ROW()-12)="","",INDEX(DATOS!$F$1:$F$201,ROW()-12))</f>
        <v/>
      </c>
      <c r="N123" s="47">
        <f t="array" ref="N123">IF(INDEX(DATOS!$G$1:$G$201,ROW()-12)="","",INDEX(DATOS!$G$1:$G$201,ROW()-12))</f>
        <v/>
      </c>
      <c r="O123" s="47">
        <f t="array" ref="O123">IF(INDEX(DATOS!$H$1:$H$201,ROW()-12)="","",INDEX(DATOS!$H$1:$H$201,ROW()-12))</f>
        <v/>
      </c>
      <c r="P123" s="47">
        <f t="array" ref="P123">IF(INDEX(DATOS!$I$1:$I$201,ROW()-12)="","",INDEX(DATOS!$I$1:$I$201,ROW()-12))</f>
        <v/>
      </c>
      <c r="Q123" s="48">
        <f t="array" ref="Q123">IF(INDEX(DATOS!$J$1:$J$201,ROW()-12)="","",INDEX(DATOS!$J$1:$J$201,ROW()-12))</f>
        <v/>
      </c>
      <c r="R123" s="49">
        <f t="array" ref="R123">IF(INDEX(DATOS!$P$1:$P$201,ROW()-12)="","",INDEX(DATOS!$P$1:$P$201,ROW()-12))</f>
        <v/>
      </c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8" customHeight="1">
      <c r="A124" s="17" t="n"/>
      <c r="B124" s="42">
        <f t="array" ref="B124">IF(INDEX(DATOS!$A$1:$A$201,ROW()-12)="","",INDEX(DATOS!$A$1:$A$201,ROW()-12))</f>
        <v/>
      </c>
      <c r="C124" s="149">
        <f t="array" ref="C124">IF(INDEX(DATOS!$B$1:$B$201,ROW()-12)="","",INDEX(DATOS!$B$1:$B$201,ROW()-12))</f>
        <v/>
      </c>
      <c r="D124" s="150" t="n"/>
      <c r="E124" s="150" t="n"/>
      <c r="F124" s="150" t="n"/>
      <c r="G124" s="151" t="n"/>
      <c r="H124" s="43">
        <f t="array" ref="H124">IF(INDEX(DATOS!$C$1:$C$201,ROW()-12)="","",INDEX(DATOS!$C$1:$C$201,ROW()-12))</f>
        <v/>
      </c>
      <c r="I124" s="44">
        <f t="array" ref="I124">IF(INDEX(DATOS!$D$1:$D$201,ROW()-12)="","",INDEX(DATOS!$D$1:$D$201,ROW()-12))</f>
        <v/>
      </c>
      <c r="J124" s="45">
        <f t="array" ref="J124">IF(INDEX(DATOS!$M$1:$M$201,ROW()-12)="","",INDEX(DATOS!$M$1:$M$201,ROW()-12))</f>
        <v/>
      </c>
      <c r="K124" s="46">
        <f t="array" ref="K124">IF(INDEX(DATOS!$K$1:$K$201,ROW()-12)="","",INDEX(DATOS!$K$1:$K$201,ROW()-12))</f>
        <v/>
      </c>
      <c r="L124" s="47">
        <f t="array" ref="L124">IF(INDEX(DATOS!$E$1:$E$201,ROW()-12)="","",INDEX(DATOS!$E$1:$E$201,ROW()-12))</f>
        <v/>
      </c>
      <c r="M124" s="47">
        <f t="array" ref="M124">IF(INDEX(DATOS!$F$1:$F$201,ROW()-12)="","",INDEX(DATOS!$F$1:$F$201,ROW()-12))</f>
        <v/>
      </c>
      <c r="N124" s="47">
        <f t="array" ref="N124">IF(INDEX(DATOS!$G$1:$G$201,ROW()-12)="","",INDEX(DATOS!$G$1:$G$201,ROW()-12))</f>
        <v/>
      </c>
      <c r="O124" s="47">
        <f t="array" ref="O124">IF(INDEX(DATOS!$H$1:$H$201,ROW()-12)="","",INDEX(DATOS!$H$1:$H$201,ROW()-12))</f>
        <v/>
      </c>
      <c r="P124" s="47">
        <f t="array" ref="P124">IF(INDEX(DATOS!$I$1:$I$201,ROW()-12)="","",INDEX(DATOS!$I$1:$I$201,ROW()-12))</f>
        <v/>
      </c>
      <c r="Q124" s="48">
        <f t="array" ref="Q124">IF(INDEX(DATOS!$J$1:$J$201,ROW()-12)="","",INDEX(DATOS!$J$1:$J$201,ROW()-12))</f>
        <v/>
      </c>
      <c r="R124" s="49">
        <f t="array" ref="R124">IF(INDEX(DATOS!$P$1:$P$201,ROW()-12)="","",INDEX(DATOS!$P$1:$P$201,ROW()-12))</f>
        <v/>
      </c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8" customHeight="1">
      <c r="A125" s="17" t="n"/>
      <c r="B125" s="42">
        <f t="array" ref="B125">IF(INDEX(DATOS!$A$1:$A$201,ROW()-12)="","",INDEX(DATOS!$A$1:$A$201,ROW()-12))</f>
        <v/>
      </c>
      <c r="C125" s="149">
        <f t="array" ref="C125">IF(INDEX(DATOS!$B$1:$B$201,ROW()-12)="","",INDEX(DATOS!$B$1:$B$201,ROW()-12))</f>
        <v/>
      </c>
      <c r="D125" s="150" t="n"/>
      <c r="E125" s="150" t="n"/>
      <c r="F125" s="150" t="n"/>
      <c r="G125" s="151" t="n"/>
      <c r="H125" s="43">
        <f t="array" ref="H125">IF(INDEX(DATOS!$C$1:$C$201,ROW()-12)="","",INDEX(DATOS!$C$1:$C$201,ROW()-12))</f>
        <v/>
      </c>
      <c r="I125" s="44">
        <f t="array" ref="I125">IF(INDEX(DATOS!$D$1:$D$201,ROW()-12)="","",INDEX(DATOS!$D$1:$D$201,ROW()-12))</f>
        <v/>
      </c>
      <c r="J125" s="45">
        <f t="array" ref="J125">IF(INDEX(DATOS!$M$1:$M$201,ROW()-12)="","",INDEX(DATOS!$M$1:$M$201,ROW()-12))</f>
        <v/>
      </c>
      <c r="K125" s="46">
        <f t="array" ref="K125">IF(INDEX(DATOS!$K$1:$K$201,ROW()-12)="","",INDEX(DATOS!$K$1:$K$201,ROW()-12))</f>
        <v/>
      </c>
      <c r="L125" s="47">
        <f t="array" ref="L125">IF(INDEX(DATOS!$E$1:$E$201,ROW()-12)="","",INDEX(DATOS!$E$1:$E$201,ROW()-12))</f>
        <v/>
      </c>
      <c r="M125" s="47">
        <f t="array" ref="M125">IF(INDEX(DATOS!$F$1:$F$201,ROW()-12)="","",INDEX(DATOS!$F$1:$F$201,ROW()-12))</f>
        <v/>
      </c>
      <c r="N125" s="47">
        <f t="array" ref="N125">IF(INDEX(DATOS!$G$1:$G$201,ROW()-12)="","",INDEX(DATOS!$G$1:$G$201,ROW()-12))</f>
        <v/>
      </c>
      <c r="O125" s="47">
        <f t="array" ref="O125">IF(INDEX(DATOS!$H$1:$H$201,ROW()-12)="","",INDEX(DATOS!$H$1:$H$201,ROW()-12))</f>
        <v/>
      </c>
      <c r="P125" s="47">
        <f t="array" ref="P125">IF(INDEX(DATOS!$I$1:$I$201,ROW()-12)="","",INDEX(DATOS!$I$1:$I$201,ROW()-12))</f>
        <v/>
      </c>
      <c r="Q125" s="48">
        <f t="array" ref="Q125">IF(INDEX(DATOS!$J$1:$J$201,ROW()-12)="","",INDEX(DATOS!$J$1:$J$201,ROW()-12))</f>
        <v/>
      </c>
      <c r="R125" s="49">
        <f t="array" ref="R125">IF(INDEX(DATOS!$P$1:$P$201,ROW()-12)="","",INDEX(DATOS!$P$1:$P$201,ROW()-12))</f>
        <v/>
      </c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8" customHeight="1">
      <c r="A126" s="17" t="n"/>
      <c r="B126" s="42">
        <f t="array" ref="B126">IF(INDEX(DATOS!$A$1:$A$201,ROW()-12)="","",INDEX(DATOS!$A$1:$A$201,ROW()-12))</f>
        <v/>
      </c>
      <c r="C126" s="149">
        <f t="array" ref="C126">IF(INDEX(DATOS!$B$1:$B$201,ROW()-12)="","",INDEX(DATOS!$B$1:$B$201,ROW()-12))</f>
        <v/>
      </c>
      <c r="D126" s="150" t="n"/>
      <c r="E126" s="150" t="n"/>
      <c r="F126" s="150" t="n"/>
      <c r="G126" s="151" t="n"/>
      <c r="H126" s="43">
        <f t="array" ref="H126">IF(INDEX(DATOS!$C$1:$C$201,ROW()-12)="","",INDEX(DATOS!$C$1:$C$201,ROW()-12))</f>
        <v/>
      </c>
      <c r="I126" s="44">
        <f t="array" ref="I126">IF(INDEX(DATOS!$D$1:$D$201,ROW()-12)="","",INDEX(DATOS!$D$1:$D$201,ROW()-12))</f>
        <v/>
      </c>
      <c r="J126" s="45">
        <f t="array" ref="J126">IF(INDEX(DATOS!$M$1:$M$201,ROW()-12)="","",INDEX(DATOS!$M$1:$M$201,ROW()-12))</f>
        <v/>
      </c>
      <c r="K126" s="46">
        <f t="array" ref="K126">IF(INDEX(DATOS!$K$1:$K$201,ROW()-12)="","",INDEX(DATOS!$K$1:$K$201,ROW()-12))</f>
        <v/>
      </c>
      <c r="L126" s="47">
        <f t="array" ref="L126">IF(INDEX(DATOS!$E$1:$E$201,ROW()-12)="","",INDEX(DATOS!$E$1:$E$201,ROW()-12))</f>
        <v/>
      </c>
      <c r="M126" s="47">
        <f t="array" ref="M126">IF(INDEX(DATOS!$F$1:$F$201,ROW()-12)="","",INDEX(DATOS!$F$1:$F$201,ROW()-12))</f>
        <v/>
      </c>
      <c r="N126" s="47">
        <f t="array" ref="N126">IF(INDEX(DATOS!$G$1:$G$201,ROW()-12)="","",INDEX(DATOS!$G$1:$G$201,ROW()-12))</f>
        <v/>
      </c>
      <c r="O126" s="47">
        <f t="array" ref="O126">IF(INDEX(DATOS!$H$1:$H$201,ROW()-12)="","",INDEX(DATOS!$H$1:$H$201,ROW()-12))</f>
        <v/>
      </c>
      <c r="P126" s="47">
        <f t="array" ref="P126">IF(INDEX(DATOS!$I$1:$I$201,ROW()-12)="","",INDEX(DATOS!$I$1:$I$201,ROW()-12))</f>
        <v/>
      </c>
      <c r="Q126" s="48">
        <f t="array" ref="Q126">IF(INDEX(DATOS!$J$1:$J$201,ROW()-12)="","",INDEX(DATOS!$J$1:$J$201,ROW()-12))</f>
        <v/>
      </c>
      <c r="R126" s="49">
        <f t="array" ref="R126">IF(INDEX(DATOS!$P$1:$P$201,ROW()-12)="","",INDEX(DATOS!$P$1:$P$201,ROW()-12))</f>
        <v/>
      </c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8" customHeight="1">
      <c r="A127" s="17" t="n"/>
      <c r="B127" s="42">
        <f t="array" ref="B127">IF(INDEX(DATOS!$A$1:$A$201,ROW()-12)="","",INDEX(DATOS!$A$1:$A$201,ROW()-12))</f>
        <v/>
      </c>
      <c r="C127" s="149">
        <f t="array" ref="C127">IF(INDEX(DATOS!$B$1:$B$201,ROW()-12)="","",INDEX(DATOS!$B$1:$B$201,ROW()-12))</f>
        <v/>
      </c>
      <c r="D127" s="150" t="n"/>
      <c r="E127" s="150" t="n"/>
      <c r="F127" s="150" t="n"/>
      <c r="G127" s="151" t="n"/>
      <c r="H127" s="43">
        <f t="array" ref="H127">IF(INDEX(DATOS!$C$1:$C$201,ROW()-12)="","",INDEX(DATOS!$C$1:$C$201,ROW()-12))</f>
        <v/>
      </c>
      <c r="I127" s="44">
        <f t="array" ref="I127">IF(INDEX(DATOS!$D$1:$D$201,ROW()-12)="","",INDEX(DATOS!$D$1:$D$201,ROW()-12))</f>
        <v/>
      </c>
      <c r="J127" s="45">
        <f t="array" ref="J127">IF(INDEX(DATOS!$M$1:$M$201,ROW()-12)="","",INDEX(DATOS!$M$1:$M$201,ROW()-12))</f>
        <v/>
      </c>
      <c r="K127" s="46">
        <f t="array" ref="K127">IF(INDEX(DATOS!$K$1:$K$201,ROW()-12)="","",INDEX(DATOS!$K$1:$K$201,ROW()-12))</f>
        <v/>
      </c>
      <c r="L127" s="47">
        <f t="array" ref="L127">IF(INDEX(DATOS!$E$1:$E$201,ROW()-12)="","",INDEX(DATOS!$E$1:$E$201,ROW()-12))</f>
        <v/>
      </c>
      <c r="M127" s="47">
        <f t="array" ref="M127">IF(INDEX(DATOS!$F$1:$F$201,ROW()-12)="","",INDEX(DATOS!$F$1:$F$201,ROW()-12))</f>
        <v/>
      </c>
      <c r="N127" s="47">
        <f t="array" ref="N127">IF(INDEX(DATOS!$G$1:$G$201,ROW()-12)="","",INDEX(DATOS!$G$1:$G$201,ROW()-12))</f>
        <v/>
      </c>
      <c r="O127" s="47">
        <f t="array" ref="O127">IF(INDEX(DATOS!$H$1:$H$201,ROW()-12)="","",INDEX(DATOS!$H$1:$H$201,ROW()-12))</f>
        <v/>
      </c>
      <c r="P127" s="47">
        <f t="array" ref="P127">IF(INDEX(DATOS!$I$1:$I$201,ROW()-12)="","",INDEX(DATOS!$I$1:$I$201,ROW()-12))</f>
        <v/>
      </c>
      <c r="Q127" s="48">
        <f t="array" ref="Q127">IF(INDEX(DATOS!$J$1:$J$201,ROW()-12)="","",INDEX(DATOS!$J$1:$J$201,ROW()-12))</f>
        <v/>
      </c>
      <c r="R127" s="49">
        <f t="array" ref="R127">IF(INDEX(DATOS!$P$1:$P$201,ROW()-12)="","",INDEX(DATOS!$P$1:$P$201,ROW()-12))</f>
        <v/>
      </c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8" customHeight="1">
      <c r="A128" s="17" t="n"/>
      <c r="B128" s="42">
        <f t="array" ref="B128">IF(INDEX(DATOS!$A$1:$A$201,ROW()-12)="","",INDEX(DATOS!$A$1:$A$201,ROW()-12))</f>
        <v/>
      </c>
      <c r="C128" s="149">
        <f t="array" ref="C128">IF(INDEX(DATOS!$B$1:$B$201,ROW()-12)="","",INDEX(DATOS!$B$1:$B$201,ROW()-12))</f>
        <v/>
      </c>
      <c r="D128" s="150" t="n"/>
      <c r="E128" s="150" t="n"/>
      <c r="F128" s="150" t="n"/>
      <c r="G128" s="151" t="n"/>
      <c r="H128" s="43">
        <f t="array" ref="H128">IF(INDEX(DATOS!$C$1:$C$201,ROW()-12)="","",INDEX(DATOS!$C$1:$C$201,ROW()-12))</f>
        <v/>
      </c>
      <c r="I128" s="44">
        <f t="array" ref="I128">IF(INDEX(DATOS!$D$1:$D$201,ROW()-12)="","",INDEX(DATOS!$D$1:$D$201,ROW()-12))</f>
        <v/>
      </c>
      <c r="J128" s="45">
        <f t="array" ref="J128">IF(INDEX(DATOS!$M$1:$M$201,ROW()-12)="","",INDEX(DATOS!$M$1:$M$201,ROW()-12))</f>
        <v/>
      </c>
      <c r="K128" s="46">
        <f t="array" ref="K128">IF(INDEX(DATOS!$K$1:$K$201,ROW()-12)="","",INDEX(DATOS!$K$1:$K$201,ROW()-12))</f>
        <v/>
      </c>
      <c r="L128" s="47">
        <f t="array" ref="L128">IF(INDEX(DATOS!$E$1:$E$201,ROW()-12)="","",INDEX(DATOS!$E$1:$E$201,ROW()-12))</f>
        <v/>
      </c>
      <c r="M128" s="47">
        <f t="array" ref="M128">IF(INDEX(DATOS!$F$1:$F$201,ROW()-12)="","",INDEX(DATOS!$F$1:$F$201,ROW()-12))</f>
        <v/>
      </c>
      <c r="N128" s="47">
        <f t="array" ref="N128">IF(INDEX(DATOS!$G$1:$G$201,ROW()-12)="","",INDEX(DATOS!$G$1:$G$201,ROW()-12))</f>
        <v/>
      </c>
      <c r="O128" s="47">
        <f t="array" ref="O128">IF(INDEX(DATOS!$H$1:$H$201,ROW()-12)="","",INDEX(DATOS!$H$1:$H$201,ROW()-12))</f>
        <v/>
      </c>
      <c r="P128" s="47">
        <f t="array" ref="P128">IF(INDEX(DATOS!$I$1:$I$201,ROW()-12)="","",INDEX(DATOS!$I$1:$I$201,ROW()-12))</f>
        <v/>
      </c>
      <c r="Q128" s="48">
        <f t="array" ref="Q128">IF(INDEX(DATOS!$J$1:$J$201,ROW()-12)="","",INDEX(DATOS!$J$1:$J$201,ROW()-12))</f>
        <v/>
      </c>
      <c r="R128" s="49">
        <f t="array" ref="R128">IF(INDEX(DATOS!$P$1:$P$201,ROW()-12)="","",INDEX(DATOS!$P$1:$P$201,ROW()-12))</f>
        <v/>
      </c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8" customHeight="1">
      <c r="A129" s="17" t="n"/>
      <c r="B129" s="42">
        <f t="array" ref="B129">IF(INDEX(DATOS!$A$1:$A$201,ROW()-12)="","",INDEX(DATOS!$A$1:$A$201,ROW()-12))</f>
        <v/>
      </c>
      <c r="C129" s="149">
        <f t="array" ref="C129">IF(INDEX(DATOS!$B$1:$B$201,ROW()-12)="","",INDEX(DATOS!$B$1:$B$201,ROW()-12))</f>
        <v/>
      </c>
      <c r="D129" s="150" t="n"/>
      <c r="E129" s="150" t="n"/>
      <c r="F129" s="150" t="n"/>
      <c r="G129" s="151" t="n"/>
      <c r="H129" s="43">
        <f t="array" ref="H129">IF(INDEX(DATOS!$C$1:$C$201,ROW()-12)="","",INDEX(DATOS!$C$1:$C$201,ROW()-12))</f>
        <v/>
      </c>
      <c r="I129" s="44">
        <f t="array" ref="I129">IF(INDEX(DATOS!$D$1:$D$201,ROW()-12)="","",INDEX(DATOS!$D$1:$D$201,ROW()-12))</f>
        <v/>
      </c>
      <c r="J129" s="45">
        <f t="array" ref="J129">IF(INDEX(DATOS!$M$1:$M$201,ROW()-12)="","",INDEX(DATOS!$M$1:$M$201,ROW()-12))</f>
        <v/>
      </c>
      <c r="K129" s="46">
        <f t="array" ref="K129">IF(INDEX(DATOS!$K$1:$K$201,ROW()-12)="","",INDEX(DATOS!$K$1:$K$201,ROW()-12))</f>
        <v/>
      </c>
      <c r="L129" s="47">
        <f t="array" ref="L129">IF(INDEX(DATOS!$E$1:$E$201,ROW()-12)="","",INDEX(DATOS!$E$1:$E$201,ROW()-12))</f>
        <v/>
      </c>
      <c r="M129" s="47">
        <f t="array" ref="M129">IF(INDEX(DATOS!$F$1:$F$201,ROW()-12)="","",INDEX(DATOS!$F$1:$F$201,ROW()-12))</f>
        <v/>
      </c>
      <c r="N129" s="47">
        <f t="array" ref="N129">IF(INDEX(DATOS!$G$1:$G$201,ROW()-12)="","",INDEX(DATOS!$G$1:$G$201,ROW()-12))</f>
        <v/>
      </c>
      <c r="O129" s="47">
        <f t="array" ref="O129">IF(INDEX(DATOS!$H$1:$H$201,ROW()-12)="","",INDEX(DATOS!$H$1:$H$201,ROW()-12))</f>
        <v/>
      </c>
      <c r="P129" s="47">
        <f t="array" ref="P129">IF(INDEX(DATOS!$I$1:$I$201,ROW()-12)="","",INDEX(DATOS!$I$1:$I$201,ROW()-12))</f>
        <v/>
      </c>
      <c r="Q129" s="48">
        <f t="array" ref="Q129">IF(INDEX(DATOS!$J$1:$J$201,ROW()-12)="","",INDEX(DATOS!$J$1:$J$201,ROW()-12))</f>
        <v/>
      </c>
      <c r="R129" s="49">
        <f t="array" ref="R129">IF(INDEX(DATOS!$P$1:$P$201,ROW()-12)="","",INDEX(DATOS!$P$1:$P$201,ROW()-12))</f>
        <v/>
      </c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8" customHeight="1">
      <c r="A130" s="17" t="n"/>
      <c r="B130" s="42">
        <f t="array" ref="B130">IF(INDEX(DATOS!$A$1:$A$201,ROW()-12)="","",INDEX(DATOS!$A$1:$A$201,ROW()-12))</f>
        <v/>
      </c>
      <c r="C130" s="149">
        <f t="array" ref="C130">IF(INDEX(DATOS!$B$1:$B$201,ROW()-12)="","",INDEX(DATOS!$B$1:$B$201,ROW()-12))</f>
        <v/>
      </c>
      <c r="D130" s="150" t="n"/>
      <c r="E130" s="150" t="n"/>
      <c r="F130" s="150" t="n"/>
      <c r="G130" s="151" t="n"/>
      <c r="H130" s="43">
        <f t="array" ref="H130">IF(INDEX(DATOS!$C$1:$C$201,ROW()-12)="","",INDEX(DATOS!$C$1:$C$201,ROW()-12))</f>
        <v/>
      </c>
      <c r="I130" s="44">
        <f t="array" ref="I130">IF(INDEX(DATOS!$D$1:$D$201,ROW()-12)="","",INDEX(DATOS!$D$1:$D$201,ROW()-12))</f>
        <v/>
      </c>
      <c r="J130" s="45">
        <f t="array" ref="J130">IF(INDEX(DATOS!$M$1:$M$201,ROW()-12)="","",INDEX(DATOS!$M$1:$M$201,ROW()-12))</f>
        <v/>
      </c>
      <c r="K130" s="46">
        <f t="array" ref="K130">IF(INDEX(DATOS!$K$1:$K$201,ROW()-12)="","",INDEX(DATOS!$K$1:$K$201,ROW()-12))</f>
        <v/>
      </c>
      <c r="L130" s="47">
        <f t="array" ref="L130">IF(INDEX(DATOS!$E$1:$E$201,ROW()-12)="","",INDEX(DATOS!$E$1:$E$201,ROW()-12))</f>
        <v/>
      </c>
      <c r="M130" s="47">
        <f t="array" ref="M130">IF(INDEX(DATOS!$F$1:$F$201,ROW()-12)="","",INDEX(DATOS!$F$1:$F$201,ROW()-12))</f>
        <v/>
      </c>
      <c r="N130" s="47">
        <f t="array" ref="N130">IF(INDEX(DATOS!$G$1:$G$201,ROW()-12)="","",INDEX(DATOS!$G$1:$G$201,ROW()-12))</f>
        <v/>
      </c>
      <c r="O130" s="47">
        <f t="array" ref="O130">IF(INDEX(DATOS!$H$1:$H$201,ROW()-12)="","",INDEX(DATOS!$H$1:$H$201,ROW()-12))</f>
        <v/>
      </c>
      <c r="P130" s="47">
        <f t="array" ref="P130">IF(INDEX(DATOS!$I$1:$I$201,ROW()-12)="","",INDEX(DATOS!$I$1:$I$201,ROW()-12))</f>
        <v/>
      </c>
      <c r="Q130" s="48">
        <f t="array" ref="Q130">IF(INDEX(DATOS!$J$1:$J$201,ROW()-12)="","",INDEX(DATOS!$J$1:$J$201,ROW()-12))</f>
        <v/>
      </c>
      <c r="R130" s="49">
        <f t="array" ref="R130">IF(INDEX(DATOS!$P$1:$P$201,ROW()-12)="","",INDEX(DATOS!$P$1:$P$201,ROW()-12))</f>
        <v/>
      </c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8" customHeight="1">
      <c r="A131" s="17" t="n"/>
      <c r="B131" s="42">
        <f t="array" ref="B131">IF(INDEX(DATOS!$A$1:$A$201,ROW()-12)="","",INDEX(DATOS!$A$1:$A$201,ROW()-12))</f>
        <v/>
      </c>
      <c r="C131" s="149">
        <f t="array" ref="C131">IF(INDEX(DATOS!$B$1:$B$201,ROW()-12)="","",INDEX(DATOS!$B$1:$B$201,ROW()-12))</f>
        <v/>
      </c>
      <c r="D131" s="150" t="n"/>
      <c r="E131" s="150" t="n"/>
      <c r="F131" s="150" t="n"/>
      <c r="G131" s="151" t="n"/>
      <c r="H131" s="43">
        <f t="array" ref="H131">IF(INDEX(DATOS!$C$1:$C$201,ROW()-12)="","",INDEX(DATOS!$C$1:$C$201,ROW()-12))</f>
        <v/>
      </c>
      <c r="I131" s="44">
        <f t="array" ref="I131">IF(INDEX(DATOS!$D$1:$D$201,ROW()-12)="","",INDEX(DATOS!$D$1:$D$201,ROW()-12))</f>
        <v/>
      </c>
      <c r="J131" s="45">
        <f t="array" ref="J131">IF(INDEX(DATOS!$M$1:$M$201,ROW()-12)="","",INDEX(DATOS!$M$1:$M$201,ROW()-12))</f>
        <v/>
      </c>
      <c r="K131" s="46">
        <f t="array" ref="K131">IF(INDEX(DATOS!$K$1:$K$201,ROW()-12)="","",INDEX(DATOS!$K$1:$K$201,ROW()-12))</f>
        <v/>
      </c>
      <c r="L131" s="47">
        <f t="array" ref="L131">IF(INDEX(DATOS!$E$1:$E$201,ROW()-12)="","",INDEX(DATOS!$E$1:$E$201,ROW()-12))</f>
        <v/>
      </c>
      <c r="M131" s="47">
        <f t="array" ref="M131">IF(INDEX(DATOS!$F$1:$F$201,ROW()-12)="","",INDEX(DATOS!$F$1:$F$201,ROW()-12))</f>
        <v/>
      </c>
      <c r="N131" s="47">
        <f t="array" ref="N131">IF(INDEX(DATOS!$G$1:$G$201,ROW()-12)="","",INDEX(DATOS!$G$1:$G$201,ROW()-12))</f>
        <v/>
      </c>
      <c r="O131" s="47">
        <f t="array" ref="O131">IF(INDEX(DATOS!$H$1:$H$201,ROW()-12)="","",INDEX(DATOS!$H$1:$H$201,ROW()-12))</f>
        <v/>
      </c>
      <c r="P131" s="47">
        <f t="array" ref="P131">IF(INDEX(DATOS!$I$1:$I$201,ROW()-12)="","",INDEX(DATOS!$I$1:$I$201,ROW()-12))</f>
        <v/>
      </c>
      <c r="Q131" s="48">
        <f t="array" ref="Q131">IF(INDEX(DATOS!$J$1:$J$201,ROW()-12)="","",INDEX(DATOS!$J$1:$J$201,ROW()-12))</f>
        <v/>
      </c>
      <c r="R131" s="49">
        <f t="array" ref="R131">IF(INDEX(DATOS!$P$1:$P$201,ROW()-12)="","",INDEX(DATOS!$P$1:$P$201,ROW()-12))</f>
        <v/>
      </c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8" customHeight="1">
      <c r="A132" s="17" t="n"/>
      <c r="B132" s="42">
        <f t="array" ref="B132">IF(INDEX(DATOS!$A$1:$A$201,ROW()-12)="","",INDEX(DATOS!$A$1:$A$201,ROW()-12))</f>
        <v/>
      </c>
      <c r="C132" s="149">
        <f t="array" ref="C132">IF(INDEX(DATOS!$B$1:$B$201,ROW()-12)="","",INDEX(DATOS!$B$1:$B$201,ROW()-12))</f>
        <v/>
      </c>
      <c r="D132" s="150" t="n"/>
      <c r="E132" s="150" t="n"/>
      <c r="F132" s="150" t="n"/>
      <c r="G132" s="151" t="n"/>
      <c r="H132" s="43">
        <f t="array" ref="H132">IF(INDEX(DATOS!$C$1:$C$201,ROW()-12)="","",INDEX(DATOS!$C$1:$C$201,ROW()-12))</f>
        <v/>
      </c>
      <c r="I132" s="44">
        <f t="array" ref="I132">IF(INDEX(DATOS!$D$1:$D$201,ROW()-12)="","",INDEX(DATOS!$D$1:$D$201,ROW()-12))</f>
        <v/>
      </c>
      <c r="J132" s="45">
        <f t="array" ref="J132">IF(INDEX(DATOS!$M$1:$M$201,ROW()-12)="","",INDEX(DATOS!$M$1:$M$201,ROW()-12))</f>
        <v/>
      </c>
      <c r="K132" s="46">
        <f t="array" ref="K132">IF(INDEX(DATOS!$K$1:$K$201,ROW()-12)="","",INDEX(DATOS!$K$1:$K$201,ROW()-12))</f>
        <v/>
      </c>
      <c r="L132" s="47">
        <f t="array" ref="L132">IF(INDEX(DATOS!$E$1:$E$201,ROW()-12)="","",INDEX(DATOS!$E$1:$E$201,ROW()-12))</f>
        <v/>
      </c>
      <c r="M132" s="47">
        <f t="array" ref="M132">IF(INDEX(DATOS!$F$1:$F$201,ROW()-12)="","",INDEX(DATOS!$F$1:$F$201,ROW()-12))</f>
        <v/>
      </c>
      <c r="N132" s="47">
        <f t="array" ref="N132">IF(INDEX(DATOS!$G$1:$G$201,ROW()-12)="","",INDEX(DATOS!$G$1:$G$201,ROW()-12))</f>
        <v/>
      </c>
      <c r="O132" s="47">
        <f t="array" ref="O132">IF(INDEX(DATOS!$H$1:$H$201,ROW()-12)="","",INDEX(DATOS!$H$1:$H$201,ROW()-12))</f>
        <v/>
      </c>
      <c r="P132" s="47">
        <f t="array" ref="P132">IF(INDEX(DATOS!$I$1:$I$201,ROW()-12)="","",INDEX(DATOS!$I$1:$I$201,ROW()-12))</f>
        <v/>
      </c>
      <c r="Q132" s="48">
        <f t="array" ref="Q132">IF(INDEX(DATOS!$J$1:$J$201,ROW()-12)="","",INDEX(DATOS!$J$1:$J$201,ROW()-12))</f>
        <v/>
      </c>
      <c r="R132" s="49">
        <f t="array" ref="R132">IF(INDEX(DATOS!$P$1:$P$201,ROW()-12)="","",INDEX(DATOS!$P$1:$P$201,ROW()-12))</f>
        <v/>
      </c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8" customHeight="1">
      <c r="A133" s="17" t="n"/>
      <c r="B133" s="42">
        <f t="array" ref="B133">IF(INDEX(DATOS!$A$1:$A$201,ROW()-12)="","",INDEX(DATOS!$A$1:$A$201,ROW()-12))</f>
        <v/>
      </c>
      <c r="C133" s="149">
        <f t="array" ref="C133">IF(INDEX(DATOS!$B$1:$B$201,ROW()-12)="","",INDEX(DATOS!$B$1:$B$201,ROW()-12))</f>
        <v/>
      </c>
      <c r="D133" s="150" t="n"/>
      <c r="E133" s="150" t="n"/>
      <c r="F133" s="150" t="n"/>
      <c r="G133" s="151" t="n"/>
      <c r="H133" s="43">
        <f t="array" ref="H133">IF(INDEX(DATOS!$C$1:$C$201,ROW()-12)="","",INDEX(DATOS!$C$1:$C$201,ROW()-12))</f>
        <v/>
      </c>
      <c r="I133" s="44">
        <f t="array" ref="I133">IF(INDEX(DATOS!$D$1:$D$201,ROW()-12)="","",INDEX(DATOS!$D$1:$D$201,ROW()-12))</f>
        <v/>
      </c>
      <c r="J133" s="45">
        <f t="array" ref="J133">IF(INDEX(DATOS!$M$1:$M$201,ROW()-12)="","",INDEX(DATOS!$M$1:$M$201,ROW()-12))</f>
        <v/>
      </c>
      <c r="K133" s="46">
        <f t="array" ref="K133">IF(INDEX(DATOS!$K$1:$K$201,ROW()-12)="","",INDEX(DATOS!$K$1:$K$201,ROW()-12))</f>
        <v/>
      </c>
      <c r="L133" s="47">
        <f t="array" ref="L133">IF(INDEX(DATOS!$E$1:$E$201,ROW()-12)="","",INDEX(DATOS!$E$1:$E$201,ROW()-12))</f>
        <v/>
      </c>
      <c r="M133" s="47">
        <f t="array" ref="M133">IF(INDEX(DATOS!$F$1:$F$201,ROW()-12)="","",INDEX(DATOS!$F$1:$F$201,ROW()-12))</f>
        <v/>
      </c>
      <c r="N133" s="47">
        <f t="array" ref="N133">IF(INDEX(DATOS!$G$1:$G$201,ROW()-12)="","",INDEX(DATOS!$G$1:$G$201,ROW()-12))</f>
        <v/>
      </c>
      <c r="O133" s="47">
        <f t="array" ref="O133">IF(INDEX(DATOS!$H$1:$H$201,ROW()-12)="","",INDEX(DATOS!$H$1:$H$201,ROW()-12))</f>
        <v/>
      </c>
      <c r="P133" s="47">
        <f t="array" ref="P133">IF(INDEX(DATOS!$I$1:$I$201,ROW()-12)="","",INDEX(DATOS!$I$1:$I$201,ROW()-12))</f>
        <v/>
      </c>
      <c r="Q133" s="48">
        <f t="array" ref="Q133">IF(INDEX(DATOS!$J$1:$J$201,ROW()-12)="","",INDEX(DATOS!$J$1:$J$201,ROW()-12))</f>
        <v/>
      </c>
      <c r="R133" s="49">
        <f t="array" ref="R133">IF(INDEX(DATOS!$P$1:$P$201,ROW()-12)="","",INDEX(DATOS!$P$1:$P$201,ROW()-12))</f>
        <v/>
      </c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8" customHeight="1">
      <c r="A134" s="17" t="n"/>
      <c r="B134" s="42">
        <f t="array" ref="B134">IF(INDEX(DATOS!$A$1:$A$201,ROW()-12)="","",INDEX(DATOS!$A$1:$A$201,ROW()-12))</f>
        <v/>
      </c>
      <c r="C134" s="149">
        <f t="array" ref="C134">IF(INDEX(DATOS!$B$1:$B$201,ROW()-12)="","",INDEX(DATOS!$B$1:$B$201,ROW()-12))</f>
        <v/>
      </c>
      <c r="D134" s="150" t="n"/>
      <c r="E134" s="150" t="n"/>
      <c r="F134" s="150" t="n"/>
      <c r="G134" s="151" t="n"/>
      <c r="H134" s="43">
        <f t="array" ref="H134">IF(INDEX(DATOS!$C$1:$C$201,ROW()-12)="","",INDEX(DATOS!$C$1:$C$201,ROW()-12))</f>
        <v/>
      </c>
      <c r="I134" s="44">
        <f t="array" ref="I134">IF(INDEX(DATOS!$D$1:$D$201,ROW()-12)="","",INDEX(DATOS!$D$1:$D$201,ROW()-12))</f>
        <v/>
      </c>
      <c r="J134" s="45">
        <f t="array" ref="J134">IF(INDEX(DATOS!$M$1:$M$201,ROW()-12)="","",INDEX(DATOS!$M$1:$M$201,ROW()-12))</f>
        <v/>
      </c>
      <c r="K134" s="46">
        <f t="array" ref="K134">IF(INDEX(DATOS!$K$1:$K$201,ROW()-12)="","",INDEX(DATOS!$K$1:$K$201,ROW()-12))</f>
        <v/>
      </c>
      <c r="L134" s="47">
        <f t="array" ref="L134">IF(INDEX(DATOS!$E$1:$E$201,ROW()-12)="","",INDEX(DATOS!$E$1:$E$201,ROW()-12))</f>
        <v/>
      </c>
      <c r="M134" s="47">
        <f t="array" ref="M134">IF(INDEX(DATOS!$F$1:$F$201,ROW()-12)="","",INDEX(DATOS!$F$1:$F$201,ROW()-12))</f>
        <v/>
      </c>
      <c r="N134" s="47">
        <f t="array" ref="N134">IF(INDEX(DATOS!$G$1:$G$201,ROW()-12)="","",INDEX(DATOS!$G$1:$G$201,ROW()-12))</f>
        <v/>
      </c>
      <c r="O134" s="47">
        <f t="array" ref="O134">IF(INDEX(DATOS!$H$1:$H$201,ROW()-12)="","",INDEX(DATOS!$H$1:$H$201,ROW()-12))</f>
        <v/>
      </c>
      <c r="P134" s="47">
        <f t="array" ref="P134">IF(INDEX(DATOS!$I$1:$I$201,ROW()-12)="","",INDEX(DATOS!$I$1:$I$201,ROW()-12))</f>
        <v/>
      </c>
      <c r="Q134" s="48">
        <f t="array" ref="Q134">IF(INDEX(DATOS!$J$1:$J$201,ROW()-12)="","",INDEX(DATOS!$J$1:$J$201,ROW()-12))</f>
        <v/>
      </c>
      <c r="R134" s="49">
        <f t="array" ref="R134">IF(INDEX(DATOS!$P$1:$P$201,ROW()-12)="","",INDEX(DATOS!$P$1:$P$201,ROW()-12))</f>
        <v/>
      </c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8" customHeight="1">
      <c r="A135" s="17" t="n"/>
      <c r="B135" s="42">
        <f t="array" ref="B135">IF(INDEX(DATOS!$A$1:$A$201,ROW()-12)="","",INDEX(DATOS!$A$1:$A$201,ROW()-12))</f>
        <v/>
      </c>
      <c r="C135" s="149">
        <f t="array" ref="C135">IF(INDEX(DATOS!$B$1:$B$201,ROW()-12)="","",INDEX(DATOS!$B$1:$B$201,ROW()-12))</f>
        <v/>
      </c>
      <c r="D135" s="150" t="n"/>
      <c r="E135" s="150" t="n"/>
      <c r="F135" s="150" t="n"/>
      <c r="G135" s="151" t="n"/>
      <c r="H135" s="43">
        <f t="array" ref="H135">IF(INDEX(DATOS!$C$1:$C$201,ROW()-12)="","",INDEX(DATOS!$C$1:$C$201,ROW()-12))</f>
        <v/>
      </c>
      <c r="I135" s="44">
        <f t="array" ref="I135">IF(INDEX(DATOS!$D$1:$D$201,ROW()-12)="","",INDEX(DATOS!$D$1:$D$201,ROW()-12))</f>
        <v/>
      </c>
      <c r="J135" s="45">
        <f t="array" ref="J135">IF(INDEX(DATOS!$M$1:$M$201,ROW()-12)="","",INDEX(DATOS!$M$1:$M$201,ROW()-12))</f>
        <v/>
      </c>
      <c r="K135" s="46">
        <f t="array" ref="K135">IF(INDEX(DATOS!$K$1:$K$201,ROW()-12)="","",INDEX(DATOS!$K$1:$K$201,ROW()-12))</f>
        <v/>
      </c>
      <c r="L135" s="47">
        <f t="array" ref="L135">IF(INDEX(DATOS!$E$1:$E$201,ROW()-12)="","",INDEX(DATOS!$E$1:$E$201,ROW()-12))</f>
        <v/>
      </c>
      <c r="M135" s="47">
        <f t="array" ref="M135">IF(INDEX(DATOS!$F$1:$F$201,ROW()-12)="","",INDEX(DATOS!$F$1:$F$201,ROW()-12))</f>
        <v/>
      </c>
      <c r="N135" s="47">
        <f t="array" ref="N135">IF(INDEX(DATOS!$G$1:$G$201,ROW()-12)="","",INDEX(DATOS!$G$1:$G$201,ROW()-12))</f>
        <v/>
      </c>
      <c r="O135" s="47">
        <f t="array" ref="O135">IF(INDEX(DATOS!$H$1:$H$201,ROW()-12)="","",INDEX(DATOS!$H$1:$H$201,ROW()-12))</f>
        <v/>
      </c>
      <c r="P135" s="47">
        <f t="array" ref="P135">IF(INDEX(DATOS!$I$1:$I$201,ROW()-12)="","",INDEX(DATOS!$I$1:$I$201,ROW()-12))</f>
        <v/>
      </c>
      <c r="Q135" s="48">
        <f t="array" ref="Q135">IF(INDEX(DATOS!$J$1:$J$201,ROW()-12)="","",INDEX(DATOS!$J$1:$J$201,ROW()-12))</f>
        <v/>
      </c>
      <c r="R135" s="49">
        <f t="array" ref="R135">IF(INDEX(DATOS!$P$1:$P$201,ROW()-12)="","",INDEX(DATOS!$P$1:$P$201,ROW()-12))</f>
        <v/>
      </c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8" customHeight="1">
      <c r="A136" s="17" t="n"/>
      <c r="B136" s="42">
        <f t="array" ref="B136">IF(INDEX(DATOS!$A$1:$A$201,ROW()-12)="","",INDEX(DATOS!$A$1:$A$201,ROW()-12))</f>
        <v/>
      </c>
      <c r="C136" s="149">
        <f t="array" ref="C136">IF(INDEX(DATOS!$B$1:$B$201,ROW()-12)="","",INDEX(DATOS!$B$1:$B$201,ROW()-12))</f>
        <v/>
      </c>
      <c r="D136" s="150" t="n"/>
      <c r="E136" s="150" t="n"/>
      <c r="F136" s="150" t="n"/>
      <c r="G136" s="151" t="n"/>
      <c r="H136" s="43">
        <f t="array" ref="H136">IF(INDEX(DATOS!$C$1:$C$201,ROW()-12)="","",INDEX(DATOS!$C$1:$C$201,ROW()-12))</f>
        <v/>
      </c>
      <c r="I136" s="44">
        <f t="array" ref="I136">IF(INDEX(DATOS!$D$1:$D$201,ROW()-12)="","",INDEX(DATOS!$D$1:$D$201,ROW()-12))</f>
        <v/>
      </c>
      <c r="J136" s="45">
        <f t="array" ref="J136">IF(INDEX(DATOS!$M$1:$M$201,ROW()-12)="","",INDEX(DATOS!$M$1:$M$201,ROW()-12))</f>
        <v/>
      </c>
      <c r="K136" s="46">
        <f t="array" ref="K136">IF(INDEX(DATOS!$K$1:$K$201,ROW()-12)="","",INDEX(DATOS!$K$1:$K$201,ROW()-12))</f>
        <v/>
      </c>
      <c r="L136" s="47">
        <f t="array" ref="L136">IF(INDEX(DATOS!$E$1:$E$201,ROW()-12)="","",INDEX(DATOS!$E$1:$E$201,ROW()-12))</f>
        <v/>
      </c>
      <c r="M136" s="47">
        <f t="array" ref="M136">IF(INDEX(DATOS!$F$1:$F$201,ROW()-12)="","",INDEX(DATOS!$F$1:$F$201,ROW()-12))</f>
        <v/>
      </c>
      <c r="N136" s="47">
        <f t="array" ref="N136">IF(INDEX(DATOS!$G$1:$G$201,ROW()-12)="","",INDEX(DATOS!$G$1:$G$201,ROW()-12))</f>
        <v/>
      </c>
      <c r="O136" s="47">
        <f t="array" ref="O136">IF(INDEX(DATOS!$H$1:$H$201,ROW()-12)="","",INDEX(DATOS!$H$1:$H$201,ROW()-12))</f>
        <v/>
      </c>
      <c r="P136" s="47">
        <f t="array" ref="P136">IF(INDEX(DATOS!$I$1:$I$201,ROW()-12)="","",INDEX(DATOS!$I$1:$I$201,ROW()-12))</f>
        <v/>
      </c>
      <c r="Q136" s="48">
        <f t="array" ref="Q136">IF(INDEX(DATOS!$J$1:$J$201,ROW()-12)="","",INDEX(DATOS!$J$1:$J$201,ROW()-12))</f>
        <v/>
      </c>
      <c r="R136" s="49">
        <f t="array" ref="R136">IF(INDEX(DATOS!$P$1:$P$201,ROW()-12)="","",INDEX(DATOS!$P$1:$P$201,ROW()-12))</f>
        <v/>
      </c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8" customHeight="1">
      <c r="A137" s="17" t="n"/>
      <c r="B137" s="42">
        <f t="array" ref="B137">IF(INDEX(DATOS!$A$1:$A$201,ROW()-12)="","",INDEX(DATOS!$A$1:$A$201,ROW()-12))</f>
        <v/>
      </c>
      <c r="C137" s="149">
        <f t="array" ref="C137">IF(INDEX(DATOS!$B$1:$B$201,ROW()-12)="","",INDEX(DATOS!$B$1:$B$201,ROW()-12))</f>
        <v/>
      </c>
      <c r="D137" s="150" t="n"/>
      <c r="E137" s="150" t="n"/>
      <c r="F137" s="150" t="n"/>
      <c r="G137" s="151" t="n"/>
      <c r="H137" s="43">
        <f t="array" ref="H137">IF(INDEX(DATOS!$C$1:$C$201,ROW()-12)="","",INDEX(DATOS!$C$1:$C$201,ROW()-12))</f>
        <v/>
      </c>
      <c r="I137" s="44">
        <f t="array" ref="I137">IF(INDEX(DATOS!$D$1:$D$201,ROW()-12)="","",INDEX(DATOS!$D$1:$D$201,ROW()-12))</f>
        <v/>
      </c>
      <c r="J137" s="45">
        <f t="array" ref="J137">IF(INDEX(DATOS!$M$1:$M$201,ROW()-12)="","",INDEX(DATOS!$M$1:$M$201,ROW()-12))</f>
        <v/>
      </c>
      <c r="K137" s="46">
        <f t="array" ref="K137">IF(INDEX(DATOS!$K$1:$K$201,ROW()-12)="","",INDEX(DATOS!$K$1:$K$201,ROW()-12))</f>
        <v/>
      </c>
      <c r="L137" s="47">
        <f t="array" ref="L137">IF(INDEX(DATOS!$E$1:$E$201,ROW()-12)="","",INDEX(DATOS!$E$1:$E$201,ROW()-12))</f>
        <v/>
      </c>
      <c r="M137" s="47">
        <f t="array" ref="M137">IF(INDEX(DATOS!$F$1:$F$201,ROW()-12)="","",INDEX(DATOS!$F$1:$F$201,ROW()-12))</f>
        <v/>
      </c>
      <c r="N137" s="47">
        <f t="array" ref="N137">IF(INDEX(DATOS!$G$1:$G$201,ROW()-12)="","",INDEX(DATOS!$G$1:$G$201,ROW()-12))</f>
        <v/>
      </c>
      <c r="O137" s="47">
        <f t="array" ref="O137">IF(INDEX(DATOS!$H$1:$H$201,ROW()-12)="","",INDEX(DATOS!$H$1:$H$201,ROW()-12))</f>
        <v/>
      </c>
      <c r="P137" s="47">
        <f t="array" ref="P137">IF(INDEX(DATOS!$I$1:$I$201,ROW()-12)="","",INDEX(DATOS!$I$1:$I$201,ROW()-12))</f>
        <v/>
      </c>
      <c r="Q137" s="48">
        <f t="array" ref="Q137">IF(INDEX(DATOS!$J$1:$J$201,ROW()-12)="","",INDEX(DATOS!$J$1:$J$201,ROW()-12))</f>
        <v/>
      </c>
      <c r="R137" s="49">
        <f t="array" ref="R137">IF(INDEX(DATOS!$P$1:$P$201,ROW()-12)="","",INDEX(DATOS!$P$1:$P$201,ROW()-12))</f>
        <v/>
      </c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8" customHeight="1">
      <c r="A138" s="17" t="n"/>
      <c r="B138" s="42">
        <f t="array" ref="B138">IF(INDEX(DATOS!$A$1:$A$201,ROW()-12)="","",INDEX(DATOS!$A$1:$A$201,ROW()-12))</f>
        <v/>
      </c>
      <c r="C138" s="149">
        <f t="array" ref="C138">IF(INDEX(DATOS!$B$1:$B$201,ROW()-12)="","",INDEX(DATOS!$B$1:$B$201,ROW()-12))</f>
        <v/>
      </c>
      <c r="D138" s="150" t="n"/>
      <c r="E138" s="150" t="n"/>
      <c r="F138" s="150" t="n"/>
      <c r="G138" s="151" t="n"/>
      <c r="H138" s="43">
        <f t="array" ref="H138">IF(INDEX(DATOS!$C$1:$C$201,ROW()-12)="","",INDEX(DATOS!$C$1:$C$201,ROW()-12))</f>
        <v/>
      </c>
      <c r="I138" s="44">
        <f t="array" ref="I138">IF(INDEX(DATOS!$D$1:$D$201,ROW()-12)="","",INDEX(DATOS!$D$1:$D$201,ROW()-12))</f>
        <v/>
      </c>
      <c r="J138" s="45">
        <f t="array" ref="J138">IF(INDEX(DATOS!$M$1:$M$201,ROW()-12)="","",INDEX(DATOS!$M$1:$M$201,ROW()-12))</f>
        <v/>
      </c>
      <c r="K138" s="46">
        <f t="array" ref="K138">IF(INDEX(DATOS!$K$1:$K$201,ROW()-12)="","",INDEX(DATOS!$K$1:$K$201,ROW()-12))</f>
        <v/>
      </c>
      <c r="L138" s="47">
        <f t="array" ref="L138">IF(INDEX(DATOS!$E$1:$E$201,ROW()-12)="","",INDEX(DATOS!$E$1:$E$201,ROW()-12))</f>
        <v/>
      </c>
      <c r="M138" s="47">
        <f t="array" ref="M138">IF(INDEX(DATOS!$F$1:$F$201,ROW()-12)="","",INDEX(DATOS!$F$1:$F$201,ROW()-12))</f>
        <v/>
      </c>
      <c r="N138" s="47">
        <f t="array" ref="N138">IF(INDEX(DATOS!$G$1:$G$201,ROW()-12)="","",INDEX(DATOS!$G$1:$G$201,ROW()-12))</f>
        <v/>
      </c>
      <c r="O138" s="47">
        <f t="array" ref="O138">IF(INDEX(DATOS!$H$1:$H$201,ROW()-12)="","",INDEX(DATOS!$H$1:$H$201,ROW()-12))</f>
        <v/>
      </c>
      <c r="P138" s="47">
        <f t="array" ref="P138">IF(INDEX(DATOS!$I$1:$I$201,ROW()-12)="","",INDEX(DATOS!$I$1:$I$201,ROW()-12))</f>
        <v/>
      </c>
      <c r="Q138" s="48">
        <f t="array" ref="Q138">IF(INDEX(DATOS!$J$1:$J$201,ROW()-12)="","",INDEX(DATOS!$J$1:$J$201,ROW()-12))</f>
        <v/>
      </c>
      <c r="R138" s="49">
        <f t="array" ref="R138">IF(INDEX(DATOS!$P$1:$P$201,ROW()-12)="","",INDEX(DATOS!$P$1:$P$201,ROW()-12))</f>
        <v/>
      </c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8" customHeight="1">
      <c r="A139" s="17" t="n"/>
      <c r="B139" s="42">
        <f t="array" ref="B139">IF(INDEX(DATOS!$A$1:$A$201,ROW()-12)="","",INDEX(DATOS!$A$1:$A$201,ROW()-12))</f>
        <v/>
      </c>
      <c r="C139" s="149">
        <f t="array" ref="C139">IF(INDEX(DATOS!$B$1:$B$201,ROW()-12)="","",INDEX(DATOS!$B$1:$B$201,ROW()-12))</f>
        <v/>
      </c>
      <c r="D139" s="150" t="n"/>
      <c r="E139" s="150" t="n"/>
      <c r="F139" s="150" t="n"/>
      <c r="G139" s="151" t="n"/>
      <c r="H139" s="43">
        <f t="array" ref="H139">IF(INDEX(DATOS!$C$1:$C$201,ROW()-12)="","",INDEX(DATOS!$C$1:$C$201,ROW()-12))</f>
        <v/>
      </c>
      <c r="I139" s="44">
        <f t="array" ref="I139">IF(INDEX(DATOS!$D$1:$D$201,ROW()-12)="","",INDEX(DATOS!$D$1:$D$201,ROW()-12))</f>
        <v/>
      </c>
      <c r="J139" s="45">
        <f t="array" ref="J139">IF(INDEX(DATOS!$M$1:$M$201,ROW()-12)="","",INDEX(DATOS!$M$1:$M$201,ROW()-12))</f>
        <v/>
      </c>
      <c r="K139" s="46">
        <f t="array" ref="K139">IF(INDEX(DATOS!$K$1:$K$201,ROW()-12)="","",INDEX(DATOS!$K$1:$K$201,ROW()-12))</f>
        <v/>
      </c>
      <c r="L139" s="47">
        <f t="array" ref="L139">IF(INDEX(DATOS!$E$1:$E$201,ROW()-12)="","",INDEX(DATOS!$E$1:$E$201,ROW()-12))</f>
        <v/>
      </c>
      <c r="M139" s="47">
        <f t="array" ref="M139">IF(INDEX(DATOS!$F$1:$F$201,ROW()-12)="","",INDEX(DATOS!$F$1:$F$201,ROW()-12))</f>
        <v/>
      </c>
      <c r="N139" s="47">
        <f t="array" ref="N139">IF(INDEX(DATOS!$G$1:$G$201,ROW()-12)="","",INDEX(DATOS!$G$1:$G$201,ROW()-12))</f>
        <v/>
      </c>
      <c r="O139" s="47">
        <f t="array" ref="O139">IF(INDEX(DATOS!$H$1:$H$201,ROW()-12)="","",INDEX(DATOS!$H$1:$H$201,ROW()-12))</f>
        <v/>
      </c>
      <c r="P139" s="47">
        <f t="array" ref="P139">IF(INDEX(DATOS!$I$1:$I$201,ROW()-12)="","",INDEX(DATOS!$I$1:$I$201,ROW()-12))</f>
        <v/>
      </c>
      <c r="Q139" s="48">
        <f t="array" ref="Q139">IF(INDEX(DATOS!$J$1:$J$201,ROW()-12)="","",INDEX(DATOS!$J$1:$J$201,ROW()-12))</f>
        <v/>
      </c>
      <c r="R139" s="49">
        <f t="array" ref="R139">IF(INDEX(DATOS!$P$1:$P$201,ROW()-12)="","",INDEX(DATOS!$P$1:$P$201,ROW()-12))</f>
        <v/>
      </c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8" customHeight="1">
      <c r="A140" s="17" t="n"/>
      <c r="B140" s="42">
        <f t="array" ref="B140">IF(INDEX(DATOS!$A$1:$A$201,ROW()-12)="","",INDEX(DATOS!$A$1:$A$201,ROW()-12))</f>
        <v/>
      </c>
      <c r="C140" s="149">
        <f t="array" ref="C140">IF(INDEX(DATOS!$B$1:$B$201,ROW()-12)="","",INDEX(DATOS!$B$1:$B$201,ROW()-12))</f>
        <v/>
      </c>
      <c r="D140" s="150" t="n"/>
      <c r="E140" s="150" t="n"/>
      <c r="F140" s="150" t="n"/>
      <c r="G140" s="151" t="n"/>
      <c r="H140" s="43">
        <f t="array" ref="H140">IF(INDEX(DATOS!$C$1:$C$201,ROW()-12)="","",INDEX(DATOS!$C$1:$C$201,ROW()-12))</f>
        <v/>
      </c>
      <c r="I140" s="44">
        <f t="array" ref="I140">IF(INDEX(DATOS!$D$1:$D$201,ROW()-12)="","",INDEX(DATOS!$D$1:$D$201,ROW()-12))</f>
        <v/>
      </c>
      <c r="J140" s="45">
        <f t="array" ref="J140">IF(INDEX(DATOS!$M$1:$M$201,ROW()-12)="","",INDEX(DATOS!$M$1:$M$201,ROW()-12))</f>
        <v/>
      </c>
      <c r="K140" s="46">
        <f t="array" ref="K140">IF(INDEX(DATOS!$K$1:$K$201,ROW()-12)="","",INDEX(DATOS!$K$1:$K$201,ROW()-12))</f>
        <v/>
      </c>
      <c r="L140" s="47">
        <f t="array" ref="L140">IF(INDEX(DATOS!$E$1:$E$201,ROW()-12)="","",INDEX(DATOS!$E$1:$E$201,ROW()-12))</f>
        <v/>
      </c>
      <c r="M140" s="47">
        <f t="array" ref="M140">IF(INDEX(DATOS!$F$1:$F$201,ROW()-12)="","",INDEX(DATOS!$F$1:$F$201,ROW()-12))</f>
        <v/>
      </c>
      <c r="N140" s="47">
        <f t="array" ref="N140">IF(INDEX(DATOS!$G$1:$G$201,ROW()-12)="","",INDEX(DATOS!$G$1:$G$201,ROW()-12))</f>
        <v/>
      </c>
      <c r="O140" s="47">
        <f t="array" ref="O140">IF(INDEX(DATOS!$H$1:$H$201,ROW()-12)="","",INDEX(DATOS!$H$1:$H$201,ROW()-12))</f>
        <v/>
      </c>
      <c r="P140" s="47">
        <f t="array" ref="P140">IF(INDEX(DATOS!$I$1:$I$201,ROW()-12)="","",INDEX(DATOS!$I$1:$I$201,ROW()-12))</f>
        <v/>
      </c>
      <c r="Q140" s="48">
        <f t="array" ref="Q140">IF(INDEX(DATOS!$J$1:$J$201,ROW()-12)="","",INDEX(DATOS!$J$1:$J$201,ROW()-12))</f>
        <v/>
      </c>
      <c r="R140" s="49">
        <f t="array" ref="R140">IF(INDEX(DATOS!$P$1:$P$201,ROW()-12)="","",INDEX(DATOS!$P$1:$P$201,ROW()-12))</f>
        <v/>
      </c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8" customHeight="1">
      <c r="A141" s="17" t="n"/>
      <c r="B141" s="42">
        <f t="array" ref="B141">IF(INDEX(DATOS!$A$1:$A$201,ROW()-12)="","",INDEX(DATOS!$A$1:$A$201,ROW()-12))</f>
        <v/>
      </c>
      <c r="C141" s="149">
        <f t="array" ref="C141">IF(INDEX(DATOS!$B$1:$B$201,ROW()-12)="","",INDEX(DATOS!$B$1:$B$201,ROW()-12))</f>
        <v/>
      </c>
      <c r="D141" s="150" t="n"/>
      <c r="E141" s="150" t="n"/>
      <c r="F141" s="150" t="n"/>
      <c r="G141" s="151" t="n"/>
      <c r="H141" s="43">
        <f t="array" ref="H141">IF(INDEX(DATOS!$C$1:$C$201,ROW()-12)="","",INDEX(DATOS!$C$1:$C$201,ROW()-12))</f>
        <v/>
      </c>
      <c r="I141" s="44">
        <f t="array" ref="I141">IF(INDEX(DATOS!$D$1:$D$201,ROW()-12)="","",INDEX(DATOS!$D$1:$D$201,ROW()-12))</f>
        <v/>
      </c>
      <c r="J141" s="45">
        <f t="array" ref="J141">IF(INDEX(DATOS!$M$1:$M$201,ROW()-12)="","",INDEX(DATOS!$M$1:$M$201,ROW()-12))</f>
        <v/>
      </c>
      <c r="K141" s="46">
        <f t="array" ref="K141">IF(INDEX(DATOS!$K$1:$K$201,ROW()-12)="","",INDEX(DATOS!$K$1:$K$201,ROW()-12))</f>
        <v/>
      </c>
      <c r="L141" s="47">
        <f t="array" ref="L141">IF(INDEX(DATOS!$E$1:$E$201,ROW()-12)="","",INDEX(DATOS!$E$1:$E$201,ROW()-12))</f>
        <v/>
      </c>
      <c r="M141" s="47">
        <f t="array" ref="M141">IF(INDEX(DATOS!$F$1:$F$201,ROW()-12)="","",INDEX(DATOS!$F$1:$F$201,ROW()-12))</f>
        <v/>
      </c>
      <c r="N141" s="47">
        <f t="array" ref="N141">IF(INDEX(DATOS!$G$1:$G$201,ROW()-12)="","",INDEX(DATOS!$G$1:$G$201,ROW()-12))</f>
        <v/>
      </c>
      <c r="O141" s="47">
        <f t="array" ref="O141">IF(INDEX(DATOS!$H$1:$H$201,ROW()-12)="","",INDEX(DATOS!$H$1:$H$201,ROW()-12))</f>
        <v/>
      </c>
      <c r="P141" s="47">
        <f t="array" ref="P141">IF(INDEX(DATOS!$I$1:$I$201,ROW()-12)="","",INDEX(DATOS!$I$1:$I$201,ROW()-12))</f>
        <v/>
      </c>
      <c r="Q141" s="48">
        <f t="array" ref="Q141">IF(INDEX(DATOS!$J$1:$J$201,ROW()-12)="","",INDEX(DATOS!$J$1:$J$201,ROW()-12))</f>
        <v/>
      </c>
      <c r="R141" s="49">
        <f t="array" ref="R141">IF(INDEX(DATOS!$P$1:$P$201,ROW()-12)="","",INDEX(DATOS!$P$1:$P$201,ROW()-12))</f>
        <v/>
      </c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8" customHeight="1">
      <c r="A142" s="17" t="n"/>
      <c r="B142" s="42">
        <f t="array" ref="B142">IF(INDEX(DATOS!$A$1:$A$201,ROW()-12)="","",INDEX(DATOS!$A$1:$A$201,ROW()-12))</f>
        <v/>
      </c>
      <c r="C142" s="149">
        <f t="array" ref="C142">IF(INDEX(DATOS!$B$1:$B$201,ROW()-12)="","",INDEX(DATOS!$B$1:$B$201,ROW()-12))</f>
        <v/>
      </c>
      <c r="D142" s="150" t="n"/>
      <c r="E142" s="150" t="n"/>
      <c r="F142" s="150" t="n"/>
      <c r="G142" s="151" t="n"/>
      <c r="H142" s="43">
        <f t="array" ref="H142">IF(INDEX(DATOS!$C$1:$C$201,ROW()-12)="","",INDEX(DATOS!$C$1:$C$201,ROW()-12))</f>
        <v/>
      </c>
      <c r="I142" s="44">
        <f t="array" ref="I142">IF(INDEX(DATOS!$D$1:$D$201,ROW()-12)="","",INDEX(DATOS!$D$1:$D$201,ROW()-12))</f>
        <v/>
      </c>
      <c r="J142" s="45">
        <f t="array" ref="J142">IF(INDEX(DATOS!$M$1:$M$201,ROW()-12)="","",INDEX(DATOS!$M$1:$M$201,ROW()-12))</f>
        <v/>
      </c>
      <c r="K142" s="46">
        <f t="array" ref="K142">IF(INDEX(DATOS!$K$1:$K$201,ROW()-12)="","",INDEX(DATOS!$K$1:$K$201,ROW()-12))</f>
        <v/>
      </c>
      <c r="L142" s="47">
        <f t="array" ref="L142">IF(INDEX(DATOS!$E$1:$E$201,ROW()-12)="","",INDEX(DATOS!$E$1:$E$201,ROW()-12))</f>
        <v/>
      </c>
      <c r="M142" s="47">
        <f t="array" ref="M142">IF(INDEX(DATOS!$F$1:$F$201,ROW()-12)="","",INDEX(DATOS!$F$1:$F$201,ROW()-12))</f>
        <v/>
      </c>
      <c r="N142" s="47">
        <f t="array" ref="N142">IF(INDEX(DATOS!$G$1:$G$201,ROW()-12)="","",INDEX(DATOS!$G$1:$G$201,ROW()-12))</f>
        <v/>
      </c>
      <c r="O142" s="47">
        <f t="array" ref="O142">IF(INDEX(DATOS!$H$1:$H$201,ROW()-12)="","",INDEX(DATOS!$H$1:$H$201,ROW()-12))</f>
        <v/>
      </c>
      <c r="P142" s="47">
        <f t="array" ref="P142">IF(INDEX(DATOS!$I$1:$I$201,ROW()-12)="","",INDEX(DATOS!$I$1:$I$201,ROW()-12))</f>
        <v/>
      </c>
      <c r="Q142" s="48">
        <f t="array" ref="Q142">IF(INDEX(DATOS!$J$1:$J$201,ROW()-12)="","",INDEX(DATOS!$J$1:$J$201,ROW()-12))</f>
        <v/>
      </c>
      <c r="R142" s="49">
        <f t="array" ref="R142">IF(INDEX(DATOS!$P$1:$P$201,ROW()-12)="","",INDEX(DATOS!$P$1:$P$201,ROW()-12))</f>
        <v/>
      </c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8" customHeight="1">
      <c r="A143" s="17" t="n"/>
      <c r="B143" s="42">
        <f t="array" ref="B143">IF(INDEX(DATOS!$A$1:$A$201,ROW()-12)="","",INDEX(DATOS!$A$1:$A$201,ROW()-12))</f>
        <v/>
      </c>
      <c r="C143" s="149">
        <f t="array" ref="C143">IF(INDEX(DATOS!$B$1:$B$201,ROW()-12)="","",INDEX(DATOS!$B$1:$B$201,ROW()-12))</f>
        <v/>
      </c>
      <c r="D143" s="150" t="n"/>
      <c r="E143" s="150" t="n"/>
      <c r="F143" s="150" t="n"/>
      <c r="G143" s="151" t="n"/>
      <c r="H143" s="43">
        <f t="array" ref="H143">IF(INDEX(DATOS!$C$1:$C$201,ROW()-12)="","",INDEX(DATOS!$C$1:$C$201,ROW()-12))</f>
        <v/>
      </c>
      <c r="I143" s="44">
        <f t="array" ref="I143">IF(INDEX(DATOS!$D$1:$D$201,ROW()-12)="","",INDEX(DATOS!$D$1:$D$201,ROW()-12))</f>
        <v/>
      </c>
      <c r="J143" s="45">
        <f t="array" ref="J143">IF(INDEX(DATOS!$M$1:$M$201,ROW()-12)="","",INDEX(DATOS!$M$1:$M$201,ROW()-12))</f>
        <v/>
      </c>
      <c r="K143" s="46">
        <f t="array" ref="K143">IF(INDEX(DATOS!$K$1:$K$201,ROW()-12)="","",INDEX(DATOS!$K$1:$K$201,ROW()-12))</f>
        <v/>
      </c>
      <c r="L143" s="47">
        <f t="array" ref="L143">IF(INDEX(DATOS!$E$1:$E$201,ROW()-12)="","",INDEX(DATOS!$E$1:$E$201,ROW()-12))</f>
        <v/>
      </c>
      <c r="M143" s="47">
        <f t="array" ref="M143">IF(INDEX(DATOS!$F$1:$F$201,ROW()-12)="","",INDEX(DATOS!$F$1:$F$201,ROW()-12))</f>
        <v/>
      </c>
      <c r="N143" s="47">
        <f t="array" ref="N143">IF(INDEX(DATOS!$G$1:$G$201,ROW()-12)="","",INDEX(DATOS!$G$1:$G$201,ROW()-12))</f>
        <v/>
      </c>
      <c r="O143" s="47">
        <f t="array" ref="O143">IF(INDEX(DATOS!$H$1:$H$201,ROW()-12)="","",INDEX(DATOS!$H$1:$H$201,ROW()-12))</f>
        <v/>
      </c>
      <c r="P143" s="47">
        <f t="array" ref="P143">IF(INDEX(DATOS!$I$1:$I$201,ROW()-12)="","",INDEX(DATOS!$I$1:$I$201,ROW()-12))</f>
        <v/>
      </c>
      <c r="Q143" s="48">
        <f t="array" ref="Q143">IF(INDEX(DATOS!$J$1:$J$201,ROW()-12)="","",INDEX(DATOS!$J$1:$J$201,ROW()-12))</f>
        <v/>
      </c>
      <c r="R143" s="49">
        <f t="array" ref="R143">IF(INDEX(DATOS!$P$1:$P$201,ROW()-12)="","",INDEX(DATOS!$P$1:$P$201,ROW()-12))</f>
        <v/>
      </c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8" customHeight="1">
      <c r="A144" s="17" t="n"/>
      <c r="B144" s="42">
        <f t="array" ref="B144">IF(INDEX(DATOS!$A$1:$A$201,ROW()-12)="","",INDEX(DATOS!$A$1:$A$201,ROW()-12))</f>
        <v/>
      </c>
      <c r="C144" s="149">
        <f t="array" ref="C144">IF(INDEX(DATOS!$B$1:$B$201,ROW()-12)="","",INDEX(DATOS!$B$1:$B$201,ROW()-12))</f>
        <v/>
      </c>
      <c r="D144" s="150" t="n"/>
      <c r="E144" s="150" t="n"/>
      <c r="F144" s="150" t="n"/>
      <c r="G144" s="151" t="n"/>
      <c r="H144" s="43">
        <f t="array" ref="H144">IF(INDEX(DATOS!$C$1:$C$201,ROW()-12)="","",INDEX(DATOS!$C$1:$C$201,ROW()-12))</f>
        <v/>
      </c>
      <c r="I144" s="44">
        <f t="array" ref="I144">IF(INDEX(DATOS!$D$1:$D$201,ROW()-12)="","",INDEX(DATOS!$D$1:$D$201,ROW()-12))</f>
        <v/>
      </c>
      <c r="J144" s="45">
        <f t="array" ref="J144">IF(INDEX(DATOS!$M$1:$M$201,ROW()-12)="","",INDEX(DATOS!$M$1:$M$201,ROW()-12))</f>
        <v/>
      </c>
      <c r="K144" s="46">
        <f t="array" ref="K144">IF(INDEX(DATOS!$K$1:$K$201,ROW()-12)="","",INDEX(DATOS!$K$1:$K$201,ROW()-12))</f>
        <v/>
      </c>
      <c r="L144" s="47">
        <f t="array" ref="L144">IF(INDEX(DATOS!$E$1:$E$201,ROW()-12)="","",INDEX(DATOS!$E$1:$E$201,ROW()-12))</f>
        <v/>
      </c>
      <c r="M144" s="47">
        <f t="array" ref="M144">IF(INDEX(DATOS!$F$1:$F$201,ROW()-12)="","",INDEX(DATOS!$F$1:$F$201,ROW()-12))</f>
        <v/>
      </c>
      <c r="N144" s="47">
        <f t="array" ref="N144">IF(INDEX(DATOS!$G$1:$G$201,ROW()-12)="","",INDEX(DATOS!$G$1:$G$201,ROW()-12))</f>
        <v/>
      </c>
      <c r="O144" s="47">
        <f t="array" ref="O144">IF(INDEX(DATOS!$H$1:$H$201,ROW()-12)="","",INDEX(DATOS!$H$1:$H$201,ROW()-12))</f>
        <v/>
      </c>
      <c r="P144" s="47">
        <f t="array" ref="P144">IF(INDEX(DATOS!$I$1:$I$201,ROW()-12)="","",INDEX(DATOS!$I$1:$I$201,ROW()-12))</f>
        <v/>
      </c>
      <c r="Q144" s="48">
        <f t="array" ref="Q144">IF(INDEX(DATOS!$J$1:$J$201,ROW()-12)="","",INDEX(DATOS!$J$1:$J$201,ROW()-12))</f>
        <v/>
      </c>
      <c r="R144" s="49">
        <f t="array" ref="R144">IF(INDEX(DATOS!$P$1:$P$201,ROW()-12)="","",INDEX(DATOS!$P$1:$P$201,ROW()-12))</f>
        <v/>
      </c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8" customHeight="1">
      <c r="A145" s="17" t="n"/>
      <c r="B145" s="42">
        <f t="array" ref="B145">IF(INDEX(DATOS!$A$1:$A$201,ROW()-12)="","",INDEX(DATOS!$A$1:$A$201,ROW()-12))</f>
        <v/>
      </c>
      <c r="C145" s="149">
        <f t="array" ref="C145">IF(INDEX(DATOS!$B$1:$B$201,ROW()-12)="","",INDEX(DATOS!$B$1:$B$201,ROW()-12))</f>
        <v/>
      </c>
      <c r="D145" s="150" t="n"/>
      <c r="E145" s="150" t="n"/>
      <c r="F145" s="150" t="n"/>
      <c r="G145" s="151" t="n"/>
      <c r="H145" s="43">
        <f t="array" ref="H145">IF(INDEX(DATOS!$C$1:$C$201,ROW()-12)="","",INDEX(DATOS!$C$1:$C$201,ROW()-12))</f>
        <v/>
      </c>
      <c r="I145" s="44">
        <f t="array" ref="I145">IF(INDEX(DATOS!$D$1:$D$201,ROW()-12)="","",INDEX(DATOS!$D$1:$D$201,ROW()-12))</f>
        <v/>
      </c>
      <c r="J145" s="45">
        <f t="array" ref="J145">IF(INDEX(DATOS!$M$1:$M$201,ROW()-12)="","",INDEX(DATOS!$M$1:$M$201,ROW()-12))</f>
        <v/>
      </c>
      <c r="K145" s="46">
        <f t="array" ref="K145">IF(INDEX(DATOS!$K$1:$K$201,ROW()-12)="","",INDEX(DATOS!$K$1:$K$201,ROW()-12))</f>
        <v/>
      </c>
      <c r="L145" s="47">
        <f t="array" ref="L145">IF(INDEX(DATOS!$E$1:$E$201,ROW()-12)="","",INDEX(DATOS!$E$1:$E$201,ROW()-12))</f>
        <v/>
      </c>
      <c r="M145" s="47">
        <f t="array" ref="M145">IF(INDEX(DATOS!$F$1:$F$201,ROW()-12)="","",INDEX(DATOS!$F$1:$F$201,ROW()-12))</f>
        <v/>
      </c>
      <c r="N145" s="47">
        <f t="array" ref="N145">IF(INDEX(DATOS!$G$1:$G$201,ROW()-12)="","",INDEX(DATOS!$G$1:$G$201,ROW()-12))</f>
        <v/>
      </c>
      <c r="O145" s="47">
        <f t="array" ref="O145">IF(INDEX(DATOS!$H$1:$H$201,ROW()-12)="","",INDEX(DATOS!$H$1:$H$201,ROW()-12))</f>
        <v/>
      </c>
      <c r="P145" s="47">
        <f t="array" ref="P145">IF(INDEX(DATOS!$I$1:$I$201,ROW()-12)="","",INDEX(DATOS!$I$1:$I$201,ROW()-12))</f>
        <v/>
      </c>
      <c r="Q145" s="48">
        <f t="array" ref="Q145">IF(INDEX(DATOS!$J$1:$J$201,ROW()-12)="","",INDEX(DATOS!$J$1:$J$201,ROW()-12))</f>
        <v/>
      </c>
      <c r="R145" s="49">
        <f t="array" ref="R145">IF(INDEX(DATOS!$P$1:$P$201,ROW()-12)="","",INDEX(DATOS!$P$1:$P$201,ROW()-12))</f>
        <v/>
      </c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8" customHeight="1">
      <c r="A146" s="17" t="n"/>
      <c r="B146" s="42">
        <f t="array" ref="B146">IF(INDEX(DATOS!$A$1:$A$201,ROW()-12)="","",INDEX(DATOS!$A$1:$A$201,ROW()-12))</f>
        <v/>
      </c>
      <c r="C146" s="149">
        <f t="array" ref="C146">IF(INDEX(DATOS!$B$1:$B$201,ROW()-12)="","",INDEX(DATOS!$B$1:$B$201,ROW()-12))</f>
        <v/>
      </c>
      <c r="D146" s="150" t="n"/>
      <c r="E146" s="150" t="n"/>
      <c r="F146" s="150" t="n"/>
      <c r="G146" s="151" t="n"/>
      <c r="H146" s="43">
        <f t="array" ref="H146">IF(INDEX(DATOS!$C$1:$C$201,ROW()-12)="","",INDEX(DATOS!$C$1:$C$201,ROW()-12))</f>
        <v/>
      </c>
      <c r="I146" s="44">
        <f t="array" ref="I146">IF(INDEX(DATOS!$D$1:$D$201,ROW()-12)="","",INDEX(DATOS!$D$1:$D$201,ROW()-12))</f>
        <v/>
      </c>
      <c r="J146" s="45">
        <f t="array" ref="J146">IF(INDEX(DATOS!$M$1:$M$201,ROW()-12)="","",INDEX(DATOS!$M$1:$M$201,ROW()-12))</f>
        <v/>
      </c>
      <c r="K146" s="46">
        <f t="array" ref="K146">IF(INDEX(DATOS!$K$1:$K$201,ROW()-12)="","",INDEX(DATOS!$K$1:$K$201,ROW()-12))</f>
        <v/>
      </c>
      <c r="L146" s="47">
        <f t="array" ref="L146">IF(INDEX(DATOS!$E$1:$E$201,ROW()-12)="","",INDEX(DATOS!$E$1:$E$201,ROW()-12))</f>
        <v/>
      </c>
      <c r="M146" s="47">
        <f t="array" ref="M146">IF(INDEX(DATOS!$F$1:$F$201,ROW()-12)="","",INDEX(DATOS!$F$1:$F$201,ROW()-12))</f>
        <v/>
      </c>
      <c r="N146" s="47">
        <f t="array" ref="N146">IF(INDEX(DATOS!$G$1:$G$201,ROW()-12)="","",INDEX(DATOS!$G$1:$G$201,ROW()-12))</f>
        <v/>
      </c>
      <c r="O146" s="47">
        <f t="array" ref="O146">IF(INDEX(DATOS!$H$1:$H$201,ROW()-12)="","",INDEX(DATOS!$H$1:$H$201,ROW()-12))</f>
        <v/>
      </c>
      <c r="P146" s="47">
        <f t="array" ref="P146">IF(INDEX(DATOS!$I$1:$I$201,ROW()-12)="","",INDEX(DATOS!$I$1:$I$201,ROW()-12))</f>
        <v/>
      </c>
      <c r="Q146" s="48">
        <f t="array" ref="Q146">IF(INDEX(DATOS!$J$1:$J$201,ROW()-12)="","",INDEX(DATOS!$J$1:$J$201,ROW()-12))</f>
        <v/>
      </c>
      <c r="R146" s="49">
        <f t="array" ref="R146">IF(INDEX(DATOS!$P$1:$P$201,ROW()-12)="","",INDEX(DATOS!$P$1:$P$201,ROW()-12))</f>
        <v/>
      </c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8" customHeight="1">
      <c r="A147" s="17" t="n"/>
      <c r="B147" s="42">
        <f t="array" ref="B147">IF(INDEX(DATOS!$A$1:$A$201,ROW()-12)="","",INDEX(DATOS!$A$1:$A$201,ROW()-12))</f>
        <v/>
      </c>
      <c r="C147" s="149">
        <f t="array" ref="C147">IF(INDEX(DATOS!$B$1:$B$201,ROW()-12)="","",INDEX(DATOS!$B$1:$B$201,ROW()-12))</f>
        <v/>
      </c>
      <c r="D147" s="150" t="n"/>
      <c r="E147" s="150" t="n"/>
      <c r="F147" s="150" t="n"/>
      <c r="G147" s="151" t="n"/>
      <c r="H147" s="43">
        <f t="array" ref="H147">IF(INDEX(DATOS!$C$1:$C$201,ROW()-12)="","",INDEX(DATOS!$C$1:$C$201,ROW()-12))</f>
        <v/>
      </c>
      <c r="I147" s="44">
        <f t="array" ref="I147">IF(INDEX(DATOS!$D$1:$D$201,ROW()-12)="","",INDEX(DATOS!$D$1:$D$201,ROW()-12))</f>
        <v/>
      </c>
      <c r="J147" s="45">
        <f t="array" ref="J147">IF(INDEX(DATOS!$M$1:$M$201,ROW()-12)="","",INDEX(DATOS!$M$1:$M$201,ROW()-12))</f>
        <v/>
      </c>
      <c r="K147" s="46">
        <f t="array" ref="K147">IF(INDEX(DATOS!$K$1:$K$201,ROW()-12)="","",INDEX(DATOS!$K$1:$K$201,ROW()-12))</f>
        <v/>
      </c>
      <c r="L147" s="47">
        <f t="array" ref="L147">IF(INDEX(DATOS!$E$1:$E$201,ROW()-12)="","",INDEX(DATOS!$E$1:$E$201,ROW()-12))</f>
        <v/>
      </c>
      <c r="M147" s="47">
        <f t="array" ref="M147">IF(INDEX(DATOS!$F$1:$F$201,ROW()-12)="","",INDEX(DATOS!$F$1:$F$201,ROW()-12))</f>
        <v/>
      </c>
      <c r="N147" s="47">
        <f t="array" ref="N147">IF(INDEX(DATOS!$G$1:$G$201,ROW()-12)="","",INDEX(DATOS!$G$1:$G$201,ROW()-12))</f>
        <v/>
      </c>
      <c r="O147" s="47">
        <f t="array" ref="O147">IF(INDEX(DATOS!$H$1:$H$201,ROW()-12)="","",INDEX(DATOS!$H$1:$H$201,ROW()-12))</f>
        <v/>
      </c>
      <c r="P147" s="47">
        <f t="array" ref="P147">IF(INDEX(DATOS!$I$1:$I$201,ROW()-12)="","",INDEX(DATOS!$I$1:$I$201,ROW()-12))</f>
        <v/>
      </c>
      <c r="Q147" s="48">
        <f t="array" ref="Q147">IF(INDEX(DATOS!$J$1:$J$201,ROW()-12)="","",INDEX(DATOS!$J$1:$J$201,ROW()-12))</f>
        <v/>
      </c>
      <c r="R147" s="49">
        <f t="array" ref="R147">IF(INDEX(DATOS!$P$1:$P$201,ROW()-12)="","",INDEX(DATOS!$P$1:$P$201,ROW()-12))</f>
        <v/>
      </c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8" customHeight="1">
      <c r="A148" s="17" t="n"/>
      <c r="B148" s="42">
        <f t="array" ref="B148">IF(INDEX(DATOS!$A$1:$A$201,ROW()-12)="","",INDEX(DATOS!$A$1:$A$201,ROW()-12))</f>
        <v/>
      </c>
      <c r="C148" s="149">
        <f t="array" ref="C148">IF(INDEX(DATOS!$B$1:$B$201,ROW()-12)="","",INDEX(DATOS!$B$1:$B$201,ROW()-12))</f>
        <v/>
      </c>
      <c r="D148" s="150" t="n"/>
      <c r="E148" s="150" t="n"/>
      <c r="F148" s="150" t="n"/>
      <c r="G148" s="151" t="n"/>
      <c r="H148" s="43">
        <f t="array" ref="H148">IF(INDEX(DATOS!$C$1:$C$201,ROW()-12)="","",INDEX(DATOS!$C$1:$C$201,ROW()-12))</f>
        <v/>
      </c>
      <c r="I148" s="44">
        <f t="array" ref="I148">IF(INDEX(DATOS!$D$1:$D$201,ROW()-12)="","",INDEX(DATOS!$D$1:$D$201,ROW()-12))</f>
        <v/>
      </c>
      <c r="J148" s="45">
        <f t="array" ref="J148">IF(INDEX(DATOS!$M$1:$M$201,ROW()-12)="","",INDEX(DATOS!$M$1:$M$201,ROW()-12))</f>
        <v/>
      </c>
      <c r="K148" s="46">
        <f t="array" ref="K148">IF(INDEX(DATOS!$K$1:$K$201,ROW()-12)="","",INDEX(DATOS!$K$1:$K$201,ROW()-12))</f>
        <v/>
      </c>
      <c r="L148" s="47">
        <f t="array" ref="L148">IF(INDEX(DATOS!$E$1:$E$201,ROW()-12)="","",INDEX(DATOS!$E$1:$E$201,ROW()-12))</f>
        <v/>
      </c>
      <c r="M148" s="47">
        <f t="array" ref="M148">IF(INDEX(DATOS!$F$1:$F$201,ROW()-12)="","",INDEX(DATOS!$F$1:$F$201,ROW()-12))</f>
        <v/>
      </c>
      <c r="N148" s="47">
        <f t="array" ref="N148">IF(INDEX(DATOS!$G$1:$G$201,ROW()-12)="","",INDEX(DATOS!$G$1:$G$201,ROW()-12))</f>
        <v/>
      </c>
      <c r="O148" s="47">
        <f t="array" ref="O148">IF(INDEX(DATOS!$H$1:$H$201,ROW()-12)="","",INDEX(DATOS!$H$1:$H$201,ROW()-12))</f>
        <v/>
      </c>
      <c r="P148" s="47">
        <f t="array" ref="P148">IF(INDEX(DATOS!$I$1:$I$201,ROW()-12)="","",INDEX(DATOS!$I$1:$I$201,ROW()-12))</f>
        <v/>
      </c>
      <c r="Q148" s="48">
        <f t="array" ref="Q148">IF(INDEX(DATOS!$J$1:$J$201,ROW()-12)="","",INDEX(DATOS!$J$1:$J$201,ROW()-12))</f>
        <v/>
      </c>
      <c r="R148" s="49">
        <f t="array" ref="R148">IF(INDEX(DATOS!$P$1:$P$201,ROW()-12)="","",INDEX(DATOS!$P$1:$P$201,ROW()-12))</f>
        <v/>
      </c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8" customHeight="1">
      <c r="A149" s="17" t="n"/>
      <c r="B149" s="42">
        <f t="array" ref="B149">IF(INDEX(DATOS!$A$1:$A$201,ROW()-12)="","",INDEX(DATOS!$A$1:$A$201,ROW()-12))</f>
        <v/>
      </c>
      <c r="C149" s="149">
        <f t="array" ref="C149">IF(INDEX(DATOS!$B$1:$B$201,ROW()-12)="","",INDEX(DATOS!$B$1:$B$201,ROW()-12))</f>
        <v/>
      </c>
      <c r="D149" s="150" t="n"/>
      <c r="E149" s="150" t="n"/>
      <c r="F149" s="150" t="n"/>
      <c r="G149" s="151" t="n"/>
      <c r="H149" s="43">
        <f t="array" ref="H149">IF(INDEX(DATOS!$C$1:$C$201,ROW()-12)="","",INDEX(DATOS!$C$1:$C$201,ROW()-12))</f>
        <v/>
      </c>
      <c r="I149" s="44">
        <f t="array" ref="I149">IF(INDEX(DATOS!$D$1:$D$201,ROW()-12)="","",INDEX(DATOS!$D$1:$D$201,ROW()-12))</f>
        <v/>
      </c>
      <c r="J149" s="45">
        <f t="array" ref="J149">IF(INDEX(DATOS!$M$1:$M$201,ROW()-12)="","",INDEX(DATOS!$M$1:$M$201,ROW()-12))</f>
        <v/>
      </c>
      <c r="K149" s="46">
        <f t="array" ref="K149">IF(INDEX(DATOS!$K$1:$K$201,ROW()-12)="","",INDEX(DATOS!$K$1:$K$201,ROW()-12))</f>
        <v/>
      </c>
      <c r="L149" s="47">
        <f t="array" ref="L149">IF(INDEX(DATOS!$E$1:$E$201,ROW()-12)="","",INDEX(DATOS!$E$1:$E$201,ROW()-12))</f>
        <v/>
      </c>
      <c r="M149" s="47">
        <f t="array" ref="M149">IF(INDEX(DATOS!$F$1:$F$201,ROW()-12)="","",INDEX(DATOS!$F$1:$F$201,ROW()-12))</f>
        <v/>
      </c>
      <c r="N149" s="47">
        <f t="array" ref="N149">IF(INDEX(DATOS!$G$1:$G$201,ROW()-12)="","",INDEX(DATOS!$G$1:$G$201,ROW()-12))</f>
        <v/>
      </c>
      <c r="O149" s="47">
        <f t="array" ref="O149">IF(INDEX(DATOS!$H$1:$H$201,ROW()-12)="","",INDEX(DATOS!$H$1:$H$201,ROW()-12))</f>
        <v/>
      </c>
      <c r="P149" s="47">
        <f t="array" ref="P149">IF(INDEX(DATOS!$I$1:$I$201,ROW()-12)="","",INDEX(DATOS!$I$1:$I$201,ROW()-12))</f>
        <v/>
      </c>
      <c r="Q149" s="48">
        <f t="array" ref="Q149">IF(INDEX(DATOS!$J$1:$J$201,ROW()-12)="","",INDEX(DATOS!$J$1:$J$201,ROW()-12))</f>
        <v/>
      </c>
      <c r="R149" s="49">
        <f t="array" ref="R149">IF(INDEX(DATOS!$P$1:$P$201,ROW()-12)="","",INDEX(DATOS!$P$1:$P$201,ROW()-12))</f>
        <v/>
      </c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8" customHeight="1">
      <c r="A150" s="17" t="n"/>
      <c r="B150" s="42">
        <f t="array" ref="B150">IF(INDEX(DATOS!$A$1:$A$201,ROW()-12)="","",INDEX(DATOS!$A$1:$A$201,ROW()-12))</f>
        <v/>
      </c>
      <c r="C150" s="149">
        <f t="array" ref="C150">IF(INDEX(DATOS!$B$1:$B$201,ROW()-12)="","",INDEX(DATOS!$B$1:$B$201,ROW()-12))</f>
        <v/>
      </c>
      <c r="D150" s="150" t="n"/>
      <c r="E150" s="150" t="n"/>
      <c r="F150" s="150" t="n"/>
      <c r="G150" s="151" t="n"/>
      <c r="H150" s="43">
        <f t="array" ref="H150">IF(INDEX(DATOS!$C$1:$C$201,ROW()-12)="","",INDEX(DATOS!$C$1:$C$201,ROW()-12))</f>
        <v/>
      </c>
      <c r="I150" s="44">
        <f t="array" ref="I150">IF(INDEX(DATOS!$D$1:$D$201,ROW()-12)="","",INDEX(DATOS!$D$1:$D$201,ROW()-12))</f>
        <v/>
      </c>
      <c r="J150" s="45">
        <f t="array" ref="J150">IF(INDEX(DATOS!$M$1:$M$201,ROW()-12)="","",INDEX(DATOS!$M$1:$M$201,ROW()-12))</f>
        <v/>
      </c>
      <c r="K150" s="46">
        <f t="array" ref="K150">IF(INDEX(DATOS!$K$1:$K$201,ROW()-12)="","",INDEX(DATOS!$K$1:$K$201,ROW()-12))</f>
        <v/>
      </c>
      <c r="L150" s="47">
        <f t="array" ref="L150">IF(INDEX(DATOS!$E$1:$E$201,ROW()-12)="","",INDEX(DATOS!$E$1:$E$201,ROW()-12))</f>
        <v/>
      </c>
      <c r="M150" s="47">
        <f t="array" ref="M150">IF(INDEX(DATOS!$F$1:$F$201,ROW()-12)="","",INDEX(DATOS!$F$1:$F$201,ROW()-12))</f>
        <v/>
      </c>
      <c r="N150" s="47">
        <f t="array" ref="N150">IF(INDEX(DATOS!$G$1:$G$201,ROW()-12)="","",INDEX(DATOS!$G$1:$G$201,ROW()-12))</f>
        <v/>
      </c>
      <c r="O150" s="47">
        <f t="array" ref="O150">IF(INDEX(DATOS!$H$1:$H$201,ROW()-12)="","",INDEX(DATOS!$H$1:$H$201,ROW()-12))</f>
        <v/>
      </c>
      <c r="P150" s="47">
        <f t="array" ref="P150">IF(INDEX(DATOS!$I$1:$I$201,ROW()-12)="","",INDEX(DATOS!$I$1:$I$201,ROW()-12))</f>
        <v/>
      </c>
      <c r="Q150" s="48">
        <f t="array" ref="Q150">IF(INDEX(DATOS!$J$1:$J$201,ROW()-12)="","",INDEX(DATOS!$J$1:$J$201,ROW()-12))</f>
        <v/>
      </c>
      <c r="R150" s="49">
        <f t="array" ref="R150">IF(INDEX(DATOS!$P$1:$P$201,ROW()-12)="","",INDEX(DATOS!$P$1:$P$201,ROW()-12))</f>
        <v/>
      </c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8" customHeight="1">
      <c r="A151" s="17" t="n"/>
      <c r="B151" s="42">
        <f t="array" ref="B151">IF(INDEX(DATOS!$A$1:$A$201,ROW()-12)="","",INDEX(DATOS!$A$1:$A$201,ROW()-12))</f>
        <v/>
      </c>
      <c r="C151" s="149">
        <f t="array" ref="C151">IF(INDEX(DATOS!$B$1:$B$201,ROW()-12)="","",INDEX(DATOS!$B$1:$B$201,ROW()-12))</f>
        <v/>
      </c>
      <c r="D151" s="150" t="n"/>
      <c r="E151" s="150" t="n"/>
      <c r="F151" s="150" t="n"/>
      <c r="G151" s="151" t="n"/>
      <c r="H151" s="43">
        <f t="array" ref="H151">IF(INDEX(DATOS!$C$1:$C$201,ROW()-12)="","",INDEX(DATOS!$C$1:$C$201,ROW()-12))</f>
        <v/>
      </c>
      <c r="I151" s="44">
        <f t="array" ref="I151">IF(INDEX(DATOS!$D$1:$D$201,ROW()-12)="","",INDEX(DATOS!$D$1:$D$201,ROW()-12))</f>
        <v/>
      </c>
      <c r="J151" s="45">
        <f t="array" ref="J151">IF(INDEX(DATOS!$M$1:$M$201,ROW()-12)="","",INDEX(DATOS!$M$1:$M$201,ROW()-12))</f>
        <v/>
      </c>
      <c r="K151" s="46">
        <f t="array" ref="K151">IF(INDEX(DATOS!$K$1:$K$201,ROW()-12)="","",INDEX(DATOS!$K$1:$K$201,ROW()-12))</f>
        <v/>
      </c>
      <c r="L151" s="47">
        <f t="array" ref="L151">IF(INDEX(DATOS!$E$1:$E$201,ROW()-12)="","",INDEX(DATOS!$E$1:$E$201,ROW()-12))</f>
        <v/>
      </c>
      <c r="M151" s="47">
        <f t="array" ref="M151">IF(INDEX(DATOS!$F$1:$F$201,ROW()-12)="","",INDEX(DATOS!$F$1:$F$201,ROW()-12))</f>
        <v/>
      </c>
      <c r="N151" s="47">
        <f t="array" ref="N151">IF(INDEX(DATOS!$G$1:$G$201,ROW()-12)="","",INDEX(DATOS!$G$1:$G$201,ROW()-12))</f>
        <v/>
      </c>
      <c r="O151" s="47">
        <f t="array" ref="O151">IF(INDEX(DATOS!$H$1:$H$201,ROW()-12)="","",INDEX(DATOS!$H$1:$H$201,ROW()-12))</f>
        <v/>
      </c>
      <c r="P151" s="47">
        <f t="array" ref="P151">IF(INDEX(DATOS!$I$1:$I$201,ROW()-12)="","",INDEX(DATOS!$I$1:$I$201,ROW()-12))</f>
        <v/>
      </c>
      <c r="Q151" s="48">
        <f t="array" ref="Q151">IF(INDEX(DATOS!$J$1:$J$201,ROW()-12)="","",INDEX(DATOS!$J$1:$J$201,ROW()-12))</f>
        <v/>
      </c>
      <c r="R151" s="49">
        <f t="array" ref="R151">IF(INDEX(DATOS!$P$1:$P$201,ROW()-12)="","",INDEX(DATOS!$P$1:$P$201,ROW()-12))</f>
        <v/>
      </c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8" customHeight="1">
      <c r="A152" s="17" t="n"/>
      <c r="B152" s="42">
        <f t="array" ref="B152">IF(INDEX(DATOS!$A$1:$A$201,ROW()-12)="","",INDEX(DATOS!$A$1:$A$201,ROW()-12))</f>
        <v/>
      </c>
      <c r="C152" s="149">
        <f t="array" ref="C152">IF(INDEX(DATOS!$B$1:$B$201,ROW()-12)="","",INDEX(DATOS!$B$1:$B$201,ROW()-12))</f>
        <v/>
      </c>
      <c r="D152" s="150" t="n"/>
      <c r="E152" s="150" t="n"/>
      <c r="F152" s="150" t="n"/>
      <c r="G152" s="151" t="n"/>
      <c r="H152" s="43">
        <f t="array" ref="H152">IF(INDEX(DATOS!$C$1:$C$201,ROW()-12)="","",INDEX(DATOS!$C$1:$C$201,ROW()-12))</f>
        <v/>
      </c>
      <c r="I152" s="44">
        <f t="array" ref="I152">IF(INDEX(DATOS!$D$1:$D$201,ROW()-12)="","",INDEX(DATOS!$D$1:$D$201,ROW()-12))</f>
        <v/>
      </c>
      <c r="J152" s="45">
        <f t="array" ref="J152">IF(INDEX(DATOS!$M$1:$M$201,ROW()-12)="","",INDEX(DATOS!$M$1:$M$201,ROW()-12))</f>
        <v/>
      </c>
      <c r="K152" s="46">
        <f t="array" ref="K152">IF(INDEX(DATOS!$K$1:$K$201,ROW()-12)="","",INDEX(DATOS!$K$1:$K$201,ROW()-12))</f>
        <v/>
      </c>
      <c r="L152" s="47">
        <f t="array" ref="L152">IF(INDEX(DATOS!$E$1:$E$201,ROW()-12)="","",INDEX(DATOS!$E$1:$E$201,ROW()-12))</f>
        <v/>
      </c>
      <c r="M152" s="47">
        <f t="array" ref="M152">IF(INDEX(DATOS!$F$1:$F$201,ROW()-12)="","",INDEX(DATOS!$F$1:$F$201,ROW()-12))</f>
        <v/>
      </c>
      <c r="N152" s="47">
        <f t="array" ref="N152">IF(INDEX(DATOS!$G$1:$G$201,ROW()-12)="","",INDEX(DATOS!$G$1:$G$201,ROW()-12))</f>
        <v/>
      </c>
      <c r="O152" s="47">
        <f t="array" ref="O152">IF(INDEX(DATOS!$H$1:$H$201,ROW()-12)="","",INDEX(DATOS!$H$1:$H$201,ROW()-12))</f>
        <v/>
      </c>
      <c r="P152" s="47">
        <f t="array" ref="P152">IF(INDEX(DATOS!$I$1:$I$201,ROW()-12)="","",INDEX(DATOS!$I$1:$I$201,ROW()-12))</f>
        <v/>
      </c>
      <c r="Q152" s="48">
        <f t="array" ref="Q152">IF(INDEX(DATOS!$J$1:$J$201,ROW()-12)="","",INDEX(DATOS!$J$1:$J$201,ROW()-12))</f>
        <v/>
      </c>
      <c r="R152" s="49">
        <f t="array" ref="R152">IF(INDEX(DATOS!$P$1:$P$201,ROW()-12)="","",INDEX(DATOS!$P$1:$P$201,ROW()-12))</f>
        <v/>
      </c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8" customHeight="1">
      <c r="A153" s="17" t="n"/>
      <c r="B153" s="42">
        <f t="array" ref="B153">IF(INDEX(DATOS!$A$1:$A$201,ROW()-12)="","",INDEX(DATOS!$A$1:$A$201,ROW()-12))</f>
        <v/>
      </c>
      <c r="C153" s="149">
        <f t="array" ref="C153">IF(INDEX(DATOS!$B$1:$B$201,ROW()-12)="","",INDEX(DATOS!$B$1:$B$201,ROW()-12))</f>
        <v/>
      </c>
      <c r="D153" s="150" t="n"/>
      <c r="E153" s="150" t="n"/>
      <c r="F153" s="150" t="n"/>
      <c r="G153" s="151" t="n"/>
      <c r="H153" s="43">
        <f t="array" ref="H153">IF(INDEX(DATOS!$C$1:$C$201,ROW()-12)="","",INDEX(DATOS!$C$1:$C$201,ROW()-12))</f>
        <v/>
      </c>
      <c r="I153" s="44">
        <f t="array" ref="I153">IF(INDEX(DATOS!$D$1:$D$201,ROW()-12)="","",INDEX(DATOS!$D$1:$D$201,ROW()-12))</f>
        <v/>
      </c>
      <c r="J153" s="45">
        <f t="array" ref="J153">IF(INDEX(DATOS!$M$1:$M$201,ROW()-12)="","",INDEX(DATOS!$M$1:$M$201,ROW()-12))</f>
        <v/>
      </c>
      <c r="K153" s="46">
        <f t="array" ref="K153">IF(INDEX(DATOS!$K$1:$K$201,ROW()-12)="","",INDEX(DATOS!$K$1:$K$201,ROW()-12))</f>
        <v/>
      </c>
      <c r="L153" s="47">
        <f t="array" ref="L153">IF(INDEX(DATOS!$E$1:$E$201,ROW()-12)="","",INDEX(DATOS!$E$1:$E$201,ROW()-12))</f>
        <v/>
      </c>
      <c r="M153" s="47">
        <f t="array" ref="M153">IF(INDEX(DATOS!$F$1:$F$201,ROW()-12)="","",INDEX(DATOS!$F$1:$F$201,ROW()-12))</f>
        <v/>
      </c>
      <c r="N153" s="47">
        <f t="array" ref="N153">IF(INDEX(DATOS!$G$1:$G$201,ROW()-12)="","",INDEX(DATOS!$G$1:$G$201,ROW()-12))</f>
        <v/>
      </c>
      <c r="O153" s="47">
        <f t="array" ref="O153">IF(INDEX(DATOS!$H$1:$H$201,ROW()-12)="","",INDEX(DATOS!$H$1:$H$201,ROW()-12))</f>
        <v/>
      </c>
      <c r="P153" s="47">
        <f t="array" ref="P153">IF(INDEX(DATOS!$I$1:$I$201,ROW()-12)="","",INDEX(DATOS!$I$1:$I$201,ROW()-12))</f>
        <v/>
      </c>
      <c r="Q153" s="48">
        <f t="array" ref="Q153">IF(INDEX(DATOS!$J$1:$J$201,ROW()-12)="","",INDEX(DATOS!$J$1:$J$201,ROW()-12))</f>
        <v/>
      </c>
      <c r="R153" s="49">
        <f t="array" ref="R153">IF(INDEX(DATOS!$P$1:$P$201,ROW()-12)="","",INDEX(DATOS!$P$1:$P$201,ROW()-12))</f>
        <v/>
      </c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8" customHeight="1">
      <c r="A154" s="17" t="n"/>
      <c r="B154" s="42">
        <f t="array" ref="B154">IF(INDEX(DATOS!$A$1:$A$201,ROW()-12)="","",INDEX(DATOS!$A$1:$A$201,ROW()-12))</f>
        <v/>
      </c>
      <c r="C154" s="149">
        <f t="array" ref="C154">IF(INDEX(DATOS!$B$1:$B$201,ROW()-12)="","",INDEX(DATOS!$B$1:$B$201,ROW()-12))</f>
        <v/>
      </c>
      <c r="D154" s="150" t="n"/>
      <c r="E154" s="150" t="n"/>
      <c r="F154" s="150" t="n"/>
      <c r="G154" s="151" t="n"/>
      <c r="H154" s="43">
        <f t="array" ref="H154">IF(INDEX(DATOS!$C$1:$C$201,ROW()-12)="","",INDEX(DATOS!$C$1:$C$201,ROW()-12))</f>
        <v/>
      </c>
      <c r="I154" s="44">
        <f t="array" ref="I154">IF(INDEX(DATOS!$D$1:$D$201,ROW()-12)="","",INDEX(DATOS!$D$1:$D$201,ROW()-12))</f>
        <v/>
      </c>
      <c r="J154" s="45">
        <f t="array" ref="J154">IF(INDEX(DATOS!$M$1:$M$201,ROW()-12)="","",INDEX(DATOS!$M$1:$M$201,ROW()-12))</f>
        <v/>
      </c>
      <c r="K154" s="46">
        <f t="array" ref="K154">IF(INDEX(DATOS!$K$1:$K$201,ROW()-12)="","",INDEX(DATOS!$K$1:$K$201,ROW()-12))</f>
        <v/>
      </c>
      <c r="L154" s="47">
        <f t="array" ref="L154">IF(INDEX(DATOS!$E$1:$E$201,ROW()-12)="","",INDEX(DATOS!$E$1:$E$201,ROW()-12))</f>
        <v/>
      </c>
      <c r="M154" s="47">
        <f t="array" ref="M154">IF(INDEX(DATOS!$F$1:$F$201,ROW()-12)="","",INDEX(DATOS!$F$1:$F$201,ROW()-12))</f>
        <v/>
      </c>
      <c r="N154" s="47">
        <f t="array" ref="N154">IF(INDEX(DATOS!$G$1:$G$201,ROW()-12)="","",INDEX(DATOS!$G$1:$G$201,ROW()-12))</f>
        <v/>
      </c>
      <c r="O154" s="47">
        <f t="array" ref="O154">IF(INDEX(DATOS!$H$1:$H$201,ROW()-12)="","",INDEX(DATOS!$H$1:$H$201,ROW()-12))</f>
        <v/>
      </c>
      <c r="P154" s="47">
        <f t="array" ref="P154">IF(INDEX(DATOS!$I$1:$I$201,ROW()-12)="","",INDEX(DATOS!$I$1:$I$201,ROW()-12))</f>
        <v/>
      </c>
      <c r="Q154" s="48">
        <f t="array" ref="Q154">IF(INDEX(DATOS!$J$1:$J$201,ROW()-12)="","",INDEX(DATOS!$J$1:$J$201,ROW()-12))</f>
        <v/>
      </c>
      <c r="R154" s="49">
        <f t="array" ref="R154">IF(INDEX(DATOS!$P$1:$P$201,ROW()-12)="","",INDEX(DATOS!$P$1:$P$201,ROW()-12))</f>
        <v/>
      </c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8" customHeight="1">
      <c r="A155" s="17" t="n"/>
      <c r="B155" s="42">
        <f t="array" ref="B155">IF(INDEX(DATOS!$A$1:$A$201,ROW()-12)="","",INDEX(DATOS!$A$1:$A$201,ROW()-12))</f>
        <v/>
      </c>
      <c r="C155" s="149">
        <f t="array" ref="C155">IF(INDEX(DATOS!$B$1:$B$201,ROW()-12)="","",INDEX(DATOS!$B$1:$B$201,ROW()-12))</f>
        <v/>
      </c>
      <c r="D155" s="150" t="n"/>
      <c r="E155" s="150" t="n"/>
      <c r="F155" s="150" t="n"/>
      <c r="G155" s="151" t="n"/>
      <c r="H155" s="43">
        <f t="array" ref="H155">IF(INDEX(DATOS!$C$1:$C$201,ROW()-12)="","",INDEX(DATOS!$C$1:$C$201,ROW()-12))</f>
        <v/>
      </c>
      <c r="I155" s="44">
        <f t="array" ref="I155">IF(INDEX(DATOS!$D$1:$D$201,ROW()-12)="","",INDEX(DATOS!$D$1:$D$201,ROW()-12))</f>
        <v/>
      </c>
      <c r="J155" s="45">
        <f t="array" ref="J155">IF(INDEX(DATOS!$M$1:$M$201,ROW()-12)="","",INDEX(DATOS!$M$1:$M$201,ROW()-12))</f>
        <v/>
      </c>
      <c r="K155" s="46">
        <f t="array" ref="K155">IF(INDEX(DATOS!$K$1:$K$201,ROW()-12)="","",INDEX(DATOS!$K$1:$K$201,ROW()-12))</f>
        <v/>
      </c>
      <c r="L155" s="47">
        <f t="array" ref="L155">IF(INDEX(DATOS!$E$1:$E$201,ROW()-12)="","",INDEX(DATOS!$E$1:$E$201,ROW()-12))</f>
        <v/>
      </c>
      <c r="M155" s="47">
        <f t="array" ref="M155">IF(INDEX(DATOS!$F$1:$F$201,ROW()-12)="","",INDEX(DATOS!$F$1:$F$201,ROW()-12))</f>
        <v/>
      </c>
      <c r="N155" s="47">
        <f t="array" ref="N155">IF(INDEX(DATOS!$G$1:$G$201,ROW()-12)="","",INDEX(DATOS!$G$1:$G$201,ROW()-12))</f>
        <v/>
      </c>
      <c r="O155" s="47">
        <f t="array" ref="O155">IF(INDEX(DATOS!$H$1:$H$201,ROW()-12)="","",INDEX(DATOS!$H$1:$H$201,ROW()-12))</f>
        <v/>
      </c>
      <c r="P155" s="47">
        <f t="array" ref="P155">IF(INDEX(DATOS!$I$1:$I$201,ROW()-12)="","",INDEX(DATOS!$I$1:$I$201,ROW()-12))</f>
        <v/>
      </c>
      <c r="Q155" s="48">
        <f t="array" ref="Q155">IF(INDEX(DATOS!$J$1:$J$201,ROW()-12)="","",INDEX(DATOS!$J$1:$J$201,ROW()-12))</f>
        <v/>
      </c>
      <c r="R155" s="49">
        <f t="array" ref="R155">IF(INDEX(DATOS!$P$1:$P$201,ROW()-12)="","",INDEX(DATOS!$P$1:$P$201,ROW()-12))</f>
        <v/>
      </c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8" customHeight="1">
      <c r="A156" s="17" t="n"/>
      <c r="B156" s="42">
        <f t="array" ref="B156">IF(INDEX(DATOS!$A$1:$A$201,ROW()-12)="","",INDEX(DATOS!$A$1:$A$201,ROW()-12))</f>
        <v/>
      </c>
      <c r="C156" s="149">
        <f t="array" ref="C156">IF(INDEX(DATOS!$B$1:$B$201,ROW()-12)="","",INDEX(DATOS!$B$1:$B$201,ROW()-12))</f>
        <v/>
      </c>
      <c r="D156" s="150" t="n"/>
      <c r="E156" s="150" t="n"/>
      <c r="F156" s="150" t="n"/>
      <c r="G156" s="151" t="n"/>
      <c r="H156" s="43">
        <f t="array" ref="H156">IF(INDEX(DATOS!$C$1:$C$201,ROW()-12)="","",INDEX(DATOS!$C$1:$C$201,ROW()-12))</f>
        <v/>
      </c>
      <c r="I156" s="44">
        <f t="array" ref="I156">IF(INDEX(DATOS!$D$1:$D$201,ROW()-12)="","",INDEX(DATOS!$D$1:$D$201,ROW()-12))</f>
        <v/>
      </c>
      <c r="J156" s="45">
        <f t="array" ref="J156">IF(INDEX(DATOS!$M$1:$M$201,ROW()-12)="","",INDEX(DATOS!$M$1:$M$201,ROW()-12))</f>
        <v/>
      </c>
      <c r="K156" s="46">
        <f t="array" ref="K156">IF(INDEX(DATOS!$K$1:$K$201,ROW()-12)="","",INDEX(DATOS!$K$1:$K$201,ROW()-12))</f>
        <v/>
      </c>
      <c r="L156" s="47">
        <f t="array" ref="L156">IF(INDEX(DATOS!$E$1:$E$201,ROW()-12)="","",INDEX(DATOS!$E$1:$E$201,ROW()-12))</f>
        <v/>
      </c>
      <c r="M156" s="47">
        <f t="array" ref="M156">IF(INDEX(DATOS!$F$1:$F$201,ROW()-12)="","",INDEX(DATOS!$F$1:$F$201,ROW()-12))</f>
        <v/>
      </c>
      <c r="N156" s="47">
        <f t="array" ref="N156">IF(INDEX(DATOS!$G$1:$G$201,ROW()-12)="","",INDEX(DATOS!$G$1:$G$201,ROW()-12))</f>
        <v/>
      </c>
      <c r="O156" s="47">
        <f t="array" ref="O156">IF(INDEX(DATOS!$H$1:$H$201,ROW()-12)="","",INDEX(DATOS!$H$1:$H$201,ROW()-12))</f>
        <v/>
      </c>
      <c r="P156" s="47">
        <f t="array" ref="P156">IF(INDEX(DATOS!$I$1:$I$201,ROW()-12)="","",INDEX(DATOS!$I$1:$I$201,ROW()-12))</f>
        <v/>
      </c>
      <c r="Q156" s="48">
        <f t="array" ref="Q156">IF(INDEX(DATOS!$J$1:$J$201,ROW()-12)="","",INDEX(DATOS!$J$1:$J$201,ROW()-12))</f>
        <v/>
      </c>
      <c r="R156" s="49">
        <f t="array" ref="R156">IF(INDEX(DATOS!$P$1:$P$201,ROW()-12)="","",INDEX(DATOS!$P$1:$P$201,ROW()-12))</f>
        <v/>
      </c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8" customHeight="1">
      <c r="A157" s="17" t="n"/>
      <c r="B157" s="42">
        <f t="array" ref="B157">IF(INDEX(DATOS!$A$1:$A$201,ROW()-12)="","",INDEX(DATOS!$A$1:$A$201,ROW()-12))</f>
        <v/>
      </c>
      <c r="C157" s="149">
        <f t="array" ref="C157">IF(INDEX(DATOS!$B$1:$B$201,ROW()-12)="","",INDEX(DATOS!$B$1:$B$201,ROW()-12))</f>
        <v/>
      </c>
      <c r="D157" s="150" t="n"/>
      <c r="E157" s="150" t="n"/>
      <c r="F157" s="150" t="n"/>
      <c r="G157" s="151" t="n"/>
      <c r="H157" s="43">
        <f t="array" ref="H157">IF(INDEX(DATOS!$C$1:$C$201,ROW()-12)="","",INDEX(DATOS!$C$1:$C$201,ROW()-12))</f>
        <v/>
      </c>
      <c r="I157" s="44">
        <f t="array" ref="I157">IF(INDEX(DATOS!$D$1:$D$201,ROW()-12)="","",INDEX(DATOS!$D$1:$D$201,ROW()-12))</f>
        <v/>
      </c>
      <c r="J157" s="45">
        <f t="array" ref="J157">IF(INDEX(DATOS!$M$1:$M$201,ROW()-12)="","",INDEX(DATOS!$M$1:$M$201,ROW()-12))</f>
        <v/>
      </c>
      <c r="K157" s="46">
        <f t="array" ref="K157">IF(INDEX(DATOS!$K$1:$K$201,ROW()-12)="","",INDEX(DATOS!$K$1:$K$201,ROW()-12))</f>
        <v/>
      </c>
      <c r="L157" s="47">
        <f t="array" ref="L157">IF(INDEX(DATOS!$E$1:$E$201,ROW()-12)="","",INDEX(DATOS!$E$1:$E$201,ROW()-12))</f>
        <v/>
      </c>
      <c r="M157" s="47">
        <f t="array" ref="M157">IF(INDEX(DATOS!$F$1:$F$201,ROW()-12)="","",INDEX(DATOS!$F$1:$F$201,ROW()-12))</f>
        <v/>
      </c>
      <c r="N157" s="47">
        <f t="array" ref="N157">IF(INDEX(DATOS!$G$1:$G$201,ROW()-12)="","",INDEX(DATOS!$G$1:$G$201,ROW()-12))</f>
        <v/>
      </c>
      <c r="O157" s="47">
        <f t="array" ref="O157">IF(INDEX(DATOS!$H$1:$H$201,ROW()-12)="","",INDEX(DATOS!$H$1:$H$201,ROW()-12))</f>
        <v/>
      </c>
      <c r="P157" s="47">
        <f t="array" ref="P157">IF(INDEX(DATOS!$I$1:$I$201,ROW()-12)="","",INDEX(DATOS!$I$1:$I$201,ROW()-12))</f>
        <v/>
      </c>
      <c r="Q157" s="48">
        <f t="array" ref="Q157">IF(INDEX(DATOS!$J$1:$J$201,ROW()-12)="","",INDEX(DATOS!$J$1:$J$201,ROW()-12))</f>
        <v/>
      </c>
      <c r="R157" s="49">
        <f t="array" ref="R157">IF(INDEX(DATOS!$P$1:$P$201,ROW()-12)="","",INDEX(DATOS!$P$1:$P$201,ROW()-12))</f>
        <v/>
      </c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8" customHeight="1">
      <c r="A158" s="17" t="n"/>
      <c r="B158" s="42">
        <f t="array" ref="B158">IF(INDEX(DATOS!$A$1:$A$201,ROW()-12)="","",INDEX(DATOS!$A$1:$A$201,ROW()-12))</f>
        <v/>
      </c>
      <c r="C158" s="149">
        <f t="array" ref="C158">IF(INDEX(DATOS!$B$1:$B$201,ROW()-12)="","",INDEX(DATOS!$B$1:$B$201,ROW()-12))</f>
        <v/>
      </c>
      <c r="D158" s="150" t="n"/>
      <c r="E158" s="150" t="n"/>
      <c r="F158" s="150" t="n"/>
      <c r="G158" s="151" t="n"/>
      <c r="H158" s="43">
        <f t="array" ref="H158">IF(INDEX(DATOS!$C$1:$C$201,ROW()-12)="","",INDEX(DATOS!$C$1:$C$201,ROW()-12))</f>
        <v/>
      </c>
      <c r="I158" s="44">
        <f t="array" ref="I158">IF(INDEX(DATOS!$D$1:$D$201,ROW()-12)="","",INDEX(DATOS!$D$1:$D$201,ROW()-12))</f>
        <v/>
      </c>
      <c r="J158" s="45">
        <f t="array" ref="J158">IF(INDEX(DATOS!$M$1:$M$201,ROW()-12)="","",INDEX(DATOS!$M$1:$M$201,ROW()-12))</f>
        <v/>
      </c>
      <c r="K158" s="46">
        <f t="array" ref="K158">IF(INDEX(DATOS!$K$1:$K$201,ROW()-12)="","",INDEX(DATOS!$K$1:$K$201,ROW()-12))</f>
        <v/>
      </c>
      <c r="L158" s="47">
        <f t="array" ref="L158">IF(INDEX(DATOS!$E$1:$E$201,ROW()-12)="","",INDEX(DATOS!$E$1:$E$201,ROW()-12))</f>
        <v/>
      </c>
      <c r="M158" s="47">
        <f t="array" ref="M158">IF(INDEX(DATOS!$F$1:$F$201,ROW()-12)="","",INDEX(DATOS!$F$1:$F$201,ROW()-12))</f>
        <v/>
      </c>
      <c r="N158" s="47">
        <f t="array" ref="N158">IF(INDEX(DATOS!$G$1:$G$201,ROW()-12)="","",INDEX(DATOS!$G$1:$G$201,ROW()-12))</f>
        <v/>
      </c>
      <c r="O158" s="47">
        <f t="array" ref="O158">IF(INDEX(DATOS!$H$1:$H$201,ROW()-12)="","",INDEX(DATOS!$H$1:$H$201,ROW()-12))</f>
        <v/>
      </c>
      <c r="P158" s="47">
        <f t="array" ref="P158">IF(INDEX(DATOS!$I$1:$I$201,ROW()-12)="","",INDEX(DATOS!$I$1:$I$201,ROW()-12))</f>
        <v/>
      </c>
      <c r="Q158" s="48">
        <f t="array" ref="Q158">IF(INDEX(DATOS!$J$1:$J$201,ROW()-12)="","",INDEX(DATOS!$J$1:$J$201,ROW()-12))</f>
        <v/>
      </c>
      <c r="R158" s="49">
        <f t="array" ref="R158">IF(INDEX(DATOS!$P$1:$P$201,ROW()-12)="","",INDEX(DATOS!$P$1:$P$201,ROW()-12))</f>
        <v/>
      </c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8" customHeight="1">
      <c r="A159" s="17" t="n"/>
      <c r="B159" s="42">
        <f t="array" ref="B159">IF(INDEX(DATOS!$A$1:$A$201,ROW()-12)="","",INDEX(DATOS!$A$1:$A$201,ROW()-12))</f>
        <v/>
      </c>
      <c r="C159" s="149">
        <f t="array" ref="C159">IF(INDEX(DATOS!$B$1:$B$201,ROW()-12)="","",INDEX(DATOS!$B$1:$B$201,ROW()-12))</f>
        <v/>
      </c>
      <c r="D159" s="150" t="n"/>
      <c r="E159" s="150" t="n"/>
      <c r="F159" s="150" t="n"/>
      <c r="G159" s="151" t="n"/>
      <c r="H159" s="43">
        <f t="array" ref="H159">IF(INDEX(DATOS!$C$1:$C$201,ROW()-12)="","",INDEX(DATOS!$C$1:$C$201,ROW()-12))</f>
        <v/>
      </c>
      <c r="I159" s="44">
        <f t="array" ref="I159">IF(INDEX(DATOS!$D$1:$D$201,ROW()-12)="","",INDEX(DATOS!$D$1:$D$201,ROW()-12))</f>
        <v/>
      </c>
      <c r="J159" s="45">
        <f t="array" ref="J159">IF(INDEX(DATOS!$M$1:$M$201,ROW()-12)="","",INDEX(DATOS!$M$1:$M$201,ROW()-12))</f>
        <v/>
      </c>
      <c r="K159" s="46">
        <f t="array" ref="K159">IF(INDEX(DATOS!$K$1:$K$201,ROW()-12)="","",INDEX(DATOS!$K$1:$K$201,ROW()-12))</f>
        <v/>
      </c>
      <c r="L159" s="47">
        <f t="array" ref="L159">IF(INDEX(DATOS!$E$1:$E$201,ROW()-12)="","",INDEX(DATOS!$E$1:$E$201,ROW()-12))</f>
        <v/>
      </c>
      <c r="M159" s="47">
        <f t="array" ref="M159">IF(INDEX(DATOS!$F$1:$F$201,ROW()-12)="","",INDEX(DATOS!$F$1:$F$201,ROW()-12))</f>
        <v/>
      </c>
      <c r="N159" s="47">
        <f t="array" ref="N159">IF(INDEX(DATOS!$G$1:$G$201,ROW()-12)="","",INDEX(DATOS!$G$1:$G$201,ROW()-12))</f>
        <v/>
      </c>
      <c r="O159" s="47">
        <f t="array" ref="O159">IF(INDEX(DATOS!$H$1:$H$201,ROW()-12)="","",INDEX(DATOS!$H$1:$H$201,ROW()-12))</f>
        <v/>
      </c>
      <c r="P159" s="47">
        <f t="array" ref="P159">IF(INDEX(DATOS!$I$1:$I$201,ROW()-12)="","",INDEX(DATOS!$I$1:$I$201,ROW()-12))</f>
        <v/>
      </c>
      <c r="Q159" s="48">
        <f t="array" ref="Q159">IF(INDEX(DATOS!$J$1:$J$201,ROW()-12)="","",INDEX(DATOS!$J$1:$J$201,ROW()-12))</f>
        <v/>
      </c>
      <c r="R159" s="49">
        <f t="array" ref="R159">IF(INDEX(DATOS!$P$1:$P$201,ROW()-12)="","",INDEX(DATOS!$P$1:$P$201,ROW()-12))</f>
        <v/>
      </c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8" customHeight="1">
      <c r="A160" s="17" t="n"/>
      <c r="B160" s="42">
        <f t="array" ref="B160">IF(INDEX(DATOS!$A$1:$A$201,ROW()-12)="","",INDEX(DATOS!$A$1:$A$201,ROW()-12))</f>
        <v/>
      </c>
      <c r="C160" s="149">
        <f t="array" ref="C160">IF(INDEX(DATOS!$B$1:$B$201,ROW()-12)="","",INDEX(DATOS!$B$1:$B$201,ROW()-12))</f>
        <v/>
      </c>
      <c r="D160" s="150" t="n"/>
      <c r="E160" s="150" t="n"/>
      <c r="F160" s="150" t="n"/>
      <c r="G160" s="151" t="n"/>
      <c r="H160" s="43">
        <f t="array" ref="H160">IF(INDEX(DATOS!$C$1:$C$201,ROW()-12)="","",INDEX(DATOS!$C$1:$C$201,ROW()-12))</f>
        <v/>
      </c>
      <c r="I160" s="44">
        <f t="array" ref="I160">IF(INDEX(DATOS!$D$1:$D$201,ROW()-12)="","",INDEX(DATOS!$D$1:$D$201,ROW()-12))</f>
        <v/>
      </c>
      <c r="J160" s="45">
        <f t="array" ref="J160">IF(INDEX(DATOS!$M$1:$M$201,ROW()-12)="","",INDEX(DATOS!$M$1:$M$201,ROW()-12))</f>
        <v/>
      </c>
      <c r="K160" s="46">
        <f t="array" ref="K160">IF(INDEX(DATOS!$K$1:$K$201,ROW()-12)="","",INDEX(DATOS!$K$1:$K$201,ROW()-12))</f>
        <v/>
      </c>
      <c r="L160" s="47">
        <f t="array" ref="L160">IF(INDEX(DATOS!$E$1:$E$201,ROW()-12)="","",INDEX(DATOS!$E$1:$E$201,ROW()-12))</f>
        <v/>
      </c>
      <c r="M160" s="47">
        <f t="array" ref="M160">IF(INDEX(DATOS!$F$1:$F$201,ROW()-12)="","",INDEX(DATOS!$F$1:$F$201,ROW()-12))</f>
        <v/>
      </c>
      <c r="N160" s="47">
        <f t="array" ref="N160">IF(INDEX(DATOS!$G$1:$G$201,ROW()-12)="","",INDEX(DATOS!$G$1:$G$201,ROW()-12))</f>
        <v/>
      </c>
      <c r="O160" s="47">
        <f t="array" ref="O160">IF(INDEX(DATOS!$H$1:$H$201,ROW()-12)="","",INDEX(DATOS!$H$1:$H$201,ROW()-12))</f>
        <v/>
      </c>
      <c r="P160" s="47">
        <f t="array" ref="P160">IF(INDEX(DATOS!$I$1:$I$201,ROW()-12)="","",INDEX(DATOS!$I$1:$I$201,ROW()-12))</f>
        <v/>
      </c>
      <c r="Q160" s="48">
        <f t="array" ref="Q160">IF(INDEX(DATOS!$J$1:$J$201,ROW()-12)="","",INDEX(DATOS!$J$1:$J$201,ROW()-12))</f>
        <v/>
      </c>
      <c r="R160" s="49">
        <f t="array" ref="R160">IF(INDEX(DATOS!$P$1:$P$201,ROW()-12)="","",INDEX(DATOS!$P$1:$P$201,ROW()-12))</f>
        <v/>
      </c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8" customHeight="1">
      <c r="A161" s="17" t="n"/>
      <c r="B161" s="42">
        <f t="array" ref="B161">IF(INDEX(DATOS!$A$1:$A$201,ROW()-12)="","",INDEX(DATOS!$A$1:$A$201,ROW()-12))</f>
        <v/>
      </c>
      <c r="C161" s="149">
        <f t="array" ref="C161">IF(INDEX(DATOS!$B$1:$B$201,ROW()-12)="","",INDEX(DATOS!$B$1:$B$201,ROW()-12))</f>
        <v/>
      </c>
      <c r="D161" s="150" t="n"/>
      <c r="E161" s="150" t="n"/>
      <c r="F161" s="150" t="n"/>
      <c r="G161" s="151" t="n"/>
      <c r="H161" s="43">
        <f t="array" ref="H161">IF(INDEX(DATOS!$C$1:$C$201,ROW()-12)="","",INDEX(DATOS!$C$1:$C$201,ROW()-12))</f>
        <v/>
      </c>
      <c r="I161" s="44">
        <f t="array" ref="I161">IF(INDEX(DATOS!$D$1:$D$201,ROW()-12)="","",INDEX(DATOS!$D$1:$D$201,ROW()-12))</f>
        <v/>
      </c>
      <c r="J161" s="45">
        <f t="array" ref="J161">IF(INDEX(DATOS!$M$1:$M$201,ROW()-12)="","",INDEX(DATOS!$M$1:$M$201,ROW()-12))</f>
        <v/>
      </c>
      <c r="K161" s="46">
        <f t="array" ref="K161">IF(INDEX(DATOS!$K$1:$K$201,ROW()-12)="","",INDEX(DATOS!$K$1:$K$201,ROW()-12))</f>
        <v/>
      </c>
      <c r="L161" s="47">
        <f t="array" ref="L161">IF(INDEX(DATOS!$E$1:$E$201,ROW()-12)="","",INDEX(DATOS!$E$1:$E$201,ROW()-12))</f>
        <v/>
      </c>
      <c r="M161" s="47">
        <f t="array" ref="M161">IF(INDEX(DATOS!$F$1:$F$201,ROW()-12)="","",INDEX(DATOS!$F$1:$F$201,ROW()-12))</f>
        <v/>
      </c>
      <c r="N161" s="47">
        <f t="array" ref="N161">IF(INDEX(DATOS!$G$1:$G$201,ROW()-12)="","",INDEX(DATOS!$G$1:$G$201,ROW()-12))</f>
        <v/>
      </c>
      <c r="O161" s="47">
        <f t="array" ref="O161">IF(INDEX(DATOS!$H$1:$H$201,ROW()-12)="","",INDEX(DATOS!$H$1:$H$201,ROW()-12))</f>
        <v/>
      </c>
      <c r="P161" s="47">
        <f t="array" ref="P161">IF(INDEX(DATOS!$I$1:$I$201,ROW()-12)="","",INDEX(DATOS!$I$1:$I$201,ROW()-12))</f>
        <v/>
      </c>
      <c r="Q161" s="48">
        <f t="array" ref="Q161">IF(INDEX(DATOS!$J$1:$J$201,ROW()-12)="","",INDEX(DATOS!$J$1:$J$201,ROW()-12))</f>
        <v/>
      </c>
      <c r="R161" s="49">
        <f t="array" ref="R161">IF(INDEX(DATOS!$P$1:$P$201,ROW()-12)="","",INDEX(DATOS!$P$1:$P$201,ROW()-12))</f>
        <v/>
      </c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8" customHeight="1">
      <c r="A162" s="17" t="n"/>
      <c r="B162" s="42">
        <f t="array" ref="B162">IF(INDEX(DATOS!$A$1:$A$201,ROW()-12)="","",INDEX(DATOS!$A$1:$A$201,ROW()-12))</f>
        <v/>
      </c>
      <c r="C162" s="149">
        <f t="array" ref="C162">IF(INDEX(DATOS!$B$1:$B$201,ROW()-12)="","",INDEX(DATOS!$B$1:$B$201,ROW()-12))</f>
        <v/>
      </c>
      <c r="D162" s="150" t="n"/>
      <c r="E162" s="150" t="n"/>
      <c r="F162" s="150" t="n"/>
      <c r="G162" s="151" t="n"/>
      <c r="H162" s="43">
        <f t="array" ref="H162">IF(INDEX(DATOS!$C$1:$C$201,ROW()-12)="","",INDEX(DATOS!$C$1:$C$201,ROW()-12))</f>
        <v/>
      </c>
      <c r="I162" s="44">
        <f t="array" ref="I162">IF(INDEX(DATOS!$D$1:$D$201,ROW()-12)="","",INDEX(DATOS!$D$1:$D$201,ROW()-12))</f>
        <v/>
      </c>
      <c r="J162" s="45">
        <f t="array" ref="J162">IF(INDEX(DATOS!$M$1:$M$201,ROW()-12)="","",INDEX(DATOS!$M$1:$M$201,ROW()-12))</f>
        <v/>
      </c>
      <c r="K162" s="46">
        <f t="array" ref="K162">IF(INDEX(DATOS!$K$1:$K$201,ROW()-12)="","",INDEX(DATOS!$K$1:$K$201,ROW()-12))</f>
        <v/>
      </c>
      <c r="L162" s="47">
        <f t="array" ref="L162">IF(INDEX(DATOS!$E$1:$E$201,ROW()-12)="","",INDEX(DATOS!$E$1:$E$201,ROW()-12))</f>
        <v/>
      </c>
      <c r="M162" s="47">
        <f t="array" ref="M162">IF(INDEX(DATOS!$F$1:$F$201,ROW()-12)="","",INDEX(DATOS!$F$1:$F$201,ROW()-12))</f>
        <v/>
      </c>
      <c r="N162" s="47">
        <f t="array" ref="N162">IF(INDEX(DATOS!$G$1:$G$201,ROW()-12)="","",INDEX(DATOS!$G$1:$G$201,ROW()-12))</f>
        <v/>
      </c>
      <c r="O162" s="47">
        <f t="array" ref="O162">IF(INDEX(DATOS!$H$1:$H$201,ROW()-12)="","",INDEX(DATOS!$H$1:$H$201,ROW()-12))</f>
        <v/>
      </c>
      <c r="P162" s="47">
        <f t="array" ref="P162">IF(INDEX(DATOS!$I$1:$I$201,ROW()-12)="","",INDEX(DATOS!$I$1:$I$201,ROW()-12))</f>
        <v/>
      </c>
      <c r="Q162" s="48">
        <f t="array" ref="Q162">IF(INDEX(DATOS!$J$1:$J$201,ROW()-12)="","",INDEX(DATOS!$J$1:$J$201,ROW()-12))</f>
        <v/>
      </c>
      <c r="R162" s="49">
        <f t="array" ref="R162">IF(INDEX(DATOS!$P$1:$P$201,ROW()-12)="","",INDEX(DATOS!$P$1:$P$201,ROW()-12))</f>
        <v/>
      </c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8" customHeight="1">
      <c r="A163" s="17" t="n"/>
      <c r="B163" s="42">
        <f t="array" ref="B163">IF(INDEX(DATOS!$A$1:$A$201,ROW()-12)="","",INDEX(DATOS!$A$1:$A$201,ROW()-12))</f>
        <v/>
      </c>
      <c r="C163" s="149">
        <f t="array" ref="C163">IF(INDEX(DATOS!$B$1:$B$201,ROW()-12)="","",INDEX(DATOS!$B$1:$B$201,ROW()-12))</f>
        <v/>
      </c>
      <c r="D163" s="150" t="n"/>
      <c r="E163" s="150" t="n"/>
      <c r="F163" s="150" t="n"/>
      <c r="G163" s="151" t="n"/>
      <c r="H163" s="43">
        <f t="array" ref="H163">IF(INDEX(DATOS!$C$1:$C$201,ROW()-12)="","",INDEX(DATOS!$C$1:$C$201,ROW()-12))</f>
        <v/>
      </c>
      <c r="I163" s="44">
        <f t="array" ref="I163">IF(INDEX(DATOS!$D$1:$D$201,ROW()-12)="","",INDEX(DATOS!$D$1:$D$201,ROW()-12))</f>
        <v/>
      </c>
      <c r="J163" s="45">
        <f t="array" ref="J163">IF(INDEX(DATOS!$M$1:$M$201,ROW()-12)="","",INDEX(DATOS!$M$1:$M$201,ROW()-12))</f>
        <v/>
      </c>
      <c r="K163" s="46">
        <f t="array" ref="K163">IF(INDEX(DATOS!$K$1:$K$201,ROW()-12)="","",INDEX(DATOS!$K$1:$K$201,ROW()-12))</f>
        <v/>
      </c>
      <c r="L163" s="47">
        <f t="array" ref="L163">IF(INDEX(DATOS!$E$1:$E$201,ROW()-12)="","",INDEX(DATOS!$E$1:$E$201,ROW()-12))</f>
        <v/>
      </c>
      <c r="M163" s="47">
        <f t="array" ref="M163">IF(INDEX(DATOS!$F$1:$F$201,ROW()-12)="","",INDEX(DATOS!$F$1:$F$201,ROW()-12))</f>
        <v/>
      </c>
      <c r="N163" s="47">
        <f t="array" ref="N163">IF(INDEX(DATOS!$G$1:$G$201,ROW()-12)="","",INDEX(DATOS!$G$1:$G$201,ROW()-12))</f>
        <v/>
      </c>
      <c r="O163" s="47">
        <f t="array" ref="O163">IF(INDEX(DATOS!$H$1:$H$201,ROW()-12)="","",INDEX(DATOS!$H$1:$H$201,ROW()-12))</f>
        <v/>
      </c>
      <c r="P163" s="47">
        <f t="array" ref="P163">IF(INDEX(DATOS!$I$1:$I$201,ROW()-12)="","",INDEX(DATOS!$I$1:$I$201,ROW()-12))</f>
        <v/>
      </c>
      <c r="Q163" s="48">
        <f t="array" ref="Q163">IF(INDEX(DATOS!$J$1:$J$201,ROW()-12)="","",INDEX(DATOS!$J$1:$J$201,ROW()-12))</f>
        <v/>
      </c>
      <c r="R163" s="49">
        <f t="array" ref="R163">IF(INDEX(DATOS!$P$1:$P$201,ROW()-12)="","",INDEX(DATOS!$P$1:$P$201,ROW()-12))</f>
        <v/>
      </c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8" customHeight="1">
      <c r="A164" s="17" t="n"/>
      <c r="B164" s="42">
        <f t="array" ref="B164">IF(INDEX(DATOS!$A$1:$A$201,ROW()-12)="","",INDEX(DATOS!$A$1:$A$201,ROW()-12))</f>
        <v/>
      </c>
      <c r="C164" s="149">
        <f t="array" ref="C164">IF(INDEX(DATOS!$B$1:$B$201,ROW()-12)="","",INDEX(DATOS!$B$1:$B$201,ROW()-12))</f>
        <v/>
      </c>
      <c r="D164" s="150" t="n"/>
      <c r="E164" s="150" t="n"/>
      <c r="F164" s="150" t="n"/>
      <c r="G164" s="151" t="n"/>
      <c r="H164" s="43">
        <f t="array" ref="H164">IF(INDEX(DATOS!$C$1:$C$201,ROW()-12)="","",INDEX(DATOS!$C$1:$C$201,ROW()-12))</f>
        <v/>
      </c>
      <c r="I164" s="44">
        <f t="array" ref="I164">IF(INDEX(DATOS!$D$1:$D$201,ROW()-12)="","",INDEX(DATOS!$D$1:$D$201,ROW()-12))</f>
        <v/>
      </c>
      <c r="J164" s="45">
        <f t="array" ref="J164">IF(INDEX(DATOS!$M$1:$M$201,ROW()-12)="","",INDEX(DATOS!$M$1:$M$201,ROW()-12))</f>
        <v/>
      </c>
      <c r="K164" s="46">
        <f t="array" ref="K164">IF(INDEX(DATOS!$K$1:$K$201,ROW()-12)="","",INDEX(DATOS!$K$1:$K$201,ROW()-12))</f>
        <v/>
      </c>
      <c r="L164" s="47">
        <f t="array" ref="L164">IF(INDEX(DATOS!$E$1:$E$201,ROW()-12)="","",INDEX(DATOS!$E$1:$E$201,ROW()-12))</f>
        <v/>
      </c>
      <c r="M164" s="47">
        <f t="array" ref="M164">IF(INDEX(DATOS!$F$1:$F$201,ROW()-12)="","",INDEX(DATOS!$F$1:$F$201,ROW()-12))</f>
        <v/>
      </c>
      <c r="N164" s="47">
        <f t="array" ref="N164">IF(INDEX(DATOS!$G$1:$G$201,ROW()-12)="","",INDEX(DATOS!$G$1:$G$201,ROW()-12))</f>
        <v/>
      </c>
      <c r="O164" s="47">
        <f t="array" ref="O164">IF(INDEX(DATOS!$H$1:$H$201,ROW()-12)="","",INDEX(DATOS!$H$1:$H$201,ROW()-12))</f>
        <v/>
      </c>
      <c r="P164" s="47">
        <f t="array" ref="P164">IF(INDEX(DATOS!$I$1:$I$201,ROW()-12)="","",INDEX(DATOS!$I$1:$I$201,ROW()-12))</f>
        <v/>
      </c>
      <c r="Q164" s="48">
        <f t="array" ref="Q164">IF(INDEX(DATOS!$J$1:$J$201,ROW()-12)="","",INDEX(DATOS!$J$1:$J$201,ROW()-12))</f>
        <v/>
      </c>
      <c r="R164" s="49">
        <f t="array" ref="R164">IF(INDEX(DATOS!$P$1:$P$201,ROW()-12)="","",INDEX(DATOS!$P$1:$P$201,ROW()-12))</f>
        <v/>
      </c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8" customHeight="1">
      <c r="A165" s="17" t="n"/>
      <c r="B165" s="42">
        <f t="array" ref="B165">IF(INDEX(DATOS!$A$1:$A$201,ROW()-12)="","",INDEX(DATOS!$A$1:$A$201,ROW()-12))</f>
        <v/>
      </c>
      <c r="C165" s="149">
        <f t="array" ref="C165">IF(INDEX(DATOS!$B$1:$B$201,ROW()-12)="","",INDEX(DATOS!$B$1:$B$201,ROW()-12))</f>
        <v/>
      </c>
      <c r="D165" s="150" t="n"/>
      <c r="E165" s="150" t="n"/>
      <c r="F165" s="150" t="n"/>
      <c r="G165" s="151" t="n"/>
      <c r="H165" s="43">
        <f t="array" ref="H165">IF(INDEX(DATOS!$C$1:$C$201,ROW()-12)="","",INDEX(DATOS!$C$1:$C$201,ROW()-12))</f>
        <v/>
      </c>
      <c r="I165" s="44">
        <f t="array" ref="I165">IF(INDEX(DATOS!$D$1:$D$201,ROW()-12)="","",INDEX(DATOS!$D$1:$D$201,ROW()-12))</f>
        <v/>
      </c>
      <c r="J165" s="45">
        <f t="array" ref="J165">IF(INDEX(DATOS!$M$1:$M$201,ROW()-12)="","",INDEX(DATOS!$M$1:$M$201,ROW()-12))</f>
        <v/>
      </c>
      <c r="K165" s="46">
        <f t="array" ref="K165">IF(INDEX(DATOS!$K$1:$K$201,ROW()-12)="","",INDEX(DATOS!$K$1:$K$201,ROW()-12))</f>
        <v/>
      </c>
      <c r="L165" s="47">
        <f t="array" ref="L165">IF(INDEX(DATOS!$E$1:$E$201,ROW()-12)="","",INDEX(DATOS!$E$1:$E$201,ROW()-12))</f>
        <v/>
      </c>
      <c r="M165" s="47">
        <f t="array" ref="M165">IF(INDEX(DATOS!$F$1:$F$201,ROW()-12)="","",INDEX(DATOS!$F$1:$F$201,ROW()-12))</f>
        <v/>
      </c>
      <c r="N165" s="47">
        <f t="array" ref="N165">IF(INDEX(DATOS!$G$1:$G$201,ROW()-12)="","",INDEX(DATOS!$G$1:$G$201,ROW()-12))</f>
        <v/>
      </c>
      <c r="O165" s="47">
        <f t="array" ref="O165">IF(INDEX(DATOS!$H$1:$H$201,ROW()-12)="","",INDEX(DATOS!$H$1:$H$201,ROW()-12))</f>
        <v/>
      </c>
      <c r="P165" s="47">
        <f t="array" ref="P165">IF(INDEX(DATOS!$I$1:$I$201,ROW()-12)="","",INDEX(DATOS!$I$1:$I$201,ROW()-12))</f>
        <v/>
      </c>
      <c r="Q165" s="48">
        <f t="array" ref="Q165">IF(INDEX(DATOS!$J$1:$J$201,ROW()-12)="","",INDEX(DATOS!$J$1:$J$201,ROW()-12))</f>
        <v/>
      </c>
      <c r="R165" s="49">
        <f t="array" ref="R165">IF(INDEX(DATOS!$P$1:$P$201,ROW()-12)="","",INDEX(DATOS!$P$1:$P$201,ROW()-12))</f>
        <v/>
      </c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8" customHeight="1">
      <c r="A166" s="17" t="n"/>
      <c r="B166" s="42">
        <f t="array" ref="B166">IF(INDEX(DATOS!$A$1:$A$201,ROW()-12)="","",INDEX(DATOS!$A$1:$A$201,ROW()-12))</f>
        <v/>
      </c>
      <c r="C166" s="149">
        <f t="array" ref="C166">IF(INDEX(DATOS!$B$1:$B$201,ROW()-12)="","",INDEX(DATOS!$B$1:$B$201,ROW()-12))</f>
        <v/>
      </c>
      <c r="D166" s="150" t="n"/>
      <c r="E166" s="150" t="n"/>
      <c r="F166" s="150" t="n"/>
      <c r="G166" s="151" t="n"/>
      <c r="H166" s="43">
        <f t="array" ref="H166">IF(INDEX(DATOS!$C$1:$C$201,ROW()-12)="","",INDEX(DATOS!$C$1:$C$201,ROW()-12))</f>
        <v/>
      </c>
      <c r="I166" s="44">
        <f t="array" ref="I166">IF(INDEX(DATOS!$D$1:$D$201,ROW()-12)="","",INDEX(DATOS!$D$1:$D$201,ROW()-12))</f>
        <v/>
      </c>
      <c r="J166" s="45">
        <f t="array" ref="J166">IF(INDEX(DATOS!$M$1:$M$201,ROW()-12)="","",INDEX(DATOS!$M$1:$M$201,ROW()-12))</f>
        <v/>
      </c>
      <c r="K166" s="46">
        <f t="array" ref="K166">IF(INDEX(DATOS!$K$1:$K$201,ROW()-12)="","",INDEX(DATOS!$K$1:$K$201,ROW()-12))</f>
        <v/>
      </c>
      <c r="L166" s="47">
        <f t="array" ref="L166">IF(INDEX(DATOS!$E$1:$E$201,ROW()-12)="","",INDEX(DATOS!$E$1:$E$201,ROW()-12))</f>
        <v/>
      </c>
      <c r="M166" s="47">
        <f t="array" ref="M166">IF(INDEX(DATOS!$F$1:$F$201,ROW()-12)="","",INDEX(DATOS!$F$1:$F$201,ROW()-12))</f>
        <v/>
      </c>
      <c r="N166" s="47">
        <f t="array" ref="N166">IF(INDEX(DATOS!$G$1:$G$201,ROW()-12)="","",INDEX(DATOS!$G$1:$G$201,ROW()-12))</f>
        <v/>
      </c>
      <c r="O166" s="47">
        <f t="array" ref="O166">IF(INDEX(DATOS!$H$1:$H$201,ROW()-12)="","",INDEX(DATOS!$H$1:$H$201,ROW()-12))</f>
        <v/>
      </c>
      <c r="P166" s="47">
        <f t="array" ref="P166">IF(INDEX(DATOS!$I$1:$I$201,ROW()-12)="","",INDEX(DATOS!$I$1:$I$201,ROW()-12))</f>
        <v/>
      </c>
      <c r="Q166" s="48">
        <f t="array" ref="Q166">IF(INDEX(DATOS!$J$1:$J$201,ROW()-12)="","",INDEX(DATOS!$J$1:$J$201,ROW()-12))</f>
        <v/>
      </c>
      <c r="R166" s="49">
        <f t="array" ref="R166">IF(INDEX(DATOS!$P$1:$P$201,ROW()-12)="","",INDEX(DATOS!$P$1:$P$201,ROW()-12))</f>
        <v/>
      </c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8" customHeight="1">
      <c r="A167" s="17" t="n"/>
      <c r="B167" s="42">
        <f t="array" ref="B167">IF(INDEX(DATOS!$A$1:$A$201,ROW()-12)="","",INDEX(DATOS!$A$1:$A$201,ROW()-12))</f>
        <v/>
      </c>
      <c r="C167" s="149">
        <f t="array" ref="C167">IF(INDEX(DATOS!$B$1:$B$201,ROW()-12)="","",INDEX(DATOS!$B$1:$B$201,ROW()-12))</f>
        <v/>
      </c>
      <c r="D167" s="150" t="n"/>
      <c r="E167" s="150" t="n"/>
      <c r="F167" s="150" t="n"/>
      <c r="G167" s="151" t="n"/>
      <c r="H167" s="43">
        <f t="array" ref="H167">IF(INDEX(DATOS!$C$1:$C$201,ROW()-12)="","",INDEX(DATOS!$C$1:$C$201,ROW()-12))</f>
        <v/>
      </c>
      <c r="I167" s="44">
        <f t="array" ref="I167">IF(INDEX(DATOS!$D$1:$D$201,ROW()-12)="","",INDEX(DATOS!$D$1:$D$201,ROW()-12))</f>
        <v/>
      </c>
      <c r="J167" s="45">
        <f t="array" ref="J167">IF(INDEX(DATOS!$M$1:$M$201,ROW()-12)="","",INDEX(DATOS!$M$1:$M$201,ROW()-12))</f>
        <v/>
      </c>
      <c r="K167" s="46">
        <f t="array" ref="K167">IF(INDEX(DATOS!$K$1:$K$201,ROW()-12)="","",INDEX(DATOS!$K$1:$K$201,ROW()-12))</f>
        <v/>
      </c>
      <c r="L167" s="47">
        <f t="array" ref="L167">IF(INDEX(DATOS!$E$1:$E$201,ROW()-12)="","",INDEX(DATOS!$E$1:$E$201,ROW()-12))</f>
        <v/>
      </c>
      <c r="M167" s="47">
        <f t="array" ref="M167">IF(INDEX(DATOS!$F$1:$F$201,ROW()-12)="","",INDEX(DATOS!$F$1:$F$201,ROW()-12))</f>
        <v/>
      </c>
      <c r="N167" s="47">
        <f t="array" ref="N167">IF(INDEX(DATOS!$G$1:$G$201,ROW()-12)="","",INDEX(DATOS!$G$1:$G$201,ROW()-12))</f>
        <v/>
      </c>
      <c r="O167" s="47">
        <f t="array" ref="O167">IF(INDEX(DATOS!$H$1:$H$201,ROW()-12)="","",INDEX(DATOS!$H$1:$H$201,ROW()-12))</f>
        <v/>
      </c>
      <c r="P167" s="47">
        <f t="array" ref="P167">IF(INDEX(DATOS!$I$1:$I$201,ROW()-12)="","",INDEX(DATOS!$I$1:$I$201,ROW()-12))</f>
        <v/>
      </c>
      <c r="Q167" s="48">
        <f t="array" ref="Q167">IF(INDEX(DATOS!$J$1:$J$201,ROW()-12)="","",INDEX(DATOS!$J$1:$J$201,ROW()-12))</f>
        <v/>
      </c>
      <c r="R167" s="49">
        <f t="array" ref="R167">IF(INDEX(DATOS!$P$1:$P$201,ROW()-12)="","",INDEX(DATOS!$P$1:$P$201,ROW()-12))</f>
        <v/>
      </c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8" customHeight="1">
      <c r="A168" s="17" t="n"/>
      <c r="B168" s="42">
        <f t="array" ref="B168">IF(INDEX(DATOS!$A$1:$A$201,ROW()-12)="","",INDEX(DATOS!$A$1:$A$201,ROW()-12))</f>
        <v/>
      </c>
      <c r="C168" s="149">
        <f t="array" ref="C168">IF(INDEX(DATOS!$B$1:$B$201,ROW()-12)="","",INDEX(DATOS!$B$1:$B$201,ROW()-12))</f>
        <v/>
      </c>
      <c r="D168" s="150" t="n"/>
      <c r="E168" s="150" t="n"/>
      <c r="F168" s="150" t="n"/>
      <c r="G168" s="151" t="n"/>
      <c r="H168" s="43">
        <f t="array" ref="H168">IF(INDEX(DATOS!$C$1:$C$201,ROW()-12)="","",INDEX(DATOS!$C$1:$C$201,ROW()-12))</f>
        <v/>
      </c>
      <c r="I168" s="44">
        <f t="array" ref="I168">IF(INDEX(DATOS!$D$1:$D$201,ROW()-12)="","",INDEX(DATOS!$D$1:$D$201,ROW()-12))</f>
        <v/>
      </c>
      <c r="J168" s="45">
        <f t="array" ref="J168">IF(INDEX(DATOS!$M$1:$M$201,ROW()-12)="","",INDEX(DATOS!$M$1:$M$201,ROW()-12))</f>
        <v/>
      </c>
      <c r="K168" s="46">
        <f t="array" ref="K168">IF(INDEX(DATOS!$K$1:$K$201,ROW()-12)="","",INDEX(DATOS!$K$1:$K$201,ROW()-12))</f>
        <v/>
      </c>
      <c r="L168" s="47">
        <f t="array" ref="L168">IF(INDEX(DATOS!$E$1:$E$201,ROW()-12)="","",INDEX(DATOS!$E$1:$E$201,ROW()-12))</f>
        <v/>
      </c>
      <c r="M168" s="47">
        <f t="array" ref="M168">IF(INDEX(DATOS!$F$1:$F$201,ROW()-12)="","",INDEX(DATOS!$F$1:$F$201,ROW()-12))</f>
        <v/>
      </c>
      <c r="N168" s="47">
        <f t="array" ref="N168">IF(INDEX(DATOS!$G$1:$G$201,ROW()-12)="","",INDEX(DATOS!$G$1:$G$201,ROW()-12))</f>
        <v/>
      </c>
      <c r="O168" s="47">
        <f t="array" ref="O168">IF(INDEX(DATOS!$H$1:$H$201,ROW()-12)="","",INDEX(DATOS!$H$1:$H$201,ROW()-12))</f>
        <v/>
      </c>
      <c r="P168" s="47">
        <f t="array" ref="P168">IF(INDEX(DATOS!$I$1:$I$201,ROW()-12)="","",INDEX(DATOS!$I$1:$I$201,ROW()-12))</f>
        <v/>
      </c>
      <c r="Q168" s="48">
        <f t="array" ref="Q168">IF(INDEX(DATOS!$J$1:$J$201,ROW()-12)="","",INDEX(DATOS!$J$1:$J$201,ROW()-12))</f>
        <v/>
      </c>
      <c r="R168" s="49">
        <f t="array" ref="R168">IF(INDEX(DATOS!$P$1:$P$201,ROW()-12)="","",INDEX(DATOS!$P$1:$P$201,ROW()-12))</f>
        <v/>
      </c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8" customHeight="1">
      <c r="A169" s="17" t="n"/>
      <c r="B169" s="42">
        <f t="array" ref="B169">IF(INDEX(DATOS!$A$1:$A$201,ROW()-12)="","",INDEX(DATOS!$A$1:$A$201,ROW()-12))</f>
        <v/>
      </c>
      <c r="C169" s="149">
        <f t="array" ref="C169">IF(INDEX(DATOS!$B$1:$B$201,ROW()-12)="","",INDEX(DATOS!$B$1:$B$201,ROW()-12))</f>
        <v/>
      </c>
      <c r="D169" s="150" t="n"/>
      <c r="E169" s="150" t="n"/>
      <c r="F169" s="150" t="n"/>
      <c r="G169" s="151" t="n"/>
      <c r="H169" s="43">
        <f t="array" ref="H169">IF(INDEX(DATOS!$C$1:$C$201,ROW()-12)="","",INDEX(DATOS!$C$1:$C$201,ROW()-12))</f>
        <v/>
      </c>
      <c r="I169" s="44">
        <f t="array" ref="I169">IF(INDEX(DATOS!$D$1:$D$201,ROW()-12)="","",INDEX(DATOS!$D$1:$D$201,ROW()-12))</f>
        <v/>
      </c>
      <c r="J169" s="45">
        <f t="array" ref="J169">IF(INDEX(DATOS!$M$1:$M$201,ROW()-12)="","",INDEX(DATOS!$M$1:$M$201,ROW()-12))</f>
        <v/>
      </c>
      <c r="K169" s="46">
        <f t="array" ref="K169">IF(INDEX(DATOS!$K$1:$K$201,ROW()-12)="","",INDEX(DATOS!$K$1:$K$201,ROW()-12))</f>
        <v/>
      </c>
      <c r="L169" s="47">
        <f t="array" ref="L169">IF(INDEX(DATOS!$E$1:$E$201,ROW()-12)="","",INDEX(DATOS!$E$1:$E$201,ROW()-12))</f>
        <v/>
      </c>
      <c r="M169" s="47">
        <f t="array" ref="M169">IF(INDEX(DATOS!$F$1:$F$201,ROW()-12)="","",INDEX(DATOS!$F$1:$F$201,ROW()-12))</f>
        <v/>
      </c>
      <c r="N169" s="47">
        <f t="array" ref="N169">IF(INDEX(DATOS!$G$1:$G$201,ROW()-12)="","",INDEX(DATOS!$G$1:$G$201,ROW()-12))</f>
        <v/>
      </c>
      <c r="O169" s="47">
        <f t="array" ref="O169">IF(INDEX(DATOS!$H$1:$H$201,ROW()-12)="","",INDEX(DATOS!$H$1:$H$201,ROW()-12))</f>
        <v/>
      </c>
      <c r="P169" s="47">
        <f t="array" ref="P169">IF(INDEX(DATOS!$I$1:$I$201,ROW()-12)="","",INDEX(DATOS!$I$1:$I$201,ROW()-12))</f>
        <v/>
      </c>
      <c r="Q169" s="48">
        <f t="array" ref="Q169">IF(INDEX(DATOS!$J$1:$J$201,ROW()-12)="","",INDEX(DATOS!$J$1:$J$201,ROW()-12))</f>
        <v/>
      </c>
      <c r="R169" s="49">
        <f t="array" ref="R169">IF(INDEX(DATOS!$P$1:$P$201,ROW()-12)="","",INDEX(DATOS!$P$1:$P$201,ROW()-12))</f>
        <v/>
      </c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8" customHeight="1">
      <c r="A170" s="17" t="n"/>
      <c r="B170" s="42">
        <f t="array" ref="B170">IF(INDEX(DATOS!$A$1:$A$201,ROW()-12)="","",INDEX(DATOS!$A$1:$A$201,ROW()-12))</f>
        <v/>
      </c>
      <c r="C170" s="149">
        <f t="array" ref="C170">IF(INDEX(DATOS!$B$1:$B$201,ROW()-12)="","",INDEX(DATOS!$B$1:$B$201,ROW()-12))</f>
        <v/>
      </c>
      <c r="D170" s="150" t="n"/>
      <c r="E170" s="150" t="n"/>
      <c r="F170" s="150" t="n"/>
      <c r="G170" s="151" t="n"/>
      <c r="H170" s="43">
        <f t="array" ref="H170">IF(INDEX(DATOS!$C$1:$C$201,ROW()-12)="","",INDEX(DATOS!$C$1:$C$201,ROW()-12))</f>
        <v/>
      </c>
      <c r="I170" s="44">
        <f t="array" ref="I170">IF(INDEX(DATOS!$D$1:$D$201,ROW()-12)="","",INDEX(DATOS!$D$1:$D$201,ROW()-12))</f>
        <v/>
      </c>
      <c r="J170" s="45">
        <f t="array" ref="J170">IF(INDEX(DATOS!$M$1:$M$201,ROW()-12)="","",INDEX(DATOS!$M$1:$M$201,ROW()-12))</f>
        <v/>
      </c>
      <c r="K170" s="46">
        <f t="array" ref="K170">IF(INDEX(DATOS!$K$1:$K$201,ROW()-12)="","",INDEX(DATOS!$K$1:$K$201,ROW()-12))</f>
        <v/>
      </c>
      <c r="L170" s="47">
        <f t="array" ref="L170">IF(INDEX(DATOS!$E$1:$E$201,ROW()-12)="","",INDEX(DATOS!$E$1:$E$201,ROW()-12))</f>
        <v/>
      </c>
      <c r="M170" s="47">
        <f t="array" ref="M170">IF(INDEX(DATOS!$F$1:$F$201,ROW()-12)="","",INDEX(DATOS!$F$1:$F$201,ROW()-12))</f>
        <v/>
      </c>
      <c r="N170" s="47">
        <f t="array" ref="N170">IF(INDEX(DATOS!$G$1:$G$201,ROW()-12)="","",INDEX(DATOS!$G$1:$G$201,ROW()-12))</f>
        <v/>
      </c>
      <c r="O170" s="47">
        <f t="array" ref="O170">IF(INDEX(DATOS!$H$1:$H$201,ROW()-12)="","",INDEX(DATOS!$H$1:$H$201,ROW()-12))</f>
        <v/>
      </c>
      <c r="P170" s="47">
        <f t="array" ref="P170">IF(INDEX(DATOS!$I$1:$I$201,ROW()-12)="","",INDEX(DATOS!$I$1:$I$201,ROW()-12))</f>
        <v/>
      </c>
      <c r="Q170" s="48">
        <f t="array" ref="Q170">IF(INDEX(DATOS!$J$1:$J$201,ROW()-12)="","",INDEX(DATOS!$J$1:$J$201,ROW()-12))</f>
        <v/>
      </c>
      <c r="R170" s="49">
        <f t="array" ref="R170">IF(INDEX(DATOS!$P$1:$P$201,ROW()-12)="","",INDEX(DATOS!$P$1:$P$201,ROW()-12))</f>
        <v/>
      </c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8" customHeight="1">
      <c r="A171" s="17" t="n"/>
      <c r="B171" s="42">
        <f t="array" ref="B171">IF(INDEX(DATOS!$A$1:$A$201,ROW()-12)="","",INDEX(DATOS!$A$1:$A$201,ROW()-12))</f>
        <v/>
      </c>
      <c r="C171" s="149">
        <f t="array" ref="C171">IF(INDEX(DATOS!$B$1:$B$201,ROW()-12)="","",INDEX(DATOS!$B$1:$B$201,ROW()-12))</f>
        <v/>
      </c>
      <c r="D171" s="150" t="n"/>
      <c r="E171" s="150" t="n"/>
      <c r="F171" s="150" t="n"/>
      <c r="G171" s="151" t="n"/>
      <c r="H171" s="43">
        <f t="array" ref="H171">IF(INDEX(DATOS!$C$1:$C$201,ROW()-12)="","",INDEX(DATOS!$C$1:$C$201,ROW()-12))</f>
        <v/>
      </c>
      <c r="I171" s="44">
        <f t="array" ref="I171">IF(INDEX(DATOS!$D$1:$D$201,ROW()-12)="","",INDEX(DATOS!$D$1:$D$201,ROW()-12))</f>
        <v/>
      </c>
      <c r="J171" s="45">
        <f t="array" ref="J171">IF(INDEX(DATOS!$M$1:$M$201,ROW()-12)="","",INDEX(DATOS!$M$1:$M$201,ROW()-12))</f>
        <v/>
      </c>
      <c r="K171" s="46">
        <f t="array" ref="K171">IF(INDEX(DATOS!$K$1:$K$201,ROW()-12)="","",INDEX(DATOS!$K$1:$K$201,ROW()-12))</f>
        <v/>
      </c>
      <c r="L171" s="47">
        <f t="array" ref="L171">IF(INDEX(DATOS!$E$1:$E$201,ROW()-12)="","",INDEX(DATOS!$E$1:$E$201,ROW()-12))</f>
        <v/>
      </c>
      <c r="M171" s="47">
        <f t="array" ref="M171">IF(INDEX(DATOS!$F$1:$F$201,ROW()-12)="","",INDEX(DATOS!$F$1:$F$201,ROW()-12))</f>
        <v/>
      </c>
      <c r="N171" s="47">
        <f t="array" ref="N171">IF(INDEX(DATOS!$G$1:$G$201,ROW()-12)="","",INDEX(DATOS!$G$1:$G$201,ROW()-12))</f>
        <v/>
      </c>
      <c r="O171" s="47">
        <f t="array" ref="O171">IF(INDEX(DATOS!$H$1:$H$201,ROW()-12)="","",INDEX(DATOS!$H$1:$H$201,ROW()-12))</f>
        <v/>
      </c>
      <c r="P171" s="47">
        <f t="array" ref="P171">IF(INDEX(DATOS!$I$1:$I$201,ROW()-12)="","",INDEX(DATOS!$I$1:$I$201,ROW()-12))</f>
        <v/>
      </c>
      <c r="Q171" s="48">
        <f t="array" ref="Q171">IF(INDEX(DATOS!$J$1:$J$201,ROW()-12)="","",INDEX(DATOS!$J$1:$J$201,ROW()-12))</f>
        <v/>
      </c>
      <c r="R171" s="49">
        <f t="array" ref="R171">IF(INDEX(DATOS!$P$1:$P$201,ROW()-12)="","",INDEX(DATOS!$P$1:$P$201,ROW()-12))</f>
        <v/>
      </c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8" customHeight="1">
      <c r="A172" s="17" t="n"/>
      <c r="B172" s="42">
        <f t="array" ref="B172">IF(INDEX(DATOS!$A$1:$A$201,ROW()-12)="","",INDEX(DATOS!$A$1:$A$201,ROW()-12))</f>
        <v/>
      </c>
      <c r="C172" s="149">
        <f t="array" ref="C172">IF(INDEX(DATOS!$B$1:$B$201,ROW()-12)="","",INDEX(DATOS!$B$1:$B$201,ROW()-12))</f>
        <v/>
      </c>
      <c r="D172" s="150" t="n"/>
      <c r="E172" s="150" t="n"/>
      <c r="F172" s="150" t="n"/>
      <c r="G172" s="151" t="n"/>
      <c r="H172" s="43">
        <f t="array" ref="H172">IF(INDEX(DATOS!$C$1:$C$201,ROW()-12)="","",INDEX(DATOS!$C$1:$C$201,ROW()-12))</f>
        <v/>
      </c>
      <c r="I172" s="44">
        <f t="array" ref="I172">IF(INDEX(DATOS!$D$1:$D$201,ROW()-12)="","",INDEX(DATOS!$D$1:$D$201,ROW()-12))</f>
        <v/>
      </c>
      <c r="J172" s="45">
        <f t="array" ref="J172">IF(INDEX(DATOS!$M$1:$M$201,ROW()-12)="","",INDEX(DATOS!$M$1:$M$201,ROW()-12))</f>
        <v/>
      </c>
      <c r="K172" s="46">
        <f t="array" ref="K172">IF(INDEX(DATOS!$K$1:$K$201,ROW()-12)="","",INDEX(DATOS!$K$1:$K$201,ROW()-12))</f>
        <v/>
      </c>
      <c r="L172" s="47">
        <f t="array" ref="L172">IF(INDEX(DATOS!$E$1:$E$201,ROW()-12)="","",INDEX(DATOS!$E$1:$E$201,ROW()-12))</f>
        <v/>
      </c>
      <c r="M172" s="47">
        <f t="array" ref="M172">IF(INDEX(DATOS!$F$1:$F$201,ROW()-12)="","",INDEX(DATOS!$F$1:$F$201,ROW()-12))</f>
        <v/>
      </c>
      <c r="N172" s="47">
        <f t="array" ref="N172">IF(INDEX(DATOS!$G$1:$G$201,ROW()-12)="","",INDEX(DATOS!$G$1:$G$201,ROW()-12))</f>
        <v/>
      </c>
      <c r="O172" s="47">
        <f t="array" ref="O172">IF(INDEX(DATOS!$H$1:$H$201,ROW()-12)="","",INDEX(DATOS!$H$1:$H$201,ROW()-12))</f>
        <v/>
      </c>
      <c r="P172" s="47">
        <f t="array" ref="P172">IF(INDEX(DATOS!$I$1:$I$201,ROW()-12)="","",INDEX(DATOS!$I$1:$I$201,ROW()-12))</f>
        <v/>
      </c>
      <c r="Q172" s="48">
        <f t="array" ref="Q172">IF(INDEX(DATOS!$J$1:$J$201,ROW()-12)="","",INDEX(DATOS!$J$1:$J$201,ROW()-12))</f>
        <v/>
      </c>
      <c r="R172" s="49">
        <f t="array" ref="R172">IF(INDEX(DATOS!$P$1:$P$201,ROW()-12)="","",INDEX(DATOS!$P$1:$P$201,ROW()-12))</f>
        <v/>
      </c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8" customHeight="1">
      <c r="A173" s="17" t="n"/>
      <c r="B173" s="42">
        <f t="array" ref="B173">IF(INDEX(DATOS!$A$1:$A$201,ROW()-12)="","",INDEX(DATOS!$A$1:$A$201,ROW()-12))</f>
        <v/>
      </c>
      <c r="C173" s="149">
        <f t="array" ref="C173">IF(INDEX(DATOS!$B$1:$B$201,ROW()-12)="","",INDEX(DATOS!$B$1:$B$201,ROW()-12))</f>
        <v/>
      </c>
      <c r="D173" s="150" t="n"/>
      <c r="E173" s="150" t="n"/>
      <c r="F173" s="150" t="n"/>
      <c r="G173" s="151" t="n"/>
      <c r="H173" s="43">
        <f t="array" ref="H173">IF(INDEX(DATOS!$C$1:$C$201,ROW()-12)="","",INDEX(DATOS!$C$1:$C$201,ROW()-12))</f>
        <v/>
      </c>
      <c r="I173" s="44">
        <f t="array" ref="I173">IF(INDEX(DATOS!$D$1:$D$201,ROW()-12)="","",INDEX(DATOS!$D$1:$D$201,ROW()-12))</f>
        <v/>
      </c>
      <c r="J173" s="45">
        <f t="array" ref="J173">IF(INDEX(DATOS!$M$1:$M$201,ROW()-12)="","",INDEX(DATOS!$M$1:$M$201,ROW()-12))</f>
        <v/>
      </c>
      <c r="K173" s="46">
        <f t="array" ref="K173">IF(INDEX(DATOS!$K$1:$K$201,ROW()-12)="","",INDEX(DATOS!$K$1:$K$201,ROW()-12))</f>
        <v/>
      </c>
      <c r="L173" s="47">
        <f t="array" ref="L173">IF(INDEX(DATOS!$E$1:$E$201,ROW()-12)="","",INDEX(DATOS!$E$1:$E$201,ROW()-12))</f>
        <v/>
      </c>
      <c r="M173" s="47">
        <f t="array" ref="M173">IF(INDEX(DATOS!$F$1:$F$201,ROW()-12)="","",INDEX(DATOS!$F$1:$F$201,ROW()-12))</f>
        <v/>
      </c>
      <c r="N173" s="47">
        <f t="array" ref="N173">IF(INDEX(DATOS!$G$1:$G$201,ROW()-12)="","",INDEX(DATOS!$G$1:$G$201,ROW()-12))</f>
        <v/>
      </c>
      <c r="O173" s="47">
        <f t="array" ref="O173">IF(INDEX(DATOS!$H$1:$H$201,ROW()-12)="","",INDEX(DATOS!$H$1:$H$201,ROW()-12))</f>
        <v/>
      </c>
      <c r="P173" s="47">
        <f t="array" ref="P173">IF(INDEX(DATOS!$I$1:$I$201,ROW()-12)="","",INDEX(DATOS!$I$1:$I$201,ROW()-12))</f>
        <v/>
      </c>
      <c r="Q173" s="48">
        <f t="array" ref="Q173">IF(INDEX(DATOS!$J$1:$J$201,ROW()-12)="","",INDEX(DATOS!$J$1:$J$201,ROW()-12))</f>
        <v/>
      </c>
      <c r="R173" s="49">
        <f t="array" ref="R173">IF(INDEX(DATOS!$P$1:$P$201,ROW()-12)="","",INDEX(DATOS!$P$1:$P$201,ROW()-12))</f>
        <v/>
      </c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8" customHeight="1">
      <c r="A174" s="17" t="n"/>
      <c r="B174" s="42">
        <f t="array" ref="B174">IF(INDEX(DATOS!$A$1:$A$201,ROW()-12)="","",INDEX(DATOS!$A$1:$A$201,ROW()-12))</f>
        <v/>
      </c>
      <c r="C174" s="149">
        <f t="array" ref="C174">IF(INDEX(DATOS!$B$1:$B$201,ROW()-12)="","",INDEX(DATOS!$B$1:$B$201,ROW()-12))</f>
        <v/>
      </c>
      <c r="D174" s="150" t="n"/>
      <c r="E174" s="150" t="n"/>
      <c r="F174" s="150" t="n"/>
      <c r="G174" s="151" t="n"/>
      <c r="H174" s="43">
        <f t="array" ref="H174">IF(INDEX(DATOS!$C$1:$C$201,ROW()-12)="","",INDEX(DATOS!$C$1:$C$201,ROW()-12))</f>
        <v/>
      </c>
      <c r="I174" s="44">
        <f t="array" ref="I174">IF(INDEX(DATOS!$D$1:$D$201,ROW()-12)="","",INDEX(DATOS!$D$1:$D$201,ROW()-12))</f>
        <v/>
      </c>
      <c r="J174" s="45">
        <f t="array" ref="J174">IF(INDEX(DATOS!$M$1:$M$201,ROW()-12)="","",INDEX(DATOS!$M$1:$M$201,ROW()-12))</f>
        <v/>
      </c>
      <c r="K174" s="46">
        <f t="array" ref="K174">IF(INDEX(DATOS!$K$1:$K$201,ROW()-12)="","",INDEX(DATOS!$K$1:$K$201,ROW()-12))</f>
        <v/>
      </c>
      <c r="L174" s="47">
        <f t="array" ref="L174">IF(INDEX(DATOS!$E$1:$E$201,ROW()-12)="","",INDEX(DATOS!$E$1:$E$201,ROW()-12))</f>
        <v/>
      </c>
      <c r="M174" s="47">
        <f t="array" ref="M174">IF(INDEX(DATOS!$F$1:$F$201,ROW()-12)="","",INDEX(DATOS!$F$1:$F$201,ROW()-12))</f>
        <v/>
      </c>
      <c r="N174" s="47">
        <f t="array" ref="N174">IF(INDEX(DATOS!$G$1:$G$201,ROW()-12)="","",INDEX(DATOS!$G$1:$G$201,ROW()-12))</f>
        <v/>
      </c>
      <c r="O174" s="47">
        <f t="array" ref="O174">IF(INDEX(DATOS!$H$1:$H$201,ROW()-12)="","",INDEX(DATOS!$H$1:$H$201,ROW()-12))</f>
        <v/>
      </c>
      <c r="P174" s="47">
        <f t="array" ref="P174">IF(INDEX(DATOS!$I$1:$I$201,ROW()-12)="","",INDEX(DATOS!$I$1:$I$201,ROW()-12))</f>
        <v/>
      </c>
      <c r="Q174" s="48">
        <f t="array" ref="Q174">IF(INDEX(DATOS!$J$1:$J$201,ROW()-12)="","",INDEX(DATOS!$J$1:$J$201,ROW()-12))</f>
        <v/>
      </c>
      <c r="R174" s="49">
        <f t="array" ref="R174">IF(INDEX(DATOS!$P$1:$P$201,ROW()-12)="","",INDEX(DATOS!$P$1:$P$201,ROW()-12))</f>
        <v/>
      </c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8" customHeight="1">
      <c r="A175" s="17" t="n"/>
      <c r="B175" s="42">
        <f t="array" ref="B175">IF(INDEX(DATOS!$A$1:$A$201,ROW()-12)="","",INDEX(DATOS!$A$1:$A$201,ROW()-12))</f>
        <v/>
      </c>
      <c r="C175" s="149">
        <f t="array" ref="C175">IF(INDEX(DATOS!$B$1:$B$201,ROW()-12)="","",INDEX(DATOS!$B$1:$B$201,ROW()-12))</f>
        <v/>
      </c>
      <c r="D175" s="150" t="n"/>
      <c r="E175" s="150" t="n"/>
      <c r="F175" s="150" t="n"/>
      <c r="G175" s="151" t="n"/>
      <c r="H175" s="43">
        <f t="array" ref="H175">IF(INDEX(DATOS!$C$1:$C$201,ROW()-12)="","",INDEX(DATOS!$C$1:$C$201,ROW()-12))</f>
        <v/>
      </c>
      <c r="I175" s="44">
        <f t="array" ref="I175">IF(INDEX(DATOS!$D$1:$D$201,ROW()-12)="","",INDEX(DATOS!$D$1:$D$201,ROW()-12))</f>
        <v/>
      </c>
      <c r="J175" s="45">
        <f t="array" ref="J175">IF(INDEX(DATOS!$M$1:$M$201,ROW()-12)="","",INDEX(DATOS!$M$1:$M$201,ROW()-12))</f>
        <v/>
      </c>
      <c r="K175" s="46">
        <f t="array" ref="K175">IF(INDEX(DATOS!$K$1:$K$201,ROW()-12)="","",INDEX(DATOS!$K$1:$K$201,ROW()-12))</f>
        <v/>
      </c>
      <c r="L175" s="47">
        <f t="array" ref="L175">IF(INDEX(DATOS!$E$1:$E$201,ROW()-12)="","",INDEX(DATOS!$E$1:$E$201,ROW()-12))</f>
        <v/>
      </c>
      <c r="M175" s="47">
        <f t="array" ref="M175">IF(INDEX(DATOS!$F$1:$F$201,ROW()-12)="","",INDEX(DATOS!$F$1:$F$201,ROW()-12))</f>
        <v/>
      </c>
      <c r="N175" s="47">
        <f t="array" ref="N175">IF(INDEX(DATOS!$G$1:$G$201,ROW()-12)="","",INDEX(DATOS!$G$1:$G$201,ROW()-12))</f>
        <v/>
      </c>
      <c r="O175" s="47">
        <f t="array" ref="O175">IF(INDEX(DATOS!$H$1:$H$201,ROW()-12)="","",INDEX(DATOS!$H$1:$H$201,ROW()-12))</f>
        <v/>
      </c>
      <c r="P175" s="47">
        <f t="array" ref="P175">IF(INDEX(DATOS!$I$1:$I$201,ROW()-12)="","",INDEX(DATOS!$I$1:$I$201,ROW()-12))</f>
        <v/>
      </c>
      <c r="Q175" s="48">
        <f t="array" ref="Q175">IF(INDEX(DATOS!$J$1:$J$201,ROW()-12)="","",INDEX(DATOS!$J$1:$J$201,ROW()-12))</f>
        <v/>
      </c>
      <c r="R175" s="49">
        <f t="array" ref="R175">IF(INDEX(DATOS!$P$1:$P$201,ROW()-12)="","",INDEX(DATOS!$P$1:$P$201,ROW()-12))</f>
        <v/>
      </c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8" customHeight="1">
      <c r="A176" s="17" t="n"/>
      <c r="B176" s="42">
        <f t="array" ref="B176">IF(INDEX(DATOS!$A$1:$A$201,ROW()-12)="","",INDEX(DATOS!$A$1:$A$201,ROW()-12))</f>
        <v/>
      </c>
      <c r="C176" s="149">
        <f t="array" ref="C176">IF(INDEX(DATOS!$B$1:$B$201,ROW()-12)="","",INDEX(DATOS!$B$1:$B$201,ROW()-12))</f>
        <v/>
      </c>
      <c r="D176" s="150" t="n"/>
      <c r="E176" s="150" t="n"/>
      <c r="F176" s="150" t="n"/>
      <c r="G176" s="151" t="n"/>
      <c r="H176" s="43">
        <f t="array" ref="H176">IF(INDEX(DATOS!$C$1:$C$201,ROW()-12)="","",INDEX(DATOS!$C$1:$C$201,ROW()-12))</f>
        <v/>
      </c>
      <c r="I176" s="44">
        <f t="array" ref="I176">IF(INDEX(DATOS!$D$1:$D$201,ROW()-12)="","",INDEX(DATOS!$D$1:$D$201,ROW()-12))</f>
        <v/>
      </c>
      <c r="J176" s="45">
        <f t="array" ref="J176">IF(INDEX(DATOS!$M$1:$M$201,ROW()-12)="","",INDEX(DATOS!$M$1:$M$201,ROW()-12))</f>
        <v/>
      </c>
      <c r="K176" s="46">
        <f t="array" ref="K176">IF(INDEX(DATOS!$K$1:$K$201,ROW()-12)="","",INDEX(DATOS!$K$1:$K$201,ROW()-12))</f>
        <v/>
      </c>
      <c r="L176" s="47">
        <f t="array" ref="L176">IF(INDEX(DATOS!$E$1:$E$201,ROW()-12)="","",INDEX(DATOS!$E$1:$E$201,ROW()-12))</f>
        <v/>
      </c>
      <c r="M176" s="47">
        <f t="array" ref="M176">IF(INDEX(DATOS!$F$1:$F$201,ROW()-12)="","",INDEX(DATOS!$F$1:$F$201,ROW()-12))</f>
        <v/>
      </c>
      <c r="N176" s="47">
        <f t="array" ref="N176">IF(INDEX(DATOS!$G$1:$G$201,ROW()-12)="","",INDEX(DATOS!$G$1:$G$201,ROW()-12))</f>
        <v/>
      </c>
      <c r="O176" s="47">
        <f t="array" ref="O176">IF(INDEX(DATOS!$H$1:$H$201,ROW()-12)="","",INDEX(DATOS!$H$1:$H$201,ROW()-12))</f>
        <v/>
      </c>
      <c r="P176" s="47">
        <f t="array" ref="P176">IF(INDEX(DATOS!$I$1:$I$201,ROW()-12)="","",INDEX(DATOS!$I$1:$I$201,ROW()-12))</f>
        <v/>
      </c>
      <c r="Q176" s="48">
        <f t="array" ref="Q176">IF(INDEX(DATOS!$J$1:$J$201,ROW()-12)="","",INDEX(DATOS!$J$1:$J$201,ROW()-12))</f>
        <v/>
      </c>
      <c r="R176" s="49">
        <f t="array" ref="R176">IF(INDEX(DATOS!$P$1:$P$201,ROW()-12)="","",INDEX(DATOS!$P$1:$P$201,ROW()-12))</f>
        <v/>
      </c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8" customHeight="1">
      <c r="A177" s="17" t="n"/>
      <c r="B177" s="42">
        <f t="array" ref="B177">IF(INDEX(DATOS!$A$1:$A$201,ROW()-12)="","",INDEX(DATOS!$A$1:$A$201,ROW()-12))</f>
        <v/>
      </c>
      <c r="C177" s="149">
        <f t="array" ref="C177">IF(INDEX(DATOS!$B$1:$B$201,ROW()-12)="","",INDEX(DATOS!$B$1:$B$201,ROW()-12))</f>
        <v/>
      </c>
      <c r="D177" s="150" t="n"/>
      <c r="E177" s="150" t="n"/>
      <c r="F177" s="150" t="n"/>
      <c r="G177" s="151" t="n"/>
      <c r="H177" s="43">
        <f t="array" ref="H177">IF(INDEX(DATOS!$C$1:$C$201,ROW()-12)="","",INDEX(DATOS!$C$1:$C$201,ROW()-12))</f>
        <v/>
      </c>
      <c r="I177" s="44">
        <f t="array" ref="I177">IF(INDEX(DATOS!$D$1:$D$201,ROW()-12)="","",INDEX(DATOS!$D$1:$D$201,ROW()-12))</f>
        <v/>
      </c>
      <c r="J177" s="45">
        <f t="array" ref="J177">IF(INDEX(DATOS!$M$1:$M$201,ROW()-12)="","",INDEX(DATOS!$M$1:$M$201,ROW()-12))</f>
        <v/>
      </c>
      <c r="K177" s="46">
        <f t="array" ref="K177">IF(INDEX(DATOS!$K$1:$K$201,ROW()-12)="","",INDEX(DATOS!$K$1:$K$201,ROW()-12))</f>
        <v/>
      </c>
      <c r="L177" s="47">
        <f t="array" ref="L177">IF(INDEX(DATOS!$E$1:$E$201,ROW()-12)="","",INDEX(DATOS!$E$1:$E$201,ROW()-12))</f>
        <v/>
      </c>
      <c r="M177" s="47">
        <f t="array" ref="M177">IF(INDEX(DATOS!$F$1:$F$201,ROW()-12)="","",INDEX(DATOS!$F$1:$F$201,ROW()-12))</f>
        <v/>
      </c>
      <c r="N177" s="47">
        <f t="array" ref="N177">IF(INDEX(DATOS!$G$1:$G$201,ROW()-12)="","",INDEX(DATOS!$G$1:$G$201,ROW()-12))</f>
        <v/>
      </c>
      <c r="O177" s="47">
        <f t="array" ref="O177">IF(INDEX(DATOS!$H$1:$H$201,ROW()-12)="","",INDEX(DATOS!$H$1:$H$201,ROW()-12))</f>
        <v/>
      </c>
      <c r="P177" s="47">
        <f t="array" ref="P177">IF(INDEX(DATOS!$I$1:$I$201,ROW()-12)="","",INDEX(DATOS!$I$1:$I$201,ROW()-12))</f>
        <v/>
      </c>
      <c r="Q177" s="48">
        <f t="array" ref="Q177">IF(INDEX(DATOS!$J$1:$J$201,ROW()-12)="","",INDEX(DATOS!$J$1:$J$201,ROW()-12))</f>
        <v/>
      </c>
      <c r="R177" s="49">
        <f t="array" ref="R177">IF(INDEX(DATOS!$P$1:$P$201,ROW()-12)="","",INDEX(DATOS!$P$1:$P$201,ROW()-12))</f>
        <v/>
      </c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8" customHeight="1">
      <c r="A178" s="17" t="n"/>
      <c r="B178" s="42">
        <f t="array" ref="B178">IF(INDEX(DATOS!$A$1:$A$201,ROW()-12)="","",INDEX(DATOS!$A$1:$A$201,ROW()-12))</f>
        <v/>
      </c>
      <c r="C178" s="149">
        <f t="array" ref="C178">IF(INDEX(DATOS!$B$1:$B$201,ROW()-12)="","",INDEX(DATOS!$B$1:$B$201,ROW()-12))</f>
        <v/>
      </c>
      <c r="D178" s="150" t="n"/>
      <c r="E178" s="150" t="n"/>
      <c r="F178" s="150" t="n"/>
      <c r="G178" s="151" t="n"/>
      <c r="H178" s="43">
        <f t="array" ref="H178">IF(INDEX(DATOS!$C$1:$C$201,ROW()-12)="","",INDEX(DATOS!$C$1:$C$201,ROW()-12))</f>
        <v/>
      </c>
      <c r="I178" s="44">
        <f t="array" ref="I178">IF(INDEX(DATOS!$D$1:$D$201,ROW()-12)="","",INDEX(DATOS!$D$1:$D$201,ROW()-12))</f>
        <v/>
      </c>
      <c r="J178" s="45">
        <f t="array" ref="J178">IF(INDEX(DATOS!$M$1:$M$201,ROW()-12)="","",INDEX(DATOS!$M$1:$M$201,ROW()-12))</f>
        <v/>
      </c>
      <c r="K178" s="46">
        <f t="array" ref="K178">IF(INDEX(DATOS!$K$1:$K$201,ROW()-12)="","",INDEX(DATOS!$K$1:$K$201,ROW()-12))</f>
        <v/>
      </c>
      <c r="L178" s="47">
        <f t="array" ref="L178">IF(INDEX(DATOS!$E$1:$E$201,ROW()-12)="","",INDEX(DATOS!$E$1:$E$201,ROW()-12))</f>
        <v/>
      </c>
      <c r="M178" s="47">
        <f t="array" ref="M178">IF(INDEX(DATOS!$F$1:$F$201,ROW()-12)="","",INDEX(DATOS!$F$1:$F$201,ROW()-12))</f>
        <v/>
      </c>
      <c r="N178" s="47">
        <f t="array" ref="N178">IF(INDEX(DATOS!$G$1:$G$201,ROW()-12)="","",INDEX(DATOS!$G$1:$G$201,ROW()-12))</f>
        <v/>
      </c>
      <c r="O178" s="47">
        <f t="array" ref="O178">IF(INDEX(DATOS!$H$1:$H$201,ROW()-12)="","",INDEX(DATOS!$H$1:$H$201,ROW()-12))</f>
        <v/>
      </c>
      <c r="P178" s="47">
        <f t="array" ref="P178">IF(INDEX(DATOS!$I$1:$I$201,ROW()-12)="","",INDEX(DATOS!$I$1:$I$201,ROW()-12))</f>
        <v/>
      </c>
      <c r="Q178" s="48">
        <f t="array" ref="Q178">IF(INDEX(DATOS!$J$1:$J$201,ROW()-12)="","",INDEX(DATOS!$J$1:$J$201,ROW()-12))</f>
        <v/>
      </c>
      <c r="R178" s="49">
        <f t="array" ref="R178">IF(INDEX(DATOS!$P$1:$P$201,ROW()-12)="","",INDEX(DATOS!$P$1:$P$201,ROW()-12))</f>
        <v/>
      </c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8" customHeight="1">
      <c r="A179" s="17" t="n"/>
      <c r="B179" s="42">
        <f t="array" ref="B179">IF(INDEX(DATOS!$A$1:$A$201,ROW()-12)="","",INDEX(DATOS!$A$1:$A$201,ROW()-12))</f>
        <v/>
      </c>
      <c r="C179" s="149">
        <f t="array" ref="C179">IF(INDEX(DATOS!$B$1:$B$201,ROW()-12)="","",INDEX(DATOS!$B$1:$B$201,ROW()-12))</f>
        <v/>
      </c>
      <c r="D179" s="150" t="n"/>
      <c r="E179" s="150" t="n"/>
      <c r="F179" s="150" t="n"/>
      <c r="G179" s="151" t="n"/>
      <c r="H179" s="43">
        <f t="array" ref="H179">IF(INDEX(DATOS!$C$1:$C$201,ROW()-12)="","",INDEX(DATOS!$C$1:$C$201,ROW()-12))</f>
        <v/>
      </c>
      <c r="I179" s="44">
        <f t="array" ref="I179">IF(INDEX(DATOS!$D$1:$D$201,ROW()-12)="","",INDEX(DATOS!$D$1:$D$201,ROW()-12))</f>
        <v/>
      </c>
      <c r="J179" s="45">
        <f t="array" ref="J179">IF(INDEX(DATOS!$M$1:$M$201,ROW()-12)="","",INDEX(DATOS!$M$1:$M$201,ROW()-12))</f>
        <v/>
      </c>
      <c r="K179" s="46">
        <f t="array" ref="K179">IF(INDEX(DATOS!$K$1:$K$201,ROW()-12)="","",INDEX(DATOS!$K$1:$K$201,ROW()-12))</f>
        <v/>
      </c>
      <c r="L179" s="47">
        <f t="array" ref="L179">IF(INDEX(DATOS!$E$1:$E$201,ROW()-12)="","",INDEX(DATOS!$E$1:$E$201,ROW()-12))</f>
        <v/>
      </c>
      <c r="M179" s="47">
        <f t="array" ref="M179">IF(INDEX(DATOS!$F$1:$F$201,ROW()-12)="","",INDEX(DATOS!$F$1:$F$201,ROW()-12))</f>
        <v/>
      </c>
      <c r="N179" s="47">
        <f t="array" ref="N179">IF(INDEX(DATOS!$G$1:$G$201,ROW()-12)="","",INDEX(DATOS!$G$1:$G$201,ROW()-12))</f>
        <v/>
      </c>
      <c r="O179" s="47">
        <f t="array" ref="O179">IF(INDEX(DATOS!$H$1:$H$201,ROW()-12)="","",INDEX(DATOS!$H$1:$H$201,ROW()-12))</f>
        <v/>
      </c>
      <c r="P179" s="47">
        <f t="array" ref="P179">IF(INDEX(DATOS!$I$1:$I$201,ROW()-12)="","",INDEX(DATOS!$I$1:$I$201,ROW()-12))</f>
        <v/>
      </c>
      <c r="Q179" s="48">
        <f t="array" ref="Q179">IF(INDEX(DATOS!$J$1:$J$201,ROW()-12)="","",INDEX(DATOS!$J$1:$J$201,ROW()-12))</f>
        <v/>
      </c>
      <c r="R179" s="49">
        <f t="array" ref="R179">IF(INDEX(DATOS!$P$1:$P$201,ROW()-12)="","",INDEX(DATOS!$P$1:$P$201,ROW()-12))</f>
        <v/>
      </c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8" customHeight="1">
      <c r="A180" s="17" t="n"/>
      <c r="B180" s="42">
        <f t="array" ref="B180">IF(INDEX(DATOS!$A$1:$A$201,ROW()-12)="","",INDEX(DATOS!$A$1:$A$201,ROW()-12))</f>
        <v/>
      </c>
      <c r="C180" s="149">
        <f t="array" ref="C180">IF(INDEX(DATOS!$B$1:$B$201,ROW()-12)="","",INDEX(DATOS!$B$1:$B$201,ROW()-12))</f>
        <v/>
      </c>
      <c r="D180" s="150" t="n"/>
      <c r="E180" s="150" t="n"/>
      <c r="F180" s="150" t="n"/>
      <c r="G180" s="151" t="n"/>
      <c r="H180" s="43">
        <f t="array" ref="H180">IF(INDEX(DATOS!$C$1:$C$201,ROW()-12)="","",INDEX(DATOS!$C$1:$C$201,ROW()-12))</f>
        <v/>
      </c>
      <c r="I180" s="44">
        <f t="array" ref="I180">IF(INDEX(DATOS!$D$1:$D$201,ROW()-12)="","",INDEX(DATOS!$D$1:$D$201,ROW()-12))</f>
        <v/>
      </c>
      <c r="J180" s="45">
        <f t="array" ref="J180">IF(INDEX(DATOS!$M$1:$M$201,ROW()-12)="","",INDEX(DATOS!$M$1:$M$201,ROW()-12))</f>
        <v/>
      </c>
      <c r="K180" s="46">
        <f t="array" ref="K180">IF(INDEX(DATOS!$K$1:$K$201,ROW()-12)="","",INDEX(DATOS!$K$1:$K$201,ROW()-12))</f>
        <v/>
      </c>
      <c r="L180" s="47">
        <f t="array" ref="L180">IF(INDEX(DATOS!$E$1:$E$201,ROW()-12)="","",INDEX(DATOS!$E$1:$E$201,ROW()-12))</f>
        <v/>
      </c>
      <c r="M180" s="47">
        <f t="array" ref="M180">IF(INDEX(DATOS!$F$1:$F$201,ROW()-12)="","",INDEX(DATOS!$F$1:$F$201,ROW()-12))</f>
        <v/>
      </c>
      <c r="N180" s="47">
        <f t="array" ref="N180">IF(INDEX(DATOS!$G$1:$G$201,ROW()-12)="","",INDEX(DATOS!$G$1:$G$201,ROW()-12))</f>
        <v/>
      </c>
      <c r="O180" s="47">
        <f t="array" ref="O180">IF(INDEX(DATOS!$H$1:$H$201,ROW()-12)="","",INDEX(DATOS!$H$1:$H$201,ROW()-12))</f>
        <v/>
      </c>
      <c r="P180" s="47">
        <f t="array" ref="P180">IF(INDEX(DATOS!$I$1:$I$201,ROW()-12)="","",INDEX(DATOS!$I$1:$I$201,ROW()-12))</f>
        <v/>
      </c>
      <c r="Q180" s="48">
        <f t="array" ref="Q180">IF(INDEX(DATOS!$J$1:$J$201,ROW()-12)="","",INDEX(DATOS!$J$1:$J$201,ROW()-12))</f>
        <v/>
      </c>
      <c r="R180" s="49">
        <f t="array" ref="R180">IF(INDEX(DATOS!$P$1:$P$201,ROW()-12)="","",INDEX(DATOS!$P$1:$P$201,ROW()-12))</f>
        <v/>
      </c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8" customHeight="1">
      <c r="A181" s="17" t="n"/>
      <c r="B181" s="42">
        <f t="array" ref="B181">IF(INDEX(DATOS!$A$1:$A$201,ROW()-12)="","",INDEX(DATOS!$A$1:$A$201,ROW()-12))</f>
        <v/>
      </c>
      <c r="C181" s="149">
        <f t="array" ref="C181">IF(INDEX(DATOS!$B$1:$B$201,ROW()-12)="","",INDEX(DATOS!$B$1:$B$201,ROW()-12))</f>
        <v/>
      </c>
      <c r="D181" s="150" t="n"/>
      <c r="E181" s="150" t="n"/>
      <c r="F181" s="150" t="n"/>
      <c r="G181" s="151" t="n"/>
      <c r="H181" s="43">
        <f t="array" ref="H181">IF(INDEX(DATOS!$C$1:$C$201,ROW()-12)="","",INDEX(DATOS!$C$1:$C$201,ROW()-12))</f>
        <v/>
      </c>
      <c r="I181" s="44">
        <f t="array" ref="I181">IF(INDEX(DATOS!$D$1:$D$201,ROW()-12)="","",INDEX(DATOS!$D$1:$D$201,ROW()-12))</f>
        <v/>
      </c>
      <c r="J181" s="45">
        <f t="array" ref="J181">IF(INDEX(DATOS!$M$1:$M$201,ROW()-12)="","",INDEX(DATOS!$M$1:$M$201,ROW()-12))</f>
        <v/>
      </c>
      <c r="K181" s="46">
        <f t="array" ref="K181">IF(INDEX(DATOS!$K$1:$K$201,ROW()-12)="","",INDEX(DATOS!$K$1:$K$201,ROW()-12))</f>
        <v/>
      </c>
      <c r="L181" s="47">
        <f t="array" ref="L181">IF(INDEX(DATOS!$E$1:$E$201,ROW()-12)="","",INDEX(DATOS!$E$1:$E$201,ROW()-12))</f>
        <v/>
      </c>
      <c r="M181" s="47">
        <f t="array" ref="M181">IF(INDEX(DATOS!$F$1:$F$201,ROW()-12)="","",INDEX(DATOS!$F$1:$F$201,ROW()-12))</f>
        <v/>
      </c>
      <c r="N181" s="47">
        <f t="array" ref="N181">IF(INDEX(DATOS!$G$1:$G$201,ROW()-12)="","",INDEX(DATOS!$G$1:$G$201,ROW()-12))</f>
        <v/>
      </c>
      <c r="O181" s="47">
        <f t="array" ref="O181">IF(INDEX(DATOS!$H$1:$H$201,ROW()-12)="","",INDEX(DATOS!$H$1:$H$201,ROW()-12))</f>
        <v/>
      </c>
      <c r="P181" s="47">
        <f t="array" ref="P181">IF(INDEX(DATOS!$I$1:$I$201,ROW()-12)="","",INDEX(DATOS!$I$1:$I$201,ROW()-12))</f>
        <v/>
      </c>
      <c r="Q181" s="48">
        <f t="array" ref="Q181">IF(INDEX(DATOS!$J$1:$J$201,ROW()-12)="","",INDEX(DATOS!$J$1:$J$201,ROW()-12))</f>
        <v/>
      </c>
      <c r="R181" s="49">
        <f t="array" ref="R181">IF(INDEX(DATOS!$P$1:$P$201,ROW()-12)="","",INDEX(DATOS!$P$1:$P$201,ROW()-12))</f>
        <v/>
      </c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8" customHeight="1">
      <c r="A182" s="17" t="n"/>
      <c r="B182" s="42">
        <f t="array" ref="B182">IF(INDEX(DATOS!$A$1:$A$201,ROW()-12)="","",INDEX(DATOS!$A$1:$A$201,ROW()-12))</f>
        <v/>
      </c>
      <c r="C182" s="149">
        <f t="array" ref="C182">IF(INDEX(DATOS!$B$1:$B$201,ROW()-12)="","",INDEX(DATOS!$B$1:$B$201,ROW()-12))</f>
        <v/>
      </c>
      <c r="D182" s="150" t="n"/>
      <c r="E182" s="150" t="n"/>
      <c r="F182" s="150" t="n"/>
      <c r="G182" s="151" t="n"/>
      <c r="H182" s="43">
        <f t="array" ref="H182">IF(INDEX(DATOS!$C$1:$C$201,ROW()-12)="","",INDEX(DATOS!$C$1:$C$201,ROW()-12))</f>
        <v/>
      </c>
      <c r="I182" s="44">
        <f t="array" ref="I182">IF(INDEX(DATOS!$D$1:$D$201,ROW()-12)="","",INDEX(DATOS!$D$1:$D$201,ROW()-12))</f>
        <v/>
      </c>
      <c r="J182" s="45">
        <f t="array" ref="J182">IF(INDEX(DATOS!$M$1:$M$201,ROW()-12)="","",INDEX(DATOS!$M$1:$M$201,ROW()-12))</f>
        <v/>
      </c>
      <c r="K182" s="46">
        <f t="array" ref="K182">IF(INDEX(DATOS!$K$1:$K$201,ROW()-12)="","",INDEX(DATOS!$K$1:$K$201,ROW()-12))</f>
        <v/>
      </c>
      <c r="L182" s="47">
        <f t="array" ref="L182">IF(INDEX(DATOS!$E$1:$E$201,ROW()-12)="","",INDEX(DATOS!$E$1:$E$201,ROW()-12))</f>
        <v/>
      </c>
      <c r="M182" s="47">
        <f t="array" ref="M182">IF(INDEX(DATOS!$F$1:$F$201,ROW()-12)="","",INDEX(DATOS!$F$1:$F$201,ROW()-12))</f>
        <v/>
      </c>
      <c r="N182" s="47">
        <f t="array" ref="N182">IF(INDEX(DATOS!$G$1:$G$201,ROW()-12)="","",INDEX(DATOS!$G$1:$G$201,ROW()-12))</f>
        <v/>
      </c>
      <c r="O182" s="47">
        <f t="array" ref="O182">IF(INDEX(DATOS!$H$1:$H$201,ROW()-12)="","",INDEX(DATOS!$H$1:$H$201,ROW()-12))</f>
        <v/>
      </c>
      <c r="P182" s="47">
        <f t="array" ref="P182">IF(INDEX(DATOS!$I$1:$I$201,ROW()-12)="","",INDEX(DATOS!$I$1:$I$201,ROW()-12))</f>
        <v/>
      </c>
      <c r="Q182" s="48">
        <f t="array" ref="Q182">IF(INDEX(DATOS!$J$1:$J$201,ROW()-12)="","",INDEX(DATOS!$J$1:$J$201,ROW()-12))</f>
        <v/>
      </c>
      <c r="R182" s="49">
        <f t="array" ref="R182">IF(INDEX(DATOS!$P$1:$P$201,ROW()-12)="","",INDEX(DATOS!$P$1:$P$201,ROW()-12))</f>
        <v/>
      </c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8" customHeight="1">
      <c r="A183" s="17" t="n"/>
      <c r="B183" s="42">
        <f t="array" ref="B183">IF(INDEX(DATOS!$A$1:$A$201,ROW()-12)="","",INDEX(DATOS!$A$1:$A$201,ROW()-12))</f>
        <v/>
      </c>
      <c r="C183" s="149">
        <f t="array" ref="C183">IF(INDEX(DATOS!$B$1:$B$201,ROW()-12)="","",INDEX(DATOS!$B$1:$B$201,ROW()-12))</f>
        <v/>
      </c>
      <c r="D183" s="150" t="n"/>
      <c r="E183" s="150" t="n"/>
      <c r="F183" s="150" t="n"/>
      <c r="G183" s="151" t="n"/>
      <c r="H183" s="43">
        <f t="array" ref="H183">IF(INDEX(DATOS!$C$1:$C$201,ROW()-12)="","",INDEX(DATOS!$C$1:$C$201,ROW()-12))</f>
        <v/>
      </c>
      <c r="I183" s="44">
        <f t="array" ref="I183">IF(INDEX(DATOS!$D$1:$D$201,ROW()-12)="","",INDEX(DATOS!$D$1:$D$201,ROW()-12))</f>
        <v/>
      </c>
      <c r="J183" s="45">
        <f t="array" ref="J183">IF(INDEX(DATOS!$M$1:$M$201,ROW()-12)="","",INDEX(DATOS!$M$1:$M$201,ROW()-12))</f>
        <v/>
      </c>
      <c r="K183" s="46">
        <f t="array" ref="K183">IF(INDEX(DATOS!$K$1:$K$201,ROW()-12)="","",INDEX(DATOS!$K$1:$K$201,ROW()-12))</f>
        <v/>
      </c>
      <c r="L183" s="47">
        <f t="array" ref="L183">IF(INDEX(DATOS!$E$1:$E$201,ROW()-12)="","",INDEX(DATOS!$E$1:$E$201,ROW()-12))</f>
        <v/>
      </c>
      <c r="M183" s="47">
        <f t="array" ref="M183">IF(INDEX(DATOS!$F$1:$F$201,ROW()-12)="","",INDEX(DATOS!$F$1:$F$201,ROW()-12))</f>
        <v/>
      </c>
      <c r="N183" s="47">
        <f t="array" ref="N183">IF(INDEX(DATOS!$G$1:$G$201,ROW()-12)="","",INDEX(DATOS!$G$1:$G$201,ROW()-12))</f>
        <v/>
      </c>
      <c r="O183" s="47">
        <f t="array" ref="O183">IF(INDEX(DATOS!$H$1:$H$201,ROW()-12)="","",INDEX(DATOS!$H$1:$H$201,ROW()-12))</f>
        <v/>
      </c>
      <c r="P183" s="47">
        <f t="array" ref="P183">IF(INDEX(DATOS!$I$1:$I$201,ROW()-12)="","",INDEX(DATOS!$I$1:$I$201,ROW()-12))</f>
        <v/>
      </c>
      <c r="Q183" s="48">
        <f t="array" ref="Q183">IF(INDEX(DATOS!$J$1:$J$201,ROW()-12)="","",INDEX(DATOS!$J$1:$J$201,ROW()-12))</f>
        <v/>
      </c>
      <c r="R183" s="49">
        <f t="array" ref="R183">IF(INDEX(DATOS!$P$1:$P$201,ROW()-12)="","",INDEX(DATOS!$P$1:$P$201,ROW()-12))</f>
        <v/>
      </c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8" customHeight="1">
      <c r="A184" s="17" t="n"/>
      <c r="B184" s="42">
        <f t="array" ref="B184">IF(INDEX(DATOS!$A$1:$A$201,ROW()-12)="","",INDEX(DATOS!$A$1:$A$201,ROW()-12))</f>
        <v/>
      </c>
      <c r="C184" s="149">
        <f t="array" ref="C184">IF(INDEX(DATOS!$B$1:$B$201,ROW()-12)="","",INDEX(DATOS!$B$1:$B$201,ROW()-12))</f>
        <v/>
      </c>
      <c r="D184" s="150" t="n"/>
      <c r="E184" s="150" t="n"/>
      <c r="F184" s="150" t="n"/>
      <c r="G184" s="151" t="n"/>
      <c r="H184" s="43">
        <f t="array" ref="H184">IF(INDEX(DATOS!$C$1:$C$201,ROW()-12)="","",INDEX(DATOS!$C$1:$C$201,ROW()-12))</f>
        <v/>
      </c>
      <c r="I184" s="44">
        <f t="array" ref="I184">IF(INDEX(DATOS!$D$1:$D$201,ROW()-12)="","",INDEX(DATOS!$D$1:$D$201,ROW()-12))</f>
        <v/>
      </c>
      <c r="J184" s="45">
        <f t="array" ref="J184">IF(INDEX(DATOS!$M$1:$M$201,ROW()-12)="","",INDEX(DATOS!$M$1:$M$201,ROW()-12))</f>
        <v/>
      </c>
      <c r="K184" s="46">
        <f t="array" ref="K184">IF(INDEX(DATOS!$K$1:$K$201,ROW()-12)="","",INDEX(DATOS!$K$1:$K$201,ROW()-12))</f>
        <v/>
      </c>
      <c r="L184" s="47">
        <f t="array" ref="L184">IF(INDEX(DATOS!$E$1:$E$201,ROW()-12)="","",INDEX(DATOS!$E$1:$E$201,ROW()-12))</f>
        <v/>
      </c>
      <c r="M184" s="47">
        <f t="array" ref="M184">IF(INDEX(DATOS!$F$1:$F$201,ROW()-12)="","",INDEX(DATOS!$F$1:$F$201,ROW()-12))</f>
        <v/>
      </c>
      <c r="N184" s="47">
        <f t="array" ref="N184">IF(INDEX(DATOS!$G$1:$G$201,ROW()-12)="","",INDEX(DATOS!$G$1:$G$201,ROW()-12))</f>
        <v/>
      </c>
      <c r="O184" s="47">
        <f t="array" ref="O184">IF(INDEX(DATOS!$H$1:$H$201,ROW()-12)="","",INDEX(DATOS!$H$1:$H$201,ROW()-12))</f>
        <v/>
      </c>
      <c r="P184" s="47">
        <f t="array" ref="P184">IF(INDEX(DATOS!$I$1:$I$201,ROW()-12)="","",INDEX(DATOS!$I$1:$I$201,ROW()-12))</f>
        <v/>
      </c>
      <c r="Q184" s="48">
        <f t="array" ref="Q184">IF(INDEX(DATOS!$J$1:$J$201,ROW()-12)="","",INDEX(DATOS!$J$1:$J$201,ROW()-12))</f>
        <v/>
      </c>
      <c r="R184" s="49">
        <f t="array" ref="R184">IF(INDEX(DATOS!$P$1:$P$201,ROW()-12)="","",INDEX(DATOS!$P$1:$P$201,ROW()-12))</f>
        <v/>
      </c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8" customHeight="1">
      <c r="A185" s="17" t="n"/>
      <c r="B185" s="42">
        <f t="array" ref="B185">IF(INDEX(DATOS!$A$1:$A$201,ROW()-12)="","",INDEX(DATOS!$A$1:$A$201,ROW()-12))</f>
        <v/>
      </c>
      <c r="C185" s="149">
        <f t="array" ref="C185">IF(INDEX(DATOS!$B$1:$B$201,ROW()-12)="","",INDEX(DATOS!$B$1:$B$201,ROW()-12))</f>
        <v/>
      </c>
      <c r="D185" s="150" t="n"/>
      <c r="E185" s="150" t="n"/>
      <c r="F185" s="150" t="n"/>
      <c r="G185" s="151" t="n"/>
      <c r="H185" s="43">
        <f t="array" ref="H185">IF(INDEX(DATOS!$C$1:$C$201,ROW()-12)="","",INDEX(DATOS!$C$1:$C$201,ROW()-12))</f>
        <v/>
      </c>
      <c r="I185" s="44">
        <f t="array" ref="I185">IF(INDEX(DATOS!$D$1:$D$201,ROW()-12)="","",INDEX(DATOS!$D$1:$D$201,ROW()-12))</f>
        <v/>
      </c>
      <c r="J185" s="45">
        <f t="array" ref="J185">IF(INDEX(DATOS!$M$1:$M$201,ROW()-12)="","",INDEX(DATOS!$M$1:$M$201,ROW()-12))</f>
        <v/>
      </c>
      <c r="K185" s="46">
        <f t="array" ref="K185">IF(INDEX(DATOS!$K$1:$K$201,ROW()-12)="","",INDEX(DATOS!$K$1:$K$201,ROW()-12))</f>
        <v/>
      </c>
      <c r="L185" s="47">
        <f t="array" ref="L185">IF(INDEX(DATOS!$E$1:$E$201,ROW()-12)="","",INDEX(DATOS!$E$1:$E$201,ROW()-12))</f>
        <v/>
      </c>
      <c r="M185" s="47">
        <f t="array" ref="M185">IF(INDEX(DATOS!$F$1:$F$201,ROW()-12)="","",INDEX(DATOS!$F$1:$F$201,ROW()-12))</f>
        <v/>
      </c>
      <c r="N185" s="47">
        <f t="array" ref="N185">IF(INDEX(DATOS!$G$1:$G$201,ROW()-12)="","",INDEX(DATOS!$G$1:$G$201,ROW()-12))</f>
        <v/>
      </c>
      <c r="O185" s="47">
        <f t="array" ref="O185">IF(INDEX(DATOS!$H$1:$H$201,ROW()-12)="","",INDEX(DATOS!$H$1:$H$201,ROW()-12))</f>
        <v/>
      </c>
      <c r="P185" s="47">
        <f t="array" ref="P185">IF(INDEX(DATOS!$I$1:$I$201,ROW()-12)="","",INDEX(DATOS!$I$1:$I$201,ROW()-12))</f>
        <v/>
      </c>
      <c r="Q185" s="48">
        <f t="array" ref="Q185">IF(INDEX(DATOS!$J$1:$J$201,ROW()-12)="","",INDEX(DATOS!$J$1:$J$201,ROW()-12))</f>
        <v/>
      </c>
      <c r="R185" s="49">
        <f t="array" ref="R185">IF(INDEX(DATOS!$P$1:$P$201,ROW()-12)="","",INDEX(DATOS!$P$1:$P$201,ROW()-12))</f>
        <v/>
      </c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8" customHeight="1">
      <c r="A186" s="17" t="n"/>
      <c r="B186" s="42">
        <f t="array" ref="B186">IF(INDEX(DATOS!$A$1:$A$201,ROW()-12)="","",INDEX(DATOS!$A$1:$A$201,ROW()-12))</f>
        <v/>
      </c>
      <c r="C186" s="149">
        <f t="array" ref="C186">IF(INDEX(DATOS!$B$1:$B$201,ROW()-12)="","",INDEX(DATOS!$B$1:$B$201,ROW()-12))</f>
        <v/>
      </c>
      <c r="D186" s="150" t="n"/>
      <c r="E186" s="150" t="n"/>
      <c r="F186" s="150" t="n"/>
      <c r="G186" s="151" t="n"/>
      <c r="H186" s="43">
        <f t="array" ref="H186">IF(INDEX(DATOS!$C$1:$C$201,ROW()-12)="","",INDEX(DATOS!$C$1:$C$201,ROW()-12))</f>
        <v/>
      </c>
      <c r="I186" s="44">
        <f t="array" ref="I186">IF(INDEX(DATOS!$D$1:$D$201,ROW()-12)="","",INDEX(DATOS!$D$1:$D$201,ROW()-12))</f>
        <v/>
      </c>
      <c r="J186" s="45">
        <f t="array" ref="J186">IF(INDEX(DATOS!$M$1:$M$201,ROW()-12)="","",INDEX(DATOS!$M$1:$M$201,ROW()-12))</f>
        <v/>
      </c>
      <c r="K186" s="46">
        <f t="array" ref="K186">IF(INDEX(DATOS!$K$1:$K$201,ROW()-12)="","",INDEX(DATOS!$K$1:$K$201,ROW()-12))</f>
        <v/>
      </c>
      <c r="L186" s="47">
        <f t="array" ref="L186">IF(INDEX(DATOS!$E$1:$E$201,ROW()-12)="","",INDEX(DATOS!$E$1:$E$201,ROW()-12))</f>
        <v/>
      </c>
      <c r="M186" s="47">
        <f t="array" ref="M186">IF(INDEX(DATOS!$F$1:$F$201,ROW()-12)="","",INDEX(DATOS!$F$1:$F$201,ROW()-12))</f>
        <v/>
      </c>
      <c r="N186" s="47">
        <f t="array" ref="N186">IF(INDEX(DATOS!$G$1:$G$201,ROW()-12)="","",INDEX(DATOS!$G$1:$G$201,ROW()-12))</f>
        <v/>
      </c>
      <c r="O186" s="47">
        <f t="array" ref="O186">IF(INDEX(DATOS!$H$1:$H$201,ROW()-12)="","",INDEX(DATOS!$H$1:$H$201,ROW()-12))</f>
        <v/>
      </c>
      <c r="P186" s="47">
        <f t="array" ref="P186">IF(INDEX(DATOS!$I$1:$I$201,ROW()-12)="","",INDEX(DATOS!$I$1:$I$201,ROW()-12))</f>
        <v/>
      </c>
      <c r="Q186" s="48">
        <f t="array" ref="Q186">IF(INDEX(DATOS!$J$1:$J$201,ROW()-12)="","",INDEX(DATOS!$J$1:$J$201,ROW()-12))</f>
        <v/>
      </c>
      <c r="R186" s="49">
        <f t="array" ref="R186">IF(INDEX(DATOS!$P$1:$P$201,ROW()-12)="","",INDEX(DATOS!$P$1:$P$201,ROW()-12))</f>
        <v/>
      </c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8" customHeight="1">
      <c r="A187" s="17" t="n"/>
      <c r="B187" s="42">
        <f t="array" ref="B187">IF(INDEX(DATOS!$A$1:$A$201,ROW()-12)="","",INDEX(DATOS!$A$1:$A$201,ROW()-12))</f>
        <v/>
      </c>
      <c r="C187" s="149">
        <f t="array" ref="C187">IF(INDEX(DATOS!$B$1:$B$201,ROW()-12)="","",INDEX(DATOS!$B$1:$B$201,ROW()-12))</f>
        <v/>
      </c>
      <c r="D187" s="150" t="n"/>
      <c r="E187" s="150" t="n"/>
      <c r="F187" s="150" t="n"/>
      <c r="G187" s="151" t="n"/>
      <c r="H187" s="43">
        <f t="array" ref="H187">IF(INDEX(DATOS!$C$1:$C$201,ROW()-12)="","",INDEX(DATOS!$C$1:$C$201,ROW()-12))</f>
        <v/>
      </c>
      <c r="I187" s="44">
        <f t="array" ref="I187">IF(INDEX(DATOS!$D$1:$D$201,ROW()-12)="","",INDEX(DATOS!$D$1:$D$201,ROW()-12))</f>
        <v/>
      </c>
      <c r="J187" s="45">
        <f t="array" ref="J187">IF(INDEX(DATOS!$M$1:$M$201,ROW()-12)="","",INDEX(DATOS!$M$1:$M$201,ROW()-12))</f>
        <v/>
      </c>
      <c r="K187" s="46">
        <f t="array" ref="K187">IF(INDEX(DATOS!$K$1:$K$201,ROW()-12)="","",INDEX(DATOS!$K$1:$K$201,ROW()-12))</f>
        <v/>
      </c>
      <c r="L187" s="47">
        <f t="array" ref="L187">IF(INDEX(DATOS!$E$1:$E$201,ROW()-12)="","",INDEX(DATOS!$E$1:$E$201,ROW()-12))</f>
        <v/>
      </c>
      <c r="M187" s="47">
        <f t="array" ref="M187">IF(INDEX(DATOS!$F$1:$F$201,ROW()-12)="","",INDEX(DATOS!$F$1:$F$201,ROW()-12))</f>
        <v/>
      </c>
      <c r="N187" s="47">
        <f t="array" ref="N187">IF(INDEX(DATOS!$G$1:$G$201,ROW()-12)="","",INDEX(DATOS!$G$1:$G$201,ROW()-12))</f>
        <v/>
      </c>
      <c r="O187" s="47">
        <f t="array" ref="O187">IF(INDEX(DATOS!$H$1:$H$201,ROW()-12)="","",INDEX(DATOS!$H$1:$H$201,ROW()-12))</f>
        <v/>
      </c>
      <c r="P187" s="47">
        <f t="array" ref="P187">IF(INDEX(DATOS!$I$1:$I$201,ROW()-12)="","",INDEX(DATOS!$I$1:$I$201,ROW()-12))</f>
        <v/>
      </c>
      <c r="Q187" s="48">
        <f t="array" ref="Q187">IF(INDEX(DATOS!$J$1:$J$201,ROW()-12)="","",INDEX(DATOS!$J$1:$J$201,ROW()-12))</f>
        <v/>
      </c>
      <c r="R187" s="49">
        <f t="array" ref="R187">IF(INDEX(DATOS!$P$1:$P$201,ROW()-12)="","",INDEX(DATOS!$P$1:$P$201,ROW()-12))</f>
        <v/>
      </c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8" customHeight="1">
      <c r="A188" s="17" t="n"/>
      <c r="B188" s="42">
        <f t="array" ref="B188">IF(INDEX(DATOS!$A$1:$A$201,ROW()-12)="","",INDEX(DATOS!$A$1:$A$201,ROW()-12))</f>
        <v/>
      </c>
      <c r="C188" s="149">
        <f t="array" ref="C188">IF(INDEX(DATOS!$B$1:$B$201,ROW()-12)="","",INDEX(DATOS!$B$1:$B$201,ROW()-12))</f>
        <v/>
      </c>
      <c r="D188" s="150" t="n"/>
      <c r="E188" s="150" t="n"/>
      <c r="F188" s="150" t="n"/>
      <c r="G188" s="151" t="n"/>
      <c r="H188" s="43">
        <f t="array" ref="H188">IF(INDEX(DATOS!$C$1:$C$201,ROW()-12)="","",INDEX(DATOS!$C$1:$C$201,ROW()-12))</f>
        <v/>
      </c>
      <c r="I188" s="44">
        <f t="array" ref="I188">IF(INDEX(DATOS!$D$1:$D$201,ROW()-12)="","",INDEX(DATOS!$D$1:$D$201,ROW()-12))</f>
        <v/>
      </c>
      <c r="J188" s="45">
        <f t="array" ref="J188">IF(INDEX(DATOS!$M$1:$M$201,ROW()-12)="","",INDEX(DATOS!$M$1:$M$201,ROW()-12))</f>
        <v/>
      </c>
      <c r="K188" s="46">
        <f t="array" ref="K188">IF(INDEX(DATOS!$K$1:$K$201,ROW()-12)="","",INDEX(DATOS!$K$1:$K$201,ROW()-12))</f>
        <v/>
      </c>
      <c r="L188" s="47">
        <f t="array" ref="L188">IF(INDEX(DATOS!$E$1:$E$201,ROW()-12)="","",INDEX(DATOS!$E$1:$E$201,ROW()-12))</f>
        <v/>
      </c>
      <c r="M188" s="47">
        <f t="array" ref="M188">IF(INDEX(DATOS!$F$1:$F$201,ROW()-12)="","",INDEX(DATOS!$F$1:$F$201,ROW()-12))</f>
        <v/>
      </c>
      <c r="N188" s="47">
        <f t="array" ref="N188">IF(INDEX(DATOS!$G$1:$G$201,ROW()-12)="","",INDEX(DATOS!$G$1:$G$201,ROW()-12))</f>
        <v/>
      </c>
      <c r="O188" s="47">
        <f t="array" ref="O188">IF(INDEX(DATOS!$H$1:$H$201,ROW()-12)="","",INDEX(DATOS!$H$1:$H$201,ROW()-12))</f>
        <v/>
      </c>
      <c r="P188" s="47">
        <f t="array" ref="P188">IF(INDEX(DATOS!$I$1:$I$201,ROW()-12)="","",INDEX(DATOS!$I$1:$I$201,ROW()-12))</f>
        <v/>
      </c>
      <c r="Q188" s="48">
        <f t="array" ref="Q188">IF(INDEX(DATOS!$J$1:$J$201,ROW()-12)="","",INDEX(DATOS!$J$1:$J$201,ROW()-12))</f>
        <v/>
      </c>
      <c r="R188" s="49">
        <f t="array" ref="R188">IF(INDEX(DATOS!$P$1:$P$201,ROW()-12)="","",INDEX(DATOS!$P$1:$P$201,ROW()-12))</f>
        <v/>
      </c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8" customHeight="1">
      <c r="A189" s="17" t="n"/>
      <c r="B189" s="42">
        <f t="array" ref="B189">IF(INDEX(DATOS!$A$1:$A$201,ROW()-12)="","",INDEX(DATOS!$A$1:$A$201,ROW()-12))</f>
        <v/>
      </c>
      <c r="C189" s="149">
        <f t="array" ref="C189">IF(INDEX(DATOS!$B$1:$B$201,ROW()-12)="","",INDEX(DATOS!$B$1:$B$201,ROW()-12))</f>
        <v/>
      </c>
      <c r="D189" s="150" t="n"/>
      <c r="E189" s="150" t="n"/>
      <c r="F189" s="150" t="n"/>
      <c r="G189" s="151" t="n"/>
      <c r="H189" s="43">
        <f t="array" ref="H189">IF(INDEX(DATOS!$C$1:$C$201,ROW()-12)="","",INDEX(DATOS!$C$1:$C$201,ROW()-12))</f>
        <v/>
      </c>
      <c r="I189" s="44">
        <f t="array" ref="I189">IF(INDEX(DATOS!$D$1:$D$201,ROW()-12)="","",INDEX(DATOS!$D$1:$D$201,ROW()-12))</f>
        <v/>
      </c>
      <c r="J189" s="45">
        <f t="array" ref="J189">IF(INDEX(DATOS!$M$1:$M$201,ROW()-12)="","",INDEX(DATOS!$M$1:$M$201,ROW()-12))</f>
        <v/>
      </c>
      <c r="K189" s="46">
        <f t="array" ref="K189">IF(INDEX(DATOS!$K$1:$K$201,ROW()-12)="","",INDEX(DATOS!$K$1:$K$201,ROW()-12))</f>
        <v/>
      </c>
      <c r="L189" s="47">
        <f t="array" ref="L189">IF(INDEX(DATOS!$E$1:$E$201,ROW()-12)="","",INDEX(DATOS!$E$1:$E$201,ROW()-12))</f>
        <v/>
      </c>
      <c r="M189" s="47">
        <f t="array" ref="M189">IF(INDEX(DATOS!$F$1:$F$201,ROW()-12)="","",INDEX(DATOS!$F$1:$F$201,ROW()-12))</f>
        <v/>
      </c>
      <c r="N189" s="47">
        <f t="array" ref="N189">IF(INDEX(DATOS!$G$1:$G$201,ROW()-12)="","",INDEX(DATOS!$G$1:$G$201,ROW()-12))</f>
        <v/>
      </c>
      <c r="O189" s="47">
        <f t="array" ref="O189">IF(INDEX(DATOS!$H$1:$H$201,ROW()-12)="","",INDEX(DATOS!$H$1:$H$201,ROW()-12))</f>
        <v/>
      </c>
      <c r="P189" s="47">
        <f t="array" ref="P189">IF(INDEX(DATOS!$I$1:$I$201,ROW()-12)="","",INDEX(DATOS!$I$1:$I$201,ROW()-12))</f>
        <v/>
      </c>
      <c r="Q189" s="48">
        <f t="array" ref="Q189">IF(INDEX(DATOS!$J$1:$J$201,ROW()-12)="","",INDEX(DATOS!$J$1:$J$201,ROW()-12))</f>
        <v/>
      </c>
      <c r="R189" s="49">
        <f t="array" ref="R189">IF(INDEX(DATOS!$P$1:$P$201,ROW()-12)="","",INDEX(DATOS!$P$1:$P$201,ROW()-12))</f>
        <v/>
      </c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8" customHeight="1">
      <c r="A190" s="17" t="n"/>
      <c r="B190" s="42">
        <f t="array" ref="B190">IF(INDEX(DATOS!$A$1:$A$201,ROW()-12)="","",INDEX(DATOS!$A$1:$A$201,ROW()-12))</f>
        <v/>
      </c>
      <c r="C190" s="149">
        <f t="array" ref="C190">IF(INDEX(DATOS!$B$1:$B$201,ROW()-12)="","",INDEX(DATOS!$B$1:$B$201,ROW()-12))</f>
        <v/>
      </c>
      <c r="D190" s="150" t="n"/>
      <c r="E190" s="150" t="n"/>
      <c r="F190" s="150" t="n"/>
      <c r="G190" s="151" t="n"/>
      <c r="H190" s="43">
        <f t="array" ref="H190">IF(INDEX(DATOS!$C$1:$C$201,ROW()-12)="","",INDEX(DATOS!$C$1:$C$201,ROW()-12))</f>
        <v/>
      </c>
      <c r="I190" s="44">
        <f t="array" ref="I190">IF(INDEX(DATOS!$D$1:$D$201,ROW()-12)="","",INDEX(DATOS!$D$1:$D$201,ROW()-12))</f>
        <v/>
      </c>
      <c r="J190" s="45">
        <f t="array" ref="J190">IF(INDEX(DATOS!$M$1:$M$201,ROW()-12)="","",INDEX(DATOS!$M$1:$M$201,ROW()-12))</f>
        <v/>
      </c>
      <c r="K190" s="46">
        <f t="array" ref="K190">IF(INDEX(DATOS!$K$1:$K$201,ROW()-12)="","",INDEX(DATOS!$K$1:$K$201,ROW()-12))</f>
        <v/>
      </c>
      <c r="L190" s="47">
        <f t="array" ref="L190">IF(INDEX(DATOS!$E$1:$E$201,ROW()-12)="","",INDEX(DATOS!$E$1:$E$201,ROW()-12))</f>
        <v/>
      </c>
      <c r="M190" s="47">
        <f t="array" ref="M190">IF(INDEX(DATOS!$F$1:$F$201,ROW()-12)="","",INDEX(DATOS!$F$1:$F$201,ROW()-12))</f>
        <v/>
      </c>
      <c r="N190" s="47">
        <f t="array" ref="N190">IF(INDEX(DATOS!$G$1:$G$201,ROW()-12)="","",INDEX(DATOS!$G$1:$G$201,ROW()-12))</f>
        <v/>
      </c>
      <c r="O190" s="47">
        <f t="array" ref="O190">IF(INDEX(DATOS!$H$1:$H$201,ROW()-12)="","",INDEX(DATOS!$H$1:$H$201,ROW()-12))</f>
        <v/>
      </c>
      <c r="P190" s="47">
        <f t="array" ref="P190">IF(INDEX(DATOS!$I$1:$I$201,ROW()-12)="","",INDEX(DATOS!$I$1:$I$201,ROW()-12))</f>
        <v/>
      </c>
      <c r="Q190" s="48">
        <f t="array" ref="Q190">IF(INDEX(DATOS!$J$1:$J$201,ROW()-12)="","",INDEX(DATOS!$J$1:$J$201,ROW()-12))</f>
        <v/>
      </c>
      <c r="R190" s="49">
        <f t="array" ref="R190">IF(INDEX(DATOS!$P$1:$P$201,ROW()-12)="","",INDEX(DATOS!$P$1:$P$201,ROW()-12))</f>
        <v/>
      </c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8" customHeight="1">
      <c r="A191" s="17" t="n"/>
      <c r="B191" s="42">
        <f t="array" ref="B191">IF(INDEX(DATOS!$A$1:$A$201,ROW()-12)="","",INDEX(DATOS!$A$1:$A$201,ROW()-12))</f>
        <v/>
      </c>
      <c r="C191" s="149">
        <f t="array" ref="C191">IF(INDEX(DATOS!$B$1:$B$201,ROW()-12)="","",INDEX(DATOS!$B$1:$B$201,ROW()-12))</f>
        <v/>
      </c>
      <c r="D191" s="150" t="n"/>
      <c r="E191" s="150" t="n"/>
      <c r="F191" s="150" t="n"/>
      <c r="G191" s="151" t="n"/>
      <c r="H191" s="43">
        <f t="array" ref="H191">IF(INDEX(DATOS!$C$1:$C$201,ROW()-12)="","",INDEX(DATOS!$C$1:$C$201,ROW()-12))</f>
        <v/>
      </c>
      <c r="I191" s="44">
        <f t="array" ref="I191">IF(INDEX(DATOS!$D$1:$D$201,ROW()-12)="","",INDEX(DATOS!$D$1:$D$201,ROW()-12))</f>
        <v/>
      </c>
      <c r="J191" s="45">
        <f t="array" ref="J191">IF(INDEX(DATOS!$M$1:$M$201,ROW()-12)="","",INDEX(DATOS!$M$1:$M$201,ROW()-12))</f>
        <v/>
      </c>
      <c r="K191" s="46">
        <f t="array" ref="K191">IF(INDEX(DATOS!$K$1:$K$201,ROW()-12)="","",INDEX(DATOS!$K$1:$K$201,ROW()-12))</f>
        <v/>
      </c>
      <c r="L191" s="47">
        <f t="array" ref="L191">IF(INDEX(DATOS!$E$1:$E$201,ROW()-12)="","",INDEX(DATOS!$E$1:$E$201,ROW()-12))</f>
        <v/>
      </c>
      <c r="M191" s="47">
        <f t="array" ref="M191">IF(INDEX(DATOS!$F$1:$F$201,ROW()-12)="","",INDEX(DATOS!$F$1:$F$201,ROW()-12))</f>
        <v/>
      </c>
      <c r="N191" s="47">
        <f t="array" ref="N191">IF(INDEX(DATOS!$G$1:$G$201,ROW()-12)="","",INDEX(DATOS!$G$1:$G$201,ROW()-12))</f>
        <v/>
      </c>
      <c r="O191" s="47">
        <f t="array" ref="O191">IF(INDEX(DATOS!$H$1:$H$201,ROW()-12)="","",INDEX(DATOS!$H$1:$H$201,ROW()-12))</f>
        <v/>
      </c>
      <c r="P191" s="47">
        <f t="array" ref="P191">IF(INDEX(DATOS!$I$1:$I$201,ROW()-12)="","",INDEX(DATOS!$I$1:$I$201,ROW()-12))</f>
        <v/>
      </c>
      <c r="Q191" s="48">
        <f t="array" ref="Q191">IF(INDEX(DATOS!$J$1:$J$201,ROW()-12)="","",INDEX(DATOS!$J$1:$J$201,ROW()-12))</f>
        <v/>
      </c>
      <c r="R191" s="49">
        <f t="array" ref="R191">IF(INDEX(DATOS!$P$1:$P$201,ROW()-12)="","",INDEX(DATOS!$P$1:$P$201,ROW()-12))</f>
        <v/>
      </c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8" customHeight="1">
      <c r="A192" s="17" t="n"/>
      <c r="B192" s="42">
        <f t="array" ref="B192">IF(INDEX(DATOS!$A$1:$A$201,ROW()-12)="","",INDEX(DATOS!$A$1:$A$201,ROW()-12))</f>
        <v/>
      </c>
      <c r="C192" s="149">
        <f t="array" ref="C192">IF(INDEX(DATOS!$B$1:$B$201,ROW()-12)="","",INDEX(DATOS!$B$1:$B$201,ROW()-12))</f>
        <v/>
      </c>
      <c r="D192" s="150" t="n"/>
      <c r="E192" s="150" t="n"/>
      <c r="F192" s="150" t="n"/>
      <c r="G192" s="151" t="n"/>
      <c r="H192" s="43">
        <f t="array" ref="H192">IF(INDEX(DATOS!$C$1:$C$201,ROW()-12)="","",INDEX(DATOS!$C$1:$C$201,ROW()-12))</f>
        <v/>
      </c>
      <c r="I192" s="44">
        <f t="array" ref="I192">IF(INDEX(DATOS!$D$1:$D$201,ROW()-12)="","",INDEX(DATOS!$D$1:$D$201,ROW()-12))</f>
        <v/>
      </c>
      <c r="J192" s="45">
        <f t="array" ref="J192">IF(INDEX(DATOS!$M$1:$M$201,ROW()-12)="","",INDEX(DATOS!$M$1:$M$201,ROW()-12))</f>
        <v/>
      </c>
      <c r="K192" s="46">
        <f t="array" ref="K192">IF(INDEX(DATOS!$K$1:$K$201,ROW()-12)="","",INDEX(DATOS!$K$1:$K$201,ROW()-12))</f>
        <v/>
      </c>
      <c r="L192" s="47">
        <f t="array" ref="L192">IF(INDEX(DATOS!$E$1:$E$201,ROW()-12)="","",INDEX(DATOS!$E$1:$E$201,ROW()-12))</f>
        <v/>
      </c>
      <c r="M192" s="47">
        <f t="array" ref="M192">IF(INDEX(DATOS!$F$1:$F$201,ROW()-12)="","",INDEX(DATOS!$F$1:$F$201,ROW()-12))</f>
        <v/>
      </c>
      <c r="N192" s="47">
        <f t="array" ref="N192">IF(INDEX(DATOS!$G$1:$G$201,ROW()-12)="","",INDEX(DATOS!$G$1:$G$201,ROW()-12))</f>
        <v/>
      </c>
      <c r="O192" s="47">
        <f t="array" ref="O192">IF(INDEX(DATOS!$H$1:$H$201,ROW()-12)="","",INDEX(DATOS!$H$1:$H$201,ROW()-12))</f>
        <v/>
      </c>
      <c r="P192" s="47">
        <f t="array" ref="P192">IF(INDEX(DATOS!$I$1:$I$201,ROW()-12)="","",INDEX(DATOS!$I$1:$I$201,ROW()-12))</f>
        <v/>
      </c>
      <c r="Q192" s="48">
        <f t="array" ref="Q192">IF(INDEX(DATOS!$J$1:$J$201,ROW()-12)="","",INDEX(DATOS!$J$1:$J$201,ROW()-12))</f>
        <v/>
      </c>
      <c r="R192" s="49">
        <f t="array" ref="R192">IF(INDEX(DATOS!$P$1:$P$201,ROW()-12)="","",INDEX(DATOS!$P$1:$P$201,ROW()-12))</f>
        <v/>
      </c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8" customHeight="1">
      <c r="A193" s="17" t="n"/>
      <c r="B193" s="42">
        <f t="array" ref="B193">IF(INDEX(DATOS!$A$1:$A$201,ROW()-12)="","",INDEX(DATOS!$A$1:$A$201,ROW()-12))</f>
        <v/>
      </c>
      <c r="C193" s="149">
        <f t="array" ref="C193">IF(INDEX(DATOS!$B$1:$B$201,ROW()-12)="","",INDEX(DATOS!$B$1:$B$201,ROW()-12))</f>
        <v/>
      </c>
      <c r="D193" s="150" t="n"/>
      <c r="E193" s="150" t="n"/>
      <c r="F193" s="150" t="n"/>
      <c r="G193" s="151" t="n"/>
      <c r="H193" s="43">
        <f t="array" ref="H193">IF(INDEX(DATOS!$C$1:$C$201,ROW()-12)="","",INDEX(DATOS!$C$1:$C$201,ROW()-12))</f>
        <v/>
      </c>
      <c r="I193" s="44">
        <f t="array" ref="I193">IF(INDEX(DATOS!$D$1:$D$201,ROW()-12)="","",INDEX(DATOS!$D$1:$D$201,ROW()-12))</f>
        <v/>
      </c>
      <c r="J193" s="45">
        <f t="array" ref="J193">IF(INDEX(DATOS!$M$1:$M$201,ROW()-12)="","",INDEX(DATOS!$M$1:$M$201,ROW()-12))</f>
        <v/>
      </c>
      <c r="K193" s="46">
        <f t="array" ref="K193">IF(INDEX(DATOS!$K$1:$K$201,ROW()-12)="","",INDEX(DATOS!$K$1:$K$201,ROW()-12))</f>
        <v/>
      </c>
      <c r="L193" s="47">
        <f t="array" ref="L193">IF(INDEX(DATOS!$E$1:$E$201,ROW()-12)="","",INDEX(DATOS!$E$1:$E$201,ROW()-12))</f>
        <v/>
      </c>
      <c r="M193" s="47">
        <f t="array" ref="M193">IF(INDEX(DATOS!$F$1:$F$201,ROW()-12)="","",INDEX(DATOS!$F$1:$F$201,ROW()-12))</f>
        <v/>
      </c>
      <c r="N193" s="47">
        <f t="array" ref="N193">IF(INDEX(DATOS!$G$1:$G$201,ROW()-12)="","",INDEX(DATOS!$G$1:$G$201,ROW()-12))</f>
        <v/>
      </c>
      <c r="O193" s="47">
        <f t="array" ref="O193">IF(INDEX(DATOS!$H$1:$H$201,ROW()-12)="","",INDEX(DATOS!$H$1:$H$201,ROW()-12))</f>
        <v/>
      </c>
      <c r="P193" s="47">
        <f t="array" ref="P193">IF(INDEX(DATOS!$I$1:$I$201,ROW()-12)="","",INDEX(DATOS!$I$1:$I$201,ROW()-12))</f>
        <v/>
      </c>
      <c r="Q193" s="48">
        <f t="array" ref="Q193">IF(INDEX(DATOS!$J$1:$J$201,ROW()-12)="","",INDEX(DATOS!$J$1:$J$201,ROW()-12))</f>
        <v/>
      </c>
      <c r="R193" s="49">
        <f t="array" ref="R193">IF(INDEX(DATOS!$P$1:$P$201,ROW()-12)="","",INDEX(DATOS!$P$1:$P$201,ROW()-12))</f>
        <v/>
      </c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8" customHeight="1">
      <c r="A194" s="17" t="n"/>
      <c r="B194" s="42">
        <f t="array" ref="B194">IF(INDEX(DATOS!$A$1:$A$201,ROW()-12)="","",INDEX(DATOS!$A$1:$A$201,ROW()-12))</f>
        <v/>
      </c>
      <c r="C194" s="149">
        <f t="array" ref="C194">IF(INDEX(DATOS!$B$1:$B$201,ROW()-12)="","",INDEX(DATOS!$B$1:$B$201,ROW()-12))</f>
        <v/>
      </c>
      <c r="D194" s="150" t="n"/>
      <c r="E194" s="150" t="n"/>
      <c r="F194" s="150" t="n"/>
      <c r="G194" s="151" t="n"/>
      <c r="H194" s="43">
        <f t="array" ref="H194">IF(INDEX(DATOS!$C$1:$C$201,ROW()-12)="","",INDEX(DATOS!$C$1:$C$201,ROW()-12))</f>
        <v/>
      </c>
      <c r="I194" s="44">
        <f t="array" ref="I194">IF(INDEX(DATOS!$D$1:$D$201,ROW()-12)="","",INDEX(DATOS!$D$1:$D$201,ROW()-12))</f>
        <v/>
      </c>
      <c r="J194" s="45">
        <f t="array" ref="J194">IF(INDEX(DATOS!$M$1:$M$201,ROW()-12)="","",INDEX(DATOS!$M$1:$M$201,ROW()-12))</f>
        <v/>
      </c>
      <c r="K194" s="46">
        <f t="array" ref="K194">IF(INDEX(DATOS!$K$1:$K$201,ROW()-12)="","",INDEX(DATOS!$K$1:$K$201,ROW()-12))</f>
        <v/>
      </c>
      <c r="L194" s="47">
        <f t="array" ref="L194">IF(INDEX(DATOS!$E$1:$E$201,ROW()-12)="","",INDEX(DATOS!$E$1:$E$201,ROW()-12))</f>
        <v/>
      </c>
      <c r="M194" s="47">
        <f t="array" ref="M194">IF(INDEX(DATOS!$F$1:$F$201,ROW()-12)="","",INDEX(DATOS!$F$1:$F$201,ROW()-12))</f>
        <v/>
      </c>
      <c r="N194" s="47">
        <f t="array" ref="N194">IF(INDEX(DATOS!$G$1:$G$201,ROW()-12)="","",INDEX(DATOS!$G$1:$G$201,ROW()-12))</f>
        <v/>
      </c>
      <c r="O194" s="47">
        <f t="array" ref="O194">IF(INDEX(DATOS!$H$1:$H$201,ROW()-12)="","",INDEX(DATOS!$H$1:$H$201,ROW()-12))</f>
        <v/>
      </c>
      <c r="P194" s="47">
        <f t="array" ref="P194">IF(INDEX(DATOS!$I$1:$I$201,ROW()-12)="","",INDEX(DATOS!$I$1:$I$201,ROW()-12))</f>
        <v/>
      </c>
      <c r="Q194" s="48">
        <f t="array" ref="Q194">IF(INDEX(DATOS!$J$1:$J$201,ROW()-12)="","",INDEX(DATOS!$J$1:$J$201,ROW()-12))</f>
        <v/>
      </c>
      <c r="R194" s="49">
        <f t="array" ref="R194">IF(INDEX(DATOS!$P$1:$P$201,ROW()-12)="","",INDEX(DATOS!$P$1:$P$201,ROW()-12))</f>
        <v/>
      </c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8" customHeight="1">
      <c r="A195" s="17" t="n"/>
      <c r="B195" s="42">
        <f t="array" ref="B195">IF(INDEX(DATOS!$A$1:$A$201,ROW()-12)="","",INDEX(DATOS!$A$1:$A$201,ROW()-12))</f>
        <v/>
      </c>
      <c r="C195" s="149">
        <f t="array" ref="C195">IF(INDEX(DATOS!$B$1:$B$201,ROW()-12)="","",INDEX(DATOS!$B$1:$B$201,ROW()-12))</f>
        <v/>
      </c>
      <c r="D195" s="150" t="n"/>
      <c r="E195" s="150" t="n"/>
      <c r="F195" s="150" t="n"/>
      <c r="G195" s="151" t="n"/>
      <c r="H195" s="43">
        <f t="array" ref="H195">IF(INDEX(DATOS!$C$1:$C$201,ROW()-12)="","",INDEX(DATOS!$C$1:$C$201,ROW()-12))</f>
        <v/>
      </c>
      <c r="I195" s="44">
        <f t="array" ref="I195">IF(INDEX(DATOS!$D$1:$D$201,ROW()-12)="","",INDEX(DATOS!$D$1:$D$201,ROW()-12))</f>
        <v/>
      </c>
      <c r="J195" s="45">
        <f t="array" ref="J195">IF(INDEX(DATOS!$M$1:$M$201,ROW()-12)="","",INDEX(DATOS!$M$1:$M$201,ROW()-12))</f>
        <v/>
      </c>
      <c r="K195" s="46">
        <f t="array" ref="K195">IF(INDEX(DATOS!$K$1:$K$201,ROW()-12)="","",INDEX(DATOS!$K$1:$K$201,ROW()-12))</f>
        <v/>
      </c>
      <c r="L195" s="47">
        <f t="array" ref="L195">IF(INDEX(DATOS!$E$1:$E$201,ROW()-12)="","",INDEX(DATOS!$E$1:$E$201,ROW()-12))</f>
        <v/>
      </c>
      <c r="M195" s="47">
        <f t="array" ref="M195">IF(INDEX(DATOS!$F$1:$F$201,ROW()-12)="","",INDEX(DATOS!$F$1:$F$201,ROW()-12))</f>
        <v/>
      </c>
      <c r="N195" s="47">
        <f t="array" ref="N195">IF(INDEX(DATOS!$G$1:$G$201,ROW()-12)="","",INDEX(DATOS!$G$1:$G$201,ROW()-12))</f>
        <v/>
      </c>
      <c r="O195" s="47">
        <f t="array" ref="O195">IF(INDEX(DATOS!$H$1:$H$201,ROW()-12)="","",INDEX(DATOS!$H$1:$H$201,ROW()-12))</f>
        <v/>
      </c>
      <c r="P195" s="47">
        <f t="array" ref="P195">IF(INDEX(DATOS!$I$1:$I$201,ROW()-12)="","",INDEX(DATOS!$I$1:$I$201,ROW()-12))</f>
        <v/>
      </c>
      <c r="Q195" s="48">
        <f t="array" ref="Q195">IF(INDEX(DATOS!$J$1:$J$201,ROW()-12)="","",INDEX(DATOS!$J$1:$J$201,ROW()-12))</f>
        <v/>
      </c>
      <c r="R195" s="49">
        <f t="array" ref="R195">IF(INDEX(DATOS!$P$1:$P$201,ROW()-12)="","",INDEX(DATOS!$P$1:$P$201,ROW()-12))</f>
        <v/>
      </c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8" customHeight="1">
      <c r="A196" s="17" t="n"/>
      <c r="B196" s="42">
        <f t="array" ref="B196">IF(INDEX(DATOS!$A$1:$A$201,ROW()-12)="","",INDEX(DATOS!$A$1:$A$201,ROW()-12))</f>
        <v/>
      </c>
      <c r="C196" s="149">
        <f t="array" ref="C196">IF(INDEX(DATOS!$B$1:$B$201,ROW()-12)="","",INDEX(DATOS!$B$1:$B$201,ROW()-12))</f>
        <v/>
      </c>
      <c r="D196" s="150" t="n"/>
      <c r="E196" s="150" t="n"/>
      <c r="F196" s="150" t="n"/>
      <c r="G196" s="151" t="n"/>
      <c r="H196" s="43">
        <f t="array" ref="H196">IF(INDEX(DATOS!$C$1:$C$201,ROW()-12)="","",INDEX(DATOS!$C$1:$C$201,ROW()-12))</f>
        <v/>
      </c>
      <c r="I196" s="44">
        <f t="array" ref="I196">IF(INDEX(DATOS!$D$1:$D$201,ROW()-12)="","",INDEX(DATOS!$D$1:$D$201,ROW()-12))</f>
        <v/>
      </c>
      <c r="J196" s="45">
        <f t="array" ref="J196">IF(INDEX(DATOS!$M$1:$M$201,ROW()-12)="","",INDEX(DATOS!$M$1:$M$201,ROW()-12))</f>
        <v/>
      </c>
      <c r="K196" s="46">
        <f t="array" ref="K196">IF(INDEX(DATOS!$K$1:$K$201,ROW()-12)="","",INDEX(DATOS!$K$1:$K$201,ROW()-12))</f>
        <v/>
      </c>
      <c r="L196" s="47">
        <f t="array" ref="L196">IF(INDEX(DATOS!$E$1:$E$201,ROW()-12)="","",INDEX(DATOS!$E$1:$E$201,ROW()-12))</f>
        <v/>
      </c>
      <c r="M196" s="47">
        <f t="array" ref="M196">IF(INDEX(DATOS!$F$1:$F$201,ROW()-12)="","",INDEX(DATOS!$F$1:$F$201,ROW()-12))</f>
        <v/>
      </c>
      <c r="N196" s="47">
        <f t="array" ref="N196">IF(INDEX(DATOS!$G$1:$G$201,ROW()-12)="","",INDEX(DATOS!$G$1:$G$201,ROW()-12))</f>
        <v/>
      </c>
      <c r="O196" s="47">
        <f t="array" ref="O196">IF(INDEX(DATOS!$H$1:$H$201,ROW()-12)="","",INDEX(DATOS!$H$1:$H$201,ROW()-12))</f>
        <v/>
      </c>
      <c r="P196" s="47">
        <f t="array" ref="P196">IF(INDEX(DATOS!$I$1:$I$201,ROW()-12)="","",INDEX(DATOS!$I$1:$I$201,ROW()-12))</f>
        <v/>
      </c>
      <c r="Q196" s="48">
        <f t="array" ref="Q196">IF(INDEX(DATOS!$J$1:$J$201,ROW()-12)="","",INDEX(DATOS!$J$1:$J$201,ROW()-12))</f>
        <v/>
      </c>
      <c r="R196" s="49">
        <f t="array" ref="R196">IF(INDEX(DATOS!$P$1:$P$201,ROW()-12)="","",INDEX(DATOS!$P$1:$P$201,ROW()-12))</f>
        <v/>
      </c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8" customHeight="1">
      <c r="A197" s="17" t="n"/>
      <c r="B197" s="42">
        <f t="array" ref="B197">IF(INDEX(DATOS!$A$1:$A$201,ROW()-12)="","",INDEX(DATOS!$A$1:$A$201,ROW()-12))</f>
        <v/>
      </c>
      <c r="C197" s="149">
        <f t="array" ref="C197">IF(INDEX(DATOS!$B$1:$B$201,ROW()-12)="","",INDEX(DATOS!$B$1:$B$201,ROW()-12))</f>
        <v/>
      </c>
      <c r="D197" s="150" t="n"/>
      <c r="E197" s="150" t="n"/>
      <c r="F197" s="150" t="n"/>
      <c r="G197" s="151" t="n"/>
      <c r="H197" s="43">
        <f t="array" ref="H197">IF(INDEX(DATOS!$C$1:$C$201,ROW()-12)="","",INDEX(DATOS!$C$1:$C$201,ROW()-12))</f>
        <v/>
      </c>
      <c r="I197" s="44">
        <f t="array" ref="I197">IF(INDEX(DATOS!$D$1:$D$201,ROW()-12)="","",INDEX(DATOS!$D$1:$D$201,ROW()-12))</f>
        <v/>
      </c>
      <c r="J197" s="45">
        <f t="array" ref="J197">IF(INDEX(DATOS!$M$1:$M$201,ROW()-12)="","",INDEX(DATOS!$M$1:$M$201,ROW()-12))</f>
        <v/>
      </c>
      <c r="K197" s="46">
        <f t="array" ref="K197">IF(INDEX(DATOS!$K$1:$K$201,ROW()-12)="","",INDEX(DATOS!$K$1:$K$201,ROW()-12))</f>
        <v/>
      </c>
      <c r="L197" s="47">
        <f t="array" ref="L197">IF(INDEX(DATOS!$E$1:$E$201,ROW()-12)="","",INDEX(DATOS!$E$1:$E$201,ROW()-12))</f>
        <v/>
      </c>
      <c r="M197" s="47">
        <f t="array" ref="M197">IF(INDEX(DATOS!$F$1:$F$201,ROW()-12)="","",INDEX(DATOS!$F$1:$F$201,ROW()-12))</f>
        <v/>
      </c>
      <c r="N197" s="47">
        <f t="array" ref="N197">IF(INDEX(DATOS!$G$1:$G$201,ROW()-12)="","",INDEX(DATOS!$G$1:$G$201,ROW()-12))</f>
        <v/>
      </c>
      <c r="O197" s="47">
        <f t="array" ref="O197">IF(INDEX(DATOS!$H$1:$H$201,ROW()-12)="","",INDEX(DATOS!$H$1:$H$201,ROW()-12))</f>
        <v/>
      </c>
      <c r="P197" s="47">
        <f t="array" ref="P197">IF(INDEX(DATOS!$I$1:$I$201,ROW()-12)="","",INDEX(DATOS!$I$1:$I$201,ROW()-12))</f>
        <v/>
      </c>
      <c r="Q197" s="48">
        <f t="array" ref="Q197">IF(INDEX(DATOS!$J$1:$J$201,ROW()-12)="","",INDEX(DATOS!$J$1:$J$201,ROW()-12))</f>
        <v/>
      </c>
      <c r="R197" s="49">
        <f t="array" ref="R197">IF(INDEX(DATOS!$P$1:$P$201,ROW()-12)="","",INDEX(DATOS!$P$1:$P$201,ROW()-12))</f>
        <v/>
      </c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8" customHeight="1">
      <c r="A198" s="17" t="n"/>
      <c r="B198" s="42">
        <f t="array" ref="B198">IF(INDEX(DATOS!$A$1:$A$201,ROW()-12)="","",INDEX(DATOS!$A$1:$A$201,ROW()-12))</f>
        <v/>
      </c>
      <c r="C198" s="149">
        <f t="array" ref="C198">IF(INDEX(DATOS!$B$1:$B$201,ROW()-12)="","",INDEX(DATOS!$B$1:$B$201,ROW()-12))</f>
        <v/>
      </c>
      <c r="D198" s="150" t="n"/>
      <c r="E198" s="150" t="n"/>
      <c r="F198" s="150" t="n"/>
      <c r="G198" s="151" t="n"/>
      <c r="H198" s="43">
        <f t="array" ref="H198">IF(INDEX(DATOS!$C$1:$C$201,ROW()-12)="","",INDEX(DATOS!$C$1:$C$201,ROW()-12))</f>
        <v/>
      </c>
      <c r="I198" s="44">
        <f t="array" ref="I198">IF(INDEX(DATOS!$D$1:$D$201,ROW()-12)="","",INDEX(DATOS!$D$1:$D$201,ROW()-12))</f>
        <v/>
      </c>
      <c r="J198" s="45">
        <f t="array" ref="J198">IF(INDEX(DATOS!$M$1:$M$201,ROW()-12)="","",INDEX(DATOS!$M$1:$M$201,ROW()-12))</f>
        <v/>
      </c>
      <c r="K198" s="46">
        <f t="array" ref="K198">IF(INDEX(DATOS!$K$1:$K$201,ROW()-12)="","",INDEX(DATOS!$K$1:$K$201,ROW()-12))</f>
        <v/>
      </c>
      <c r="L198" s="47">
        <f t="array" ref="L198">IF(INDEX(DATOS!$E$1:$E$201,ROW()-12)="","",INDEX(DATOS!$E$1:$E$201,ROW()-12))</f>
        <v/>
      </c>
      <c r="M198" s="47">
        <f t="array" ref="M198">IF(INDEX(DATOS!$F$1:$F$201,ROW()-12)="","",INDEX(DATOS!$F$1:$F$201,ROW()-12))</f>
        <v/>
      </c>
      <c r="N198" s="47">
        <f t="array" ref="N198">IF(INDEX(DATOS!$G$1:$G$201,ROW()-12)="","",INDEX(DATOS!$G$1:$G$201,ROW()-12))</f>
        <v/>
      </c>
      <c r="O198" s="47">
        <f t="array" ref="O198">IF(INDEX(DATOS!$H$1:$H$201,ROW()-12)="","",INDEX(DATOS!$H$1:$H$201,ROW()-12))</f>
        <v/>
      </c>
      <c r="P198" s="47">
        <f t="array" ref="P198">IF(INDEX(DATOS!$I$1:$I$201,ROW()-12)="","",INDEX(DATOS!$I$1:$I$201,ROW()-12))</f>
        <v/>
      </c>
      <c r="Q198" s="48">
        <f t="array" ref="Q198">IF(INDEX(DATOS!$J$1:$J$201,ROW()-12)="","",INDEX(DATOS!$J$1:$J$201,ROW()-12))</f>
        <v/>
      </c>
      <c r="R198" s="49">
        <f t="array" ref="R198">IF(INDEX(DATOS!$P$1:$P$201,ROW()-12)="","",INDEX(DATOS!$P$1:$P$201,ROW()-12))</f>
        <v/>
      </c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8" customHeight="1">
      <c r="A199" s="17" t="n"/>
      <c r="B199" s="42">
        <f t="array" ref="B199">IF(INDEX(DATOS!$A$1:$A$201,ROW()-12)="","",INDEX(DATOS!$A$1:$A$201,ROW()-12))</f>
        <v/>
      </c>
      <c r="C199" s="149">
        <f t="array" ref="C199">IF(INDEX(DATOS!$B$1:$B$201,ROW()-12)="","",INDEX(DATOS!$B$1:$B$201,ROW()-12))</f>
        <v/>
      </c>
      <c r="D199" s="150" t="n"/>
      <c r="E199" s="150" t="n"/>
      <c r="F199" s="150" t="n"/>
      <c r="G199" s="151" t="n"/>
      <c r="H199" s="43">
        <f t="array" ref="H199">IF(INDEX(DATOS!$C$1:$C$201,ROW()-12)="","",INDEX(DATOS!$C$1:$C$201,ROW()-12))</f>
        <v/>
      </c>
      <c r="I199" s="44">
        <f t="array" ref="I199">IF(INDEX(DATOS!$D$1:$D$201,ROW()-12)="","",INDEX(DATOS!$D$1:$D$201,ROW()-12))</f>
        <v/>
      </c>
      <c r="J199" s="45">
        <f t="array" ref="J199">IF(INDEX(DATOS!$M$1:$M$201,ROW()-12)="","",INDEX(DATOS!$M$1:$M$201,ROW()-12))</f>
        <v/>
      </c>
      <c r="K199" s="46">
        <f t="array" ref="K199">IF(INDEX(DATOS!$K$1:$K$201,ROW()-12)="","",INDEX(DATOS!$K$1:$K$201,ROW()-12))</f>
        <v/>
      </c>
      <c r="L199" s="47">
        <f t="array" ref="L199">IF(INDEX(DATOS!$E$1:$E$201,ROW()-12)="","",INDEX(DATOS!$E$1:$E$201,ROW()-12))</f>
        <v/>
      </c>
      <c r="M199" s="47">
        <f t="array" ref="M199">IF(INDEX(DATOS!$F$1:$F$201,ROW()-12)="","",INDEX(DATOS!$F$1:$F$201,ROW()-12))</f>
        <v/>
      </c>
      <c r="N199" s="47">
        <f t="array" ref="N199">IF(INDEX(DATOS!$G$1:$G$201,ROW()-12)="","",INDEX(DATOS!$G$1:$G$201,ROW()-12))</f>
        <v/>
      </c>
      <c r="O199" s="47">
        <f t="array" ref="O199">IF(INDEX(DATOS!$H$1:$H$201,ROW()-12)="","",INDEX(DATOS!$H$1:$H$201,ROW()-12))</f>
        <v/>
      </c>
      <c r="P199" s="47">
        <f t="array" ref="P199">IF(INDEX(DATOS!$I$1:$I$201,ROW()-12)="","",INDEX(DATOS!$I$1:$I$201,ROW()-12))</f>
        <v/>
      </c>
      <c r="Q199" s="48">
        <f t="array" ref="Q199">IF(INDEX(DATOS!$J$1:$J$201,ROW()-12)="","",INDEX(DATOS!$J$1:$J$201,ROW()-12))</f>
        <v/>
      </c>
      <c r="R199" s="49">
        <f t="array" ref="R199">IF(INDEX(DATOS!$P$1:$P$201,ROW()-12)="","",INDEX(DATOS!$P$1:$P$201,ROW()-12))</f>
        <v/>
      </c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8" customHeight="1">
      <c r="A200" s="17" t="n"/>
      <c r="B200" s="42">
        <f t="array" ref="B200">IF(INDEX(DATOS!$A$1:$A$201,ROW()-12)="","",INDEX(DATOS!$A$1:$A$201,ROW()-12))</f>
        <v/>
      </c>
      <c r="C200" s="149">
        <f t="array" ref="C200">IF(INDEX(DATOS!$B$1:$B$201,ROW()-12)="","",INDEX(DATOS!$B$1:$B$201,ROW()-12))</f>
        <v/>
      </c>
      <c r="D200" s="150" t="n"/>
      <c r="E200" s="150" t="n"/>
      <c r="F200" s="150" t="n"/>
      <c r="G200" s="151" t="n"/>
      <c r="H200" s="43">
        <f t="array" ref="H200">IF(INDEX(DATOS!$C$1:$C$201,ROW()-12)="","",INDEX(DATOS!$C$1:$C$201,ROW()-12))</f>
        <v/>
      </c>
      <c r="I200" s="44">
        <f t="array" ref="I200">IF(INDEX(DATOS!$D$1:$D$201,ROW()-12)="","",INDEX(DATOS!$D$1:$D$201,ROW()-12))</f>
        <v/>
      </c>
      <c r="J200" s="45">
        <f t="array" ref="J200">IF(INDEX(DATOS!$M$1:$M$201,ROW()-12)="","",INDEX(DATOS!$M$1:$M$201,ROW()-12))</f>
        <v/>
      </c>
      <c r="K200" s="46">
        <f t="array" ref="K200">IF(INDEX(DATOS!$K$1:$K$201,ROW()-12)="","",INDEX(DATOS!$K$1:$K$201,ROW()-12))</f>
        <v/>
      </c>
      <c r="L200" s="47">
        <f t="array" ref="L200">IF(INDEX(DATOS!$E$1:$E$201,ROW()-12)="","",INDEX(DATOS!$E$1:$E$201,ROW()-12))</f>
        <v/>
      </c>
      <c r="M200" s="47">
        <f t="array" ref="M200">IF(INDEX(DATOS!$F$1:$F$201,ROW()-12)="","",INDEX(DATOS!$F$1:$F$201,ROW()-12))</f>
        <v/>
      </c>
      <c r="N200" s="47">
        <f t="array" ref="N200">IF(INDEX(DATOS!$G$1:$G$201,ROW()-12)="","",INDEX(DATOS!$G$1:$G$201,ROW()-12))</f>
        <v/>
      </c>
      <c r="O200" s="47">
        <f t="array" ref="O200">IF(INDEX(DATOS!$H$1:$H$201,ROW()-12)="","",INDEX(DATOS!$H$1:$H$201,ROW()-12))</f>
        <v/>
      </c>
      <c r="P200" s="47">
        <f t="array" ref="P200">IF(INDEX(DATOS!$I$1:$I$201,ROW()-12)="","",INDEX(DATOS!$I$1:$I$201,ROW()-12))</f>
        <v/>
      </c>
      <c r="Q200" s="48">
        <f t="array" ref="Q200">IF(INDEX(DATOS!$J$1:$J$201,ROW()-12)="","",INDEX(DATOS!$J$1:$J$201,ROW()-12))</f>
        <v/>
      </c>
      <c r="R200" s="49">
        <f t="array" ref="R200">IF(INDEX(DATOS!$P$1:$P$201,ROW()-12)="","",INDEX(DATOS!$P$1:$P$201,ROW()-12))</f>
        <v/>
      </c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8" customHeight="1">
      <c r="A201" s="17" t="n"/>
      <c r="B201" s="42">
        <f t="array" ref="B201">IF(INDEX(DATOS!$A$1:$A$201,ROW()-12)="","",INDEX(DATOS!$A$1:$A$201,ROW()-12))</f>
        <v/>
      </c>
      <c r="C201" s="149">
        <f t="array" ref="C201">IF(INDEX(DATOS!$B$1:$B$201,ROW()-12)="","",INDEX(DATOS!$B$1:$B$201,ROW()-12))</f>
        <v/>
      </c>
      <c r="D201" s="150" t="n"/>
      <c r="E201" s="150" t="n"/>
      <c r="F201" s="150" t="n"/>
      <c r="G201" s="151" t="n"/>
      <c r="H201" s="43">
        <f t="array" ref="H201">IF(INDEX(DATOS!$C$1:$C$201,ROW()-12)="","",INDEX(DATOS!$C$1:$C$201,ROW()-12))</f>
        <v/>
      </c>
      <c r="I201" s="44">
        <f t="array" ref="I201">IF(INDEX(DATOS!$D$1:$D$201,ROW()-12)="","",INDEX(DATOS!$D$1:$D$201,ROW()-12))</f>
        <v/>
      </c>
      <c r="J201" s="45">
        <f t="array" ref="J201">IF(INDEX(DATOS!$M$1:$M$201,ROW()-12)="","",INDEX(DATOS!$M$1:$M$201,ROW()-12))</f>
        <v/>
      </c>
      <c r="K201" s="46">
        <f t="array" ref="K201">IF(INDEX(DATOS!$K$1:$K$201,ROW()-12)="","",INDEX(DATOS!$K$1:$K$201,ROW()-12))</f>
        <v/>
      </c>
      <c r="L201" s="47">
        <f t="array" ref="L201">IF(INDEX(DATOS!$E$1:$E$201,ROW()-12)="","",INDEX(DATOS!$E$1:$E$201,ROW()-12))</f>
        <v/>
      </c>
      <c r="M201" s="47">
        <f t="array" ref="M201">IF(INDEX(DATOS!$F$1:$F$201,ROW()-12)="","",INDEX(DATOS!$F$1:$F$201,ROW()-12))</f>
        <v/>
      </c>
      <c r="N201" s="47">
        <f t="array" ref="N201">IF(INDEX(DATOS!$G$1:$G$201,ROW()-12)="","",INDEX(DATOS!$G$1:$G$201,ROW()-12))</f>
        <v/>
      </c>
      <c r="O201" s="47">
        <f t="array" ref="O201">IF(INDEX(DATOS!$H$1:$H$201,ROW()-12)="","",INDEX(DATOS!$H$1:$H$201,ROW()-12))</f>
        <v/>
      </c>
      <c r="P201" s="47">
        <f t="array" ref="P201">IF(INDEX(DATOS!$I$1:$I$201,ROW()-12)="","",INDEX(DATOS!$I$1:$I$201,ROW()-12))</f>
        <v/>
      </c>
      <c r="Q201" s="48">
        <f t="array" ref="Q201">IF(INDEX(DATOS!$J$1:$J$201,ROW()-12)="","",INDEX(DATOS!$J$1:$J$201,ROW()-12))</f>
        <v/>
      </c>
      <c r="R201" s="49">
        <f t="array" ref="R201">IF(INDEX(DATOS!$P$1:$P$201,ROW()-12)="","",INDEX(DATOS!$P$1:$P$201,ROW()-12))</f>
        <v/>
      </c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8" customHeight="1">
      <c r="A202" s="17" t="n"/>
      <c r="B202" s="42">
        <f t="array" ref="B202">IF(INDEX(DATOS!$A$1:$A$201,ROW()-12)="","",INDEX(DATOS!$A$1:$A$201,ROW()-12))</f>
        <v/>
      </c>
      <c r="C202" s="149">
        <f t="array" ref="C202">IF(INDEX(DATOS!$B$1:$B$201,ROW()-12)="","",INDEX(DATOS!$B$1:$B$201,ROW()-12))</f>
        <v/>
      </c>
      <c r="D202" s="150" t="n"/>
      <c r="E202" s="150" t="n"/>
      <c r="F202" s="150" t="n"/>
      <c r="G202" s="151" t="n"/>
      <c r="H202" s="43">
        <f t="array" ref="H202">IF(INDEX(DATOS!$C$1:$C$201,ROW()-12)="","",INDEX(DATOS!$C$1:$C$201,ROW()-12))</f>
        <v/>
      </c>
      <c r="I202" s="44">
        <f t="array" ref="I202">IF(INDEX(DATOS!$D$1:$D$201,ROW()-12)="","",INDEX(DATOS!$D$1:$D$201,ROW()-12))</f>
        <v/>
      </c>
      <c r="J202" s="45">
        <f t="array" ref="J202">IF(INDEX(DATOS!$M$1:$M$201,ROW()-12)="","",INDEX(DATOS!$M$1:$M$201,ROW()-12))</f>
        <v/>
      </c>
      <c r="K202" s="46">
        <f t="array" ref="K202">IF(INDEX(DATOS!$K$1:$K$201,ROW()-12)="","",INDEX(DATOS!$K$1:$K$201,ROW()-12))</f>
        <v/>
      </c>
      <c r="L202" s="47">
        <f t="array" ref="L202">IF(INDEX(DATOS!$E$1:$E$201,ROW()-12)="","",INDEX(DATOS!$E$1:$E$201,ROW()-12))</f>
        <v/>
      </c>
      <c r="M202" s="47">
        <f t="array" ref="M202">IF(INDEX(DATOS!$F$1:$F$201,ROW()-12)="","",INDEX(DATOS!$F$1:$F$201,ROW()-12))</f>
        <v/>
      </c>
      <c r="N202" s="47">
        <f t="array" ref="N202">IF(INDEX(DATOS!$G$1:$G$201,ROW()-12)="","",INDEX(DATOS!$G$1:$G$201,ROW()-12))</f>
        <v/>
      </c>
      <c r="O202" s="47">
        <f t="array" ref="O202">IF(INDEX(DATOS!$H$1:$H$201,ROW()-12)="","",INDEX(DATOS!$H$1:$H$201,ROW()-12))</f>
        <v/>
      </c>
      <c r="P202" s="47">
        <f t="array" ref="P202">IF(INDEX(DATOS!$I$1:$I$201,ROW()-12)="","",INDEX(DATOS!$I$1:$I$201,ROW()-12))</f>
        <v/>
      </c>
      <c r="Q202" s="48">
        <f t="array" ref="Q202">IF(INDEX(DATOS!$J$1:$J$201,ROW()-12)="","",INDEX(DATOS!$J$1:$J$201,ROW()-12))</f>
        <v/>
      </c>
      <c r="R202" s="49">
        <f t="array" ref="R202">IF(INDEX(DATOS!$P$1:$P$201,ROW()-12)="","",INDEX(DATOS!$P$1:$P$201,ROW()-12))</f>
        <v/>
      </c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8" customHeight="1">
      <c r="A203" s="17" t="n"/>
      <c r="B203" s="42">
        <f t="array" ref="B203">IF(INDEX(DATOS!$A$1:$A$201,ROW()-12)="","",INDEX(DATOS!$A$1:$A$201,ROW()-12))</f>
        <v/>
      </c>
      <c r="C203" s="149">
        <f t="array" ref="C203">IF(INDEX(DATOS!$B$1:$B$201,ROW()-12)="","",INDEX(DATOS!$B$1:$B$201,ROW()-12))</f>
        <v/>
      </c>
      <c r="D203" s="150" t="n"/>
      <c r="E203" s="150" t="n"/>
      <c r="F203" s="150" t="n"/>
      <c r="G203" s="151" t="n"/>
      <c r="H203" s="43">
        <f t="array" ref="H203">IF(INDEX(DATOS!$C$1:$C$201,ROW()-12)="","",INDEX(DATOS!$C$1:$C$201,ROW()-12))</f>
        <v/>
      </c>
      <c r="I203" s="44">
        <f t="array" ref="I203">IF(INDEX(DATOS!$D$1:$D$201,ROW()-12)="","",INDEX(DATOS!$D$1:$D$201,ROW()-12))</f>
        <v/>
      </c>
      <c r="J203" s="45">
        <f t="array" ref="J203">IF(INDEX(DATOS!$M$1:$M$201,ROW()-12)="","",INDEX(DATOS!$M$1:$M$201,ROW()-12))</f>
        <v/>
      </c>
      <c r="K203" s="46">
        <f t="array" ref="K203">IF(INDEX(DATOS!$K$1:$K$201,ROW()-12)="","",INDEX(DATOS!$K$1:$K$201,ROW()-12))</f>
        <v/>
      </c>
      <c r="L203" s="47">
        <f t="array" ref="L203">IF(INDEX(DATOS!$E$1:$E$201,ROW()-12)="","",INDEX(DATOS!$E$1:$E$201,ROW()-12))</f>
        <v/>
      </c>
      <c r="M203" s="47">
        <f t="array" ref="M203">IF(INDEX(DATOS!$F$1:$F$201,ROW()-12)="","",INDEX(DATOS!$F$1:$F$201,ROW()-12))</f>
        <v/>
      </c>
      <c r="N203" s="47">
        <f t="array" ref="N203">IF(INDEX(DATOS!$G$1:$G$201,ROW()-12)="","",INDEX(DATOS!$G$1:$G$201,ROW()-12))</f>
        <v/>
      </c>
      <c r="O203" s="47">
        <f t="array" ref="O203">IF(INDEX(DATOS!$H$1:$H$201,ROW()-12)="","",INDEX(DATOS!$H$1:$H$201,ROW()-12))</f>
        <v/>
      </c>
      <c r="P203" s="47">
        <f t="array" ref="P203">IF(INDEX(DATOS!$I$1:$I$201,ROW()-12)="","",INDEX(DATOS!$I$1:$I$201,ROW()-12))</f>
        <v/>
      </c>
      <c r="Q203" s="48">
        <f t="array" ref="Q203">IF(INDEX(DATOS!$J$1:$J$201,ROW()-12)="","",INDEX(DATOS!$J$1:$J$201,ROW()-12))</f>
        <v/>
      </c>
      <c r="R203" s="49">
        <f t="array" ref="R203">IF(INDEX(DATOS!$P$1:$P$201,ROW()-12)="","",INDEX(DATOS!$P$1:$P$201,ROW()-12))</f>
        <v/>
      </c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8" customHeight="1">
      <c r="A204" s="17" t="n"/>
      <c r="B204" s="42">
        <f t="array" ref="B204">IF(INDEX(DATOS!$A$1:$A$201,ROW()-12)="","",INDEX(DATOS!$A$1:$A$201,ROW()-12))</f>
        <v/>
      </c>
      <c r="C204" s="149">
        <f t="array" ref="C204">IF(INDEX(DATOS!$B$1:$B$201,ROW()-12)="","",INDEX(DATOS!$B$1:$B$201,ROW()-12))</f>
        <v/>
      </c>
      <c r="D204" s="150" t="n"/>
      <c r="E204" s="150" t="n"/>
      <c r="F204" s="150" t="n"/>
      <c r="G204" s="151" t="n"/>
      <c r="H204" s="43">
        <f t="array" ref="H204">IF(INDEX(DATOS!$C$1:$C$201,ROW()-12)="","",INDEX(DATOS!$C$1:$C$201,ROW()-12))</f>
        <v/>
      </c>
      <c r="I204" s="44">
        <f t="array" ref="I204">IF(INDEX(DATOS!$D$1:$D$201,ROW()-12)="","",INDEX(DATOS!$D$1:$D$201,ROW()-12))</f>
        <v/>
      </c>
      <c r="J204" s="45">
        <f t="array" ref="J204">IF(INDEX(DATOS!$M$1:$M$201,ROW()-12)="","",INDEX(DATOS!$M$1:$M$201,ROW()-12))</f>
        <v/>
      </c>
      <c r="K204" s="46">
        <f t="array" ref="K204">IF(INDEX(DATOS!$K$1:$K$201,ROW()-12)="","",INDEX(DATOS!$K$1:$K$201,ROW()-12))</f>
        <v/>
      </c>
      <c r="L204" s="47">
        <f t="array" ref="L204">IF(INDEX(DATOS!$E$1:$E$201,ROW()-12)="","",INDEX(DATOS!$E$1:$E$201,ROW()-12))</f>
        <v/>
      </c>
      <c r="M204" s="47">
        <f t="array" ref="M204">IF(INDEX(DATOS!$F$1:$F$201,ROW()-12)="","",INDEX(DATOS!$F$1:$F$201,ROW()-12))</f>
        <v/>
      </c>
      <c r="N204" s="47">
        <f t="array" ref="N204">IF(INDEX(DATOS!$G$1:$G$201,ROW()-12)="","",INDEX(DATOS!$G$1:$G$201,ROW()-12))</f>
        <v/>
      </c>
      <c r="O204" s="47">
        <f t="array" ref="O204">IF(INDEX(DATOS!$H$1:$H$201,ROW()-12)="","",INDEX(DATOS!$H$1:$H$201,ROW()-12))</f>
        <v/>
      </c>
      <c r="P204" s="47">
        <f t="array" ref="P204">IF(INDEX(DATOS!$I$1:$I$201,ROW()-12)="","",INDEX(DATOS!$I$1:$I$201,ROW()-12))</f>
        <v/>
      </c>
      <c r="Q204" s="48">
        <f t="array" ref="Q204">IF(INDEX(DATOS!$J$1:$J$201,ROW()-12)="","",INDEX(DATOS!$J$1:$J$201,ROW()-12))</f>
        <v/>
      </c>
      <c r="R204" s="49">
        <f t="array" ref="R204">IF(INDEX(DATOS!$P$1:$P$201,ROW()-12)="","",INDEX(DATOS!$P$1:$P$201,ROW()-12))</f>
        <v/>
      </c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8" customHeight="1">
      <c r="A205" s="17" t="n"/>
      <c r="B205" s="42">
        <f t="array" ref="B205">IF(INDEX(DATOS!$A$1:$A$201,ROW()-12)="","",INDEX(DATOS!$A$1:$A$201,ROW()-12))</f>
        <v/>
      </c>
      <c r="C205" s="149">
        <f t="array" ref="C205">IF(INDEX(DATOS!$B$1:$B$201,ROW()-12)="","",INDEX(DATOS!$B$1:$B$201,ROW()-12))</f>
        <v/>
      </c>
      <c r="D205" s="150" t="n"/>
      <c r="E205" s="150" t="n"/>
      <c r="F205" s="150" t="n"/>
      <c r="G205" s="151" t="n"/>
      <c r="H205" s="43">
        <f t="array" ref="H205">IF(INDEX(DATOS!$C$1:$C$201,ROW()-12)="","",INDEX(DATOS!$C$1:$C$201,ROW()-12))</f>
        <v/>
      </c>
      <c r="I205" s="44">
        <f t="array" ref="I205">IF(INDEX(DATOS!$D$1:$D$201,ROW()-12)="","",INDEX(DATOS!$D$1:$D$201,ROW()-12))</f>
        <v/>
      </c>
      <c r="J205" s="45">
        <f t="array" ref="J205">IF(INDEX(DATOS!$M$1:$M$201,ROW()-12)="","",INDEX(DATOS!$M$1:$M$201,ROW()-12))</f>
        <v/>
      </c>
      <c r="K205" s="46">
        <f t="array" ref="K205">IF(INDEX(DATOS!$K$1:$K$201,ROW()-12)="","",INDEX(DATOS!$K$1:$K$201,ROW()-12))</f>
        <v/>
      </c>
      <c r="L205" s="47">
        <f t="array" ref="L205">IF(INDEX(DATOS!$E$1:$E$201,ROW()-12)="","",INDEX(DATOS!$E$1:$E$201,ROW()-12))</f>
        <v/>
      </c>
      <c r="M205" s="47">
        <f t="array" ref="M205">IF(INDEX(DATOS!$F$1:$F$201,ROW()-12)="","",INDEX(DATOS!$F$1:$F$201,ROW()-12))</f>
        <v/>
      </c>
      <c r="N205" s="47">
        <f t="array" ref="N205">IF(INDEX(DATOS!$G$1:$G$201,ROW()-12)="","",INDEX(DATOS!$G$1:$G$201,ROW()-12))</f>
        <v/>
      </c>
      <c r="O205" s="47">
        <f t="array" ref="O205">IF(INDEX(DATOS!$H$1:$H$201,ROW()-12)="","",INDEX(DATOS!$H$1:$H$201,ROW()-12))</f>
        <v/>
      </c>
      <c r="P205" s="47">
        <f t="array" ref="P205">IF(INDEX(DATOS!$I$1:$I$201,ROW()-12)="","",INDEX(DATOS!$I$1:$I$201,ROW()-12))</f>
        <v/>
      </c>
      <c r="Q205" s="48">
        <f t="array" ref="Q205">IF(INDEX(DATOS!$J$1:$J$201,ROW()-12)="","",INDEX(DATOS!$J$1:$J$201,ROW()-12))</f>
        <v/>
      </c>
      <c r="R205" s="49">
        <f t="array" ref="R205">IF(INDEX(DATOS!$P$1:$P$201,ROW()-12)="","",INDEX(DATOS!$P$1:$P$201,ROW()-12))</f>
        <v/>
      </c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8" customHeight="1">
      <c r="A206" s="17" t="n"/>
      <c r="B206" s="42">
        <f t="array" ref="B206">IF(INDEX(DATOS!$A$1:$A$201,ROW()-12)="","",INDEX(DATOS!$A$1:$A$201,ROW()-12))</f>
        <v/>
      </c>
      <c r="C206" s="149">
        <f t="array" ref="C206">IF(INDEX(DATOS!$B$1:$B$201,ROW()-12)="","",INDEX(DATOS!$B$1:$B$201,ROW()-12))</f>
        <v/>
      </c>
      <c r="D206" s="150" t="n"/>
      <c r="E206" s="150" t="n"/>
      <c r="F206" s="150" t="n"/>
      <c r="G206" s="151" t="n"/>
      <c r="H206" s="43">
        <f t="array" ref="H206">IF(INDEX(DATOS!$C$1:$C$201,ROW()-12)="","",INDEX(DATOS!$C$1:$C$201,ROW()-12))</f>
        <v/>
      </c>
      <c r="I206" s="44">
        <f t="array" ref="I206">IF(INDEX(DATOS!$D$1:$D$201,ROW()-12)="","",INDEX(DATOS!$D$1:$D$201,ROW()-12))</f>
        <v/>
      </c>
      <c r="J206" s="45">
        <f t="array" ref="J206">IF(INDEX(DATOS!$M$1:$M$201,ROW()-12)="","",INDEX(DATOS!$M$1:$M$201,ROW()-12))</f>
        <v/>
      </c>
      <c r="K206" s="46">
        <f t="array" ref="K206">IF(INDEX(DATOS!$K$1:$K$201,ROW()-12)="","",INDEX(DATOS!$K$1:$K$201,ROW()-12))</f>
        <v/>
      </c>
      <c r="L206" s="47">
        <f t="array" ref="L206">IF(INDEX(DATOS!$E$1:$E$201,ROW()-12)="","",INDEX(DATOS!$E$1:$E$201,ROW()-12))</f>
        <v/>
      </c>
      <c r="M206" s="47">
        <f t="array" ref="M206">IF(INDEX(DATOS!$F$1:$F$201,ROW()-12)="","",INDEX(DATOS!$F$1:$F$201,ROW()-12))</f>
        <v/>
      </c>
      <c r="N206" s="47">
        <f t="array" ref="N206">IF(INDEX(DATOS!$G$1:$G$201,ROW()-12)="","",INDEX(DATOS!$G$1:$G$201,ROW()-12))</f>
        <v/>
      </c>
      <c r="O206" s="47">
        <f t="array" ref="O206">IF(INDEX(DATOS!$H$1:$H$201,ROW()-12)="","",INDEX(DATOS!$H$1:$H$201,ROW()-12))</f>
        <v/>
      </c>
      <c r="P206" s="47">
        <f t="array" ref="P206">IF(INDEX(DATOS!$I$1:$I$201,ROW()-12)="","",INDEX(DATOS!$I$1:$I$201,ROW()-12))</f>
        <v/>
      </c>
      <c r="Q206" s="48">
        <f t="array" ref="Q206">IF(INDEX(DATOS!$J$1:$J$201,ROW()-12)="","",INDEX(DATOS!$J$1:$J$201,ROW()-12))</f>
        <v/>
      </c>
      <c r="R206" s="49">
        <f t="array" ref="R206">IF(INDEX(DATOS!$P$1:$P$201,ROW()-12)="","",INDEX(DATOS!$P$1:$P$201,ROW()-12))</f>
        <v/>
      </c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8" customHeight="1">
      <c r="A207" s="17" t="n"/>
      <c r="B207" s="42">
        <f t="array" ref="B207">IF(INDEX(DATOS!$A$1:$A$201,ROW()-12)="","",INDEX(DATOS!$A$1:$A$201,ROW()-12))</f>
        <v/>
      </c>
      <c r="C207" s="149">
        <f t="array" ref="C207">IF(INDEX(DATOS!$B$1:$B$201,ROW()-12)="","",INDEX(DATOS!$B$1:$B$201,ROW()-12))</f>
        <v/>
      </c>
      <c r="D207" s="150" t="n"/>
      <c r="E207" s="150" t="n"/>
      <c r="F207" s="150" t="n"/>
      <c r="G207" s="151" t="n"/>
      <c r="H207" s="43">
        <f t="array" ref="H207">IF(INDEX(DATOS!$C$1:$C$201,ROW()-12)="","",INDEX(DATOS!$C$1:$C$201,ROW()-12))</f>
        <v/>
      </c>
      <c r="I207" s="44">
        <f t="array" ref="I207">IF(INDEX(DATOS!$D$1:$D$201,ROW()-12)="","",INDEX(DATOS!$D$1:$D$201,ROW()-12))</f>
        <v/>
      </c>
      <c r="J207" s="45">
        <f t="array" ref="J207">IF(INDEX(DATOS!$M$1:$M$201,ROW()-12)="","",INDEX(DATOS!$M$1:$M$201,ROW()-12))</f>
        <v/>
      </c>
      <c r="K207" s="46">
        <f t="array" ref="K207">IF(INDEX(DATOS!$K$1:$K$201,ROW()-12)="","",INDEX(DATOS!$K$1:$K$201,ROW()-12))</f>
        <v/>
      </c>
      <c r="L207" s="47">
        <f t="array" ref="L207">IF(INDEX(DATOS!$E$1:$E$201,ROW()-12)="","",INDEX(DATOS!$E$1:$E$201,ROW()-12))</f>
        <v/>
      </c>
      <c r="M207" s="47">
        <f t="array" ref="M207">IF(INDEX(DATOS!$F$1:$F$201,ROW()-12)="","",INDEX(DATOS!$F$1:$F$201,ROW()-12))</f>
        <v/>
      </c>
      <c r="N207" s="47">
        <f t="array" ref="N207">IF(INDEX(DATOS!$G$1:$G$201,ROW()-12)="","",INDEX(DATOS!$G$1:$G$201,ROW()-12))</f>
        <v/>
      </c>
      <c r="O207" s="47">
        <f t="array" ref="O207">IF(INDEX(DATOS!$H$1:$H$201,ROW()-12)="","",INDEX(DATOS!$H$1:$H$201,ROW()-12))</f>
        <v/>
      </c>
      <c r="P207" s="47">
        <f t="array" ref="P207">IF(INDEX(DATOS!$I$1:$I$201,ROW()-12)="","",INDEX(DATOS!$I$1:$I$201,ROW()-12))</f>
        <v/>
      </c>
      <c r="Q207" s="48">
        <f t="array" ref="Q207">IF(INDEX(DATOS!$J$1:$J$201,ROW()-12)="","",INDEX(DATOS!$J$1:$J$201,ROW()-12))</f>
        <v/>
      </c>
      <c r="R207" s="49">
        <f t="array" ref="R207">IF(INDEX(DATOS!$P$1:$P$201,ROW()-12)="","",INDEX(DATOS!$P$1:$P$201,ROW()-12))</f>
        <v/>
      </c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8" customHeight="1">
      <c r="A208" s="17" t="n"/>
      <c r="B208" s="42">
        <f t="array" ref="B208">IF(INDEX(DATOS!$A$1:$A$201,ROW()-12)="","",INDEX(DATOS!$A$1:$A$201,ROW()-12))</f>
        <v/>
      </c>
      <c r="C208" s="149">
        <f t="array" ref="C208">IF(INDEX(DATOS!$B$1:$B$201,ROW()-12)="","",INDEX(DATOS!$B$1:$B$201,ROW()-12))</f>
        <v/>
      </c>
      <c r="D208" s="150" t="n"/>
      <c r="E208" s="150" t="n"/>
      <c r="F208" s="150" t="n"/>
      <c r="G208" s="151" t="n"/>
      <c r="H208" s="43">
        <f t="array" ref="H208">IF(INDEX(DATOS!$C$1:$C$201,ROW()-12)="","",INDEX(DATOS!$C$1:$C$201,ROW()-12))</f>
        <v/>
      </c>
      <c r="I208" s="44">
        <f t="array" ref="I208">IF(INDEX(DATOS!$D$1:$D$201,ROW()-12)="","",INDEX(DATOS!$D$1:$D$201,ROW()-12))</f>
        <v/>
      </c>
      <c r="J208" s="45">
        <f t="array" ref="J208">IF(INDEX(DATOS!$M$1:$M$201,ROW()-12)="","",INDEX(DATOS!$M$1:$M$201,ROW()-12))</f>
        <v/>
      </c>
      <c r="K208" s="46">
        <f t="array" ref="K208">IF(INDEX(DATOS!$K$1:$K$201,ROW()-12)="","",INDEX(DATOS!$K$1:$K$201,ROW()-12))</f>
        <v/>
      </c>
      <c r="L208" s="47">
        <f t="array" ref="L208">IF(INDEX(DATOS!$E$1:$E$201,ROW()-12)="","",INDEX(DATOS!$E$1:$E$201,ROW()-12))</f>
        <v/>
      </c>
      <c r="M208" s="47">
        <f t="array" ref="M208">IF(INDEX(DATOS!$F$1:$F$201,ROW()-12)="","",INDEX(DATOS!$F$1:$F$201,ROW()-12))</f>
        <v/>
      </c>
      <c r="N208" s="47">
        <f t="array" ref="N208">IF(INDEX(DATOS!$G$1:$G$201,ROW()-12)="","",INDEX(DATOS!$G$1:$G$201,ROW()-12))</f>
        <v/>
      </c>
      <c r="O208" s="47">
        <f t="array" ref="O208">IF(INDEX(DATOS!$H$1:$H$201,ROW()-12)="","",INDEX(DATOS!$H$1:$H$201,ROW()-12))</f>
        <v/>
      </c>
      <c r="P208" s="47">
        <f t="array" ref="P208">IF(INDEX(DATOS!$I$1:$I$201,ROW()-12)="","",INDEX(DATOS!$I$1:$I$201,ROW()-12))</f>
        <v/>
      </c>
      <c r="Q208" s="48">
        <f t="array" ref="Q208">IF(INDEX(DATOS!$J$1:$J$201,ROW()-12)="","",INDEX(DATOS!$J$1:$J$201,ROW()-12))</f>
        <v/>
      </c>
      <c r="R208" s="49">
        <f t="array" ref="R208">IF(INDEX(DATOS!$P$1:$P$201,ROW()-12)="","",INDEX(DATOS!$P$1:$P$201,ROW()-12))</f>
        <v/>
      </c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8" customHeight="1">
      <c r="A209" s="17" t="n"/>
      <c r="B209" s="42">
        <f t="array" ref="B209">IF(INDEX(DATOS!$A$1:$A$201,ROW()-12)="","",INDEX(DATOS!$A$1:$A$201,ROW()-12))</f>
        <v/>
      </c>
      <c r="C209" s="149">
        <f t="array" ref="C209">IF(INDEX(DATOS!$B$1:$B$201,ROW()-12)="","",INDEX(DATOS!$B$1:$B$201,ROW()-12))</f>
        <v/>
      </c>
      <c r="D209" s="150" t="n"/>
      <c r="E209" s="150" t="n"/>
      <c r="F209" s="150" t="n"/>
      <c r="G209" s="151" t="n"/>
      <c r="H209" s="43">
        <f t="array" ref="H209">IF(INDEX(DATOS!$C$1:$C$201,ROW()-12)="","",INDEX(DATOS!$C$1:$C$201,ROW()-12))</f>
        <v/>
      </c>
      <c r="I209" s="44">
        <f t="array" ref="I209">IF(INDEX(DATOS!$D$1:$D$201,ROW()-12)="","",INDEX(DATOS!$D$1:$D$201,ROW()-12))</f>
        <v/>
      </c>
      <c r="J209" s="45">
        <f t="array" ref="J209">IF(INDEX(DATOS!$M$1:$M$201,ROW()-12)="","",INDEX(DATOS!$M$1:$M$201,ROW()-12))</f>
        <v/>
      </c>
      <c r="K209" s="46">
        <f t="array" ref="K209">IF(INDEX(DATOS!$K$1:$K$201,ROW()-12)="","",INDEX(DATOS!$K$1:$K$201,ROW()-12))</f>
        <v/>
      </c>
      <c r="L209" s="47">
        <f t="array" ref="L209">IF(INDEX(DATOS!$E$1:$E$201,ROW()-12)="","",INDEX(DATOS!$E$1:$E$201,ROW()-12))</f>
        <v/>
      </c>
      <c r="M209" s="47">
        <f t="array" ref="M209">IF(INDEX(DATOS!$F$1:$F$201,ROW()-12)="","",INDEX(DATOS!$F$1:$F$201,ROW()-12))</f>
        <v/>
      </c>
      <c r="N209" s="47">
        <f t="array" ref="N209">IF(INDEX(DATOS!$G$1:$G$201,ROW()-12)="","",INDEX(DATOS!$G$1:$G$201,ROW()-12))</f>
        <v/>
      </c>
      <c r="O209" s="47">
        <f t="array" ref="O209">IF(INDEX(DATOS!$H$1:$H$201,ROW()-12)="","",INDEX(DATOS!$H$1:$H$201,ROW()-12))</f>
        <v/>
      </c>
      <c r="P209" s="47">
        <f t="array" ref="P209">IF(INDEX(DATOS!$I$1:$I$201,ROW()-12)="","",INDEX(DATOS!$I$1:$I$201,ROW()-12))</f>
        <v/>
      </c>
      <c r="Q209" s="48">
        <f t="array" ref="Q209">IF(INDEX(DATOS!$J$1:$J$201,ROW()-12)="","",INDEX(DATOS!$J$1:$J$201,ROW()-12))</f>
        <v/>
      </c>
      <c r="R209" s="49">
        <f t="array" ref="R209">IF(INDEX(DATOS!$P$1:$P$201,ROW()-12)="","",INDEX(DATOS!$P$1:$P$201,ROW()-12))</f>
        <v/>
      </c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8" customHeight="1">
      <c r="A210" s="17" t="n"/>
      <c r="B210" s="42">
        <f t="array" ref="B210">IF(INDEX(DATOS!$A$1:$A$201,ROW()-12)="","",INDEX(DATOS!$A$1:$A$201,ROW()-12))</f>
        <v/>
      </c>
      <c r="C210" s="149">
        <f t="array" ref="C210">IF(INDEX(DATOS!$B$1:$B$201,ROW()-12)="","",INDEX(DATOS!$B$1:$B$201,ROW()-12))</f>
        <v/>
      </c>
      <c r="D210" s="150" t="n"/>
      <c r="E210" s="150" t="n"/>
      <c r="F210" s="150" t="n"/>
      <c r="G210" s="151" t="n"/>
      <c r="H210" s="43">
        <f t="array" ref="H210">IF(INDEX(DATOS!$C$1:$C$201,ROW()-12)="","",INDEX(DATOS!$C$1:$C$201,ROW()-12))</f>
        <v/>
      </c>
      <c r="I210" s="44">
        <f t="array" ref="I210">IF(INDEX(DATOS!$D$1:$D$201,ROW()-12)="","",INDEX(DATOS!$D$1:$D$201,ROW()-12))</f>
        <v/>
      </c>
      <c r="J210" s="45">
        <f t="array" ref="J210">IF(INDEX(DATOS!$M$1:$M$201,ROW()-12)="","",INDEX(DATOS!$M$1:$M$201,ROW()-12))</f>
        <v/>
      </c>
      <c r="K210" s="46">
        <f t="array" ref="K210">IF(INDEX(DATOS!$K$1:$K$201,ROW()-12)="","",INDEX(DATOS!$K$1:$K$201,ROW()-12))</f>
        <v/>
      </c>
      <c r="L210" s="47">
        <f t="array" ref="L210">IF(INDEX(DATOS!$E$1:$E$201,ROW()-12)="","",INDEX(DATOS!$E$1:$E$201,ROW()-12))</f>
        <v/>
      </c>
      <c r="M210" s="47">
        <f t="array" ref="M210">IF(INDEX(DATOS!$F$1:$F$201,ROW()-12)="","",INDEX(DATOS!$F$1:$F$201,ROW()-12))</f>
        <v/>
      </c>
      <c r="N210" s="47">
        <f t="array" ref="N210">IF(INDEX(DATOS!$G$1:$G$201,ROW()-12)="","",INDEX(DATOS!$G$1:$G$201,ROW()-12))</f>
        <v/>
      </c>
      <c r="O210" s="47">
        <f t="array" ref="O210">IF(INDEX(DATOS!$H$1:$H$201,ROW()-12)="","",INDEX(DATOS!$H$1:$H$201,ROW()-12))</f>
        <v/>
      </c>
      <c r="P210" s="47">
        <f t="array" ref="P210">IF(INDEX(DATOS!$I$1:$I$201,ROW()-12)="","",INDEX(DATOS!$I$1:$I$201,ROW()-12))</f>
        <v/>
      </c>
      <c r="Q210" s="48">
        <f t="array" ref="Q210">IF(INDEX(DATOS!$J$1:$J$201,ROW()-12)="","",INDEX(DATOS!$J$1:$J$201,ROW()-12))</f>
        <v/>
      </c>
      <c r="R210" s="49">
        <f t="array" ref="R210">IF(INDEX(DATOS!$P$1:$P$201,ROW()-12)="","",INDEX(DATOS!$P$1:$P$201,ROW()-12))</f>
        <v/>
      </c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8" customHeight="1">
      <c r="A211" s="17" t="n"/>
      <c r="B211" s="42">
        <f t="array" ref="B211">IF(INDEX(DATOS!$A$1:$A$201,ROW()-12)="","",INDEX(DATOS!$A$1:$A$201,ROW()-12))</f>
        <v/>
      </c>
      <c r="C211" s="149">
        <f t="array" ref="C211">IF(INDEX(DATOS!$B$1:$B$201,ROW()-12)="","",INDEX(DATOS!$B$1:$B$201,ROW()-12))</f>
        <v/>
      </c>
      <c r="D211" s="150" t="n"/>
      <c r="E211" s="150" t="n"/>
      <c r="F211" s="150" t="n"/>
      <c r="G211" s="151" t="n"/>
      <c r="H211" s="43">
        <f t="array" ref="H211">IF(INDEX(DATOS!$C$1:$C$201,ROW()-12)="","",INDEX(DATOS!$C$1:$C$201,ROW()-12))</f>
        <v/>
      </c>
      <c r="I211" s="44">
        <f t="array" ref="I211">IF(INDEX(DATOS!$D$1:$D$201,ROW()-12)="","",INDEX(DATOS!$D$1:$D$201,ROW()-12))</f>
        <v/>
      </c>
      <c r="J211" s="45">
        <f t="array" ref="J211">IF(INDEX(DATOS!$M$1:$M$201,ROW()-12)="","",INDEX(DATOS!$M$1:$M$201,ROW()-12))</f>
        <v/>
      </c>
      <c r="K211" s="46">
        <f t="array" ref="K211">IF(INDEX(DATOS!$K$1:$K$201,ROW()-12)="","",INDEX(DATOS!$K$1:$K$201,ROW()-12))</f>
        <v/>
      </c>
      <c r="L211" s="47">
        <f t="array" ref="L211">IF(INDEX(DATOS!$E$1:$E$201,ROW()-12)="","",INDEX(DATOS!$E$1:$E$201,ROW()-12))</f>
        <v/>
      </c>
      <c r="M211" s="47">
        <f t="array" ref="M211">IF(INDEX(DATOS!$F$1:$F$201,ROW()-12)="","",INDEX(DATOS!$F$1:$F$201,ROW()-12))</f>
        <v/>
      </c>
      <c r="N211" s="47">
        <f t="array" ref="N211">IF(INDEX(DATOS!$G$1:$G$201,ROW()-12)="","",INDEX(DATOS!$G$1:$G$201,ROW()-12))</f>
        <v/>
      </c>
      <c r="O211" s="47">
        <f t="array" ref="O211">IF(INDEX(DATOS!$H$1:$H$201,ROW()-12)="","",INDEX(DATOS!$H$1:$H$201,ROW()-12))</f>
        <v/>
      </c>
      <c r="P211" s="47">
        <f t="array" ref="P211">IF(INDEX(DATOS!$I$1:$I$201,ROW()-12)="","",INDEX(DATOS!$I$1:$I$201,ROW()-12))</f>
        <v/>
      </c>
      <c r="Q211" s="48">
        <f t="array" ref="Q211">IF(INDEX(DATOS!$J$1:$J$201,ROW()-12)="","",INDEX(DATOS!$J$1:$J$201,ROW()-12))</f>
        <v/>
      </c>
      <c r="R211" s="49">
        <f t="array" ref="R211">IF(INDEX(DATOS!$P$1:$P$201,ROW()-12)="","",INDEX(DATOS!$P$1:$P$201,ROW()-12))</f>
        <v/>
      </c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8" customHeight="1">
      <c r="A212" s="17" t="n"/>
      <c r="B212" s="42">
        <f t="array" ref="B212">IF(INDEX(DATOS!$A$1:$A$201,ROW()-12)="","",INDEX(DATOS!$A$1:$A$201,ROW()-12))</f>
        <v/>
      </c>
      <c r="C212" s="149">
        <f t="array" ref="C212">IF(INDEX(DATOS!$B$1:$B$201,ROW()-12)="","",INDEX(DATOS!$B$1:$B$201,ROW()-12))</f>
        <v/>
      </c>
      <c r="D212" s="150" t="n"/>
      <c r="E212" s="150" t="n"/>
      <c r="F212" s="150" t="n"/>
      <c r="G212" s="151" t="n"/>
      <c r="H212" s="43">
        <f t="array" ref="H212">IF(INDEX(DATOS!$C$1:$C$201,ROW()-12)="","",INDEX(DATOS!$C$1:$C$201,ROW()-12))</f>
        <v/>
      </c>
      <c r="I212" s="44">
        <f t="array" ref="I212">IF(INDEX(DATOS!$D$1:$D$201,ROW()-12)="","",INDEX(DATOS!$D$1:$D$201,ROW()-12))</f>
        <v/>
      </c>
      <c r="J212" s="45">
        <f t="array" ref="J212">IF(INDEX(DATOS!$M$1:$M$201,ROW()-12)="","",INDEX(DATOS!$M$1:$M$201,ROW()-12))</f>
        <v/>
      </c>
      <c r="K212" s="46">
        <f t="array" ref="K212">IF(INDEX(DATOS!$K$1:$K$201,ROW()-12)="","",INDEX(DATOS!$K$1:$K$201,ROW()-12))</f>
        <v/>
      </c>
      <c r="L212" s="47">
        <f t="array" ref="L212">IF(INDEX(DATOS!$E$1:$E$201,ROW()-12)="","",INDEX(DATOS!$E$1:$E$201,ROW()-12))</f>
        <v/>
      </c>
      <c r="M212" s="47">
        <f t="array" ref="M212">IF(INDEX(DATOS!$F$1:$F$201,ROW()-12)="","",INDEX(DATOS!$F$1:$F$201,ROW()-12))</f>
        <v/>
      </c>
      <c r="N212" s="47">
        <f t="array" ref="N212">IF(INDEX(DATOS!$G$1:$G$201,ROW()-12)="","",INDEX(DATOS!$G$1:$G$201,ROW()-12))</f>
        <v/>
      </c>
      <c r="O212" s="47">
        <f t="array" ref="O212">IF(INDEX(DATOS!$H$1:$H$201,ROW()-12)="","",INDEX(DATOS!$H$1:$H$201,ROW()-12))</f>
        <v/>
      </c>
      <c r="P212" s="47">
        <f t="array" ref="P212">IF(INDEX(DATOS!$I$1:$I$201,ROW()-12)="","",INDEX(DATOS!$I$1:$I$201,ROW()-12))</f>
        <v/>
      </c>
      <c r="Q212" s="48">
        <f t="array" ref="Q212">IF(INDEX(DATOS!$J$1:$J$201,ROW()-12)="","",INDEX(DATOS!$J$1:$J$201,ROW()-12))</f>
        <v/>
      </c>
      <c r="R212" s="49">
        <f t="array" ref="R212">IF(INDEX(DATOS!$P$1:$P$201,ROW()-12)="","",INDEX(DATOS!$P$1:$P$201,ROW()-12))</f>
        <v/>
      </c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8" customHeight="1">
      <c r="A213" s="17" t="n"/>
      <c r="B213" s="42">
        <f t="array" ref="B213">IF(INDEX(DATOS!$A$1:$A$201,ROW()-12)="","",INDEX(DATOS!$A$1:$A$201,ROW()-12))</f>
        <v/>
      </c>
      <c r="C213" s="149">
        <f t="array" ref="C213">IF(INDEX(DATOS!$B$1:$B$201,ROW()-12)="","",INDEX(DATOS!$B$1:$B$201,ROW()-12))</f>
        <v/>
      </c>
      <c r="D213" s="150" t="n"/>
      <c r="E213" s="150" t="n"/>
      <c r="F213" s="150" t="n"/>
      <c r="G213" s="151" t="n"/>
      <c r="H213" s="43">
        <f t="array" ref="H213">IF(INDEX(DATOS!$C$1:$C$201,ROW()-12)="","",INDEX(DATOS!$C$1:$C$201,ROW()-12))</f>
        <v/>
      </c>
      <c r="I213" s="44">
        <f t="array" ref="I213">IF(INDEX(DATOS!$D$1:$D$201,ROW()-12)="","",INDEX(DATOS!$D$1:$D$201,ROW()-12))</f>
        <v/>
      </c>
      <c r="J213" s="45">
        <f t="array" ref="J213">IF(INDEX(DATOS!$M$1:$M$201,ROW()-12)="","",INDEX(DATOS!$M$1:$M$201,ROW()-12))</f>
        <v/>
      </c>
      <c r="K213" s="46">
        <f t="array" ref="K213">IF(INDEX(DATOS!$K$1:$K$201,ROW()-12)="","",INDEX(DATOS!$K$1:$K$201,ROW()-12))</f>
        <v/>
      </c>
      <c r="L213" s="47">
        <f t="array" ref="L213">IF(INDEX(DATOS!$E$1:$E$201,ROW()-12)="","",INDEX(DATOS!$E$1:$E$201,ROW()-12))</f>
        <v/>
      </c>
      <c r="M213" s="47">
        <f t="array" ref="M213">IF(INDEX(DATOS!$F$1:$F$201,ROW()-12)="","",INDEX(DATOS!$F$1:$F$201,ROW()-12))</f>
        <v/>
      </c>
      <c r="N213" s="47">
        <f t="array" ref="N213">IF(INDEX(DATOS!$G$1:$G$201,ROW()-12)="","",INDEX(DATOS!$G$1:$G$201,ROW()-12))</f>
        <v/>
      </c>
      <c r="O213" s="47">
        <f t="array" ref="O213">IF(INDEX(DATOS!$H$1:$H$201,ROW()-12)="","",INDEX(DATOS!$H$1:$H$201,ROW()-12))</f>
        <v/>
      </c>
      <c r="P213" s="47">
        <f t="array" ref="P213">IF(INDEX(DATOS!$I$1:$I$201,ROW()-12)="","",INDEX(DATOS!$I$1:$I$201,ROW()-12))</f>
        <v/>
      </c>
      <c r="Q213" s="48">
        <f t="array" ref="Q213">IF(INDEX(DATOS!$J$1:$J$201,ROW()-12)="","",INDEX(DATOS!$J$1:$J$201,ROW()-12))</f>
        <v/>
      </c>
      <c r="R213" s="49">
        <f t="array" ref="R213">IF(INDEX(DATOS!$P$1:$P$201,ROW()-12)="","",INDEX(DATOS!$P$1:$P$201,ROW()-12))</f>
        <v/>
      </c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8" customHeight="1">
      <c r="A214" s="17" t="n"/>
      <c r="B214" s="42">
        <f t="array" ref="B214">IF(INDEX(DATOS!$A$1:$A$201,ROW()-12)="","",INDEX(DATOS!$A$1:$A$201,ROW()-12))</f>
        <v/>
      </c>
      <c r="C214" s="149">
        <f t="array" ref="C214">IF(INDEX(DATOS!$B$1:$B$201,ROW()-12)="","",INDEX(DATOS!$B$1:$B$201,ROW()-12))</f>
        <v/>
      </c>
      <c r="D214" s="150" t="n"/>
      <c r="E214" s="150" t="n"/>
      <c r="F214" s="150" t="n"/>
      <c r="G214" s="151" t="n"/>
      <c r="H214" s="43">
        <f t="array" ref="H214">IF(INDEX(DATOS!$C$1:$C$201,ROW()-12)="","",INDEX(DATOS!$C$1:$C$201,ROW()-12))</f>
        <v/>
      </c>
      <c r="I214" s="44">
        <f t="array" ref="I214">IF(INDEX(DATOS!$D$1:$D$201,ROW()-12)="","",INDEX(DATOS!$D$1:$D$201,ROW()-12))</f>
        <v/>
      </c>
      <c r="J214" s="45">
        <f t="array" ref="J214">IF(INDEX(DATOS!$M$1:$M$201,ROW()-12)="","",INDEX(DATOS!$M$1:$M$201,ROW()-12))</f>
        <v/>
      </c>
      <c r="K214" s="46">
        <f t="array" ref="K214">IF(INDEX(DATOS!$K$1:$K$201,ROW()-12)="","",INDEX(DATOS!$K$1:$K$201,ROW()-12))</f>
        <v/>
      </c>
      <c r="L214" s="47">
        <f t="array" ref="L214">IF(INDEX(DATOS!$E$1:$E$201,ROW()-12)="","",INDEX(DATOS!$E$1:$E$201,ROW()-12))</f>
        <v/>
      </c>
      <c r="M214" s="47">
        <f t="array" ref="M214">IF(INDEX(DATOS!$F$1:$F$201,ROW()-12)="","",INDEX(DATOS!$F$1:$F$201,ROW()-12))</f>
        <v/>
      </c>
      <c r="N214" s="47">
        <f t="array" ref="N214">IF(INDEX(DATOS!$G$1:$G$201,ROW()-12)="","",INDEX(DATOS!$G$1:$G$201,ROW()-12))</f>
        <v/>
      </c>
      <c r="O214" s="47">
        <f t="array" ref="O214">IF(INDEX(DATOS!$H$1:$H$201,ROW()-12)="","",INDEX(DATOS!$H$1:$H$201,ROW()-12))</f>
        <v/>
      </c>
      <c r="P214" s="47">
        <f t="array" ref="P214">IF(INDEX(DATOS!$I$1:$I$201,ROW()-12)="","",INDEX(DATOS!$I$1:$I$201,ROW()-12))</f>
        <v/>
      </c>
      <c r="Q214" s="48">
        <f t="array" ref="Q214">IF(INDEX(DATOS!$J$1:$J$201,ROW()-12)="","",INDEX(DATOS!$J$1:$J$201,ROW()-12))</f>
        <v/>
      </c>
      <c r="R214" s="49">
        <f t="array" ref="R214">IF(INDEX(DATOS!$P$1:$P$201,ROW()-12)="","",INDEX(DATOS!$P$1:$P$201,ROW()-12))</f>
        <v/>
      </c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3.5" customHeight="1" thickBot="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8" customHeight="1" thickTop="1">
      <c r="A216" s="17" t="n"/>
      <c r="B216" s="85">
        <f>"Fuente: Trello · Tablero CONSTRUCCIÓN DE AULAS · Listas T. POR CERRAR y T. DEL DÍA · Información descargada de Trello el "&amp;TEXT($F$3,"dd/mm/yyyy")&amp;" a las "&amp;TEXT($F$3,"hh:mm")&amp;" h (hora local) · "&amp;$B$6&amp;" tarjetas sin cerrar"</f>
        <v/>
      </c>
      <c r="C216" s="152" t="n"/>
      <c r="D216" s="152" t="n"/>
      <c r="E216" s="152" t="n"/>
      <c r="F216" s="152" t="n"/>
      <c r="G216" s="152" t="n"/>
      <c r="H216" s="152" t="n"/>
      <c r="I216" s="152" t="n"/>
      <c r="J216" s="152" t="n"/>
      <c r="K216" s="152" t="n"/>
      <c r="L216" s="152" t="n"/>
      <c r="M216" s="152" t="n"/>
      <c r="N216" s="152" t="n"/>
      <c r="O216" s="152" t="n"/>
      <c r="P216" s="152" t="n"/>
      <c r="Q216" s="152" t="n"/>
      <c r="R216" s="13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3.5" customHeight="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3.5" customHeight="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3.5" customHeight="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3.5" customHeight="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3.5" customHeight="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3.5" customHeight="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3.5" customHeight="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3.5" customHeight="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3.5" customHeight="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3.5" customHeight="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3.5" customHeight="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3.5" customHeight="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3.5" customHeight="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3.5" customHeight="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3.5" customHeight="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3.5" customHeight="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3.5" customHeight="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3.5" customHeight="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3.5" customHeight="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3.5" customHeight="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3.5" customHeight="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3.5" customHeight="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3.5" customHeight="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3.5" customHeight="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3.5" customHeight="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3.5" customHeight="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3.5" customHeight="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3.5" customHeight="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3.5" customHeight="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3.5" customHeight="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3.5" customHeight="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3.5" customHeight="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3.5" customHeight="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3.5" customHeight="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3.5" customHeight="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3.5" customHeight="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3.5" customHeight="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3.5" customHeight="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3.5" customHeight="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3.5" customHeight="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3.5" customHeight="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3.5" customHeight="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3.5" customHeight="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3.5" customHeight="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3.5" customHeight="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3.5" customHeight="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3.5" customHeight="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3.5" customHeight="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3.5" customHeight="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3.5" customHeight="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3.5" customHeight="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3.5" customHeight="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3.5" customHeight="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3.5" customHeight="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3.5" customHeight="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3.5" customHeight="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3.5" customHeight="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3.5" customHeight="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3.5" customHeight="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3.5" customHeight="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3.5" customHeight="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3.5" customHeight="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3.5" customHeight="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3.5" customHeight="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3.5" customHeight="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3.5" customHeight="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3.5" customHeight="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3.5" customHeight="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3.5" customHeight="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3.5" customHeight="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3.5" customHeight="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3.5" customHeight="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3.5" customHeight="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3.5" customHeight="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3.5" customHeight="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3.5" customHeight="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3.5" customHeight="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3.5" customHeight="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3.5" customHeight="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3.5" customHeight="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3.5" customHeight="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3.5" customHeight="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3.5" customHeight="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3.5" customHeight="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3.5" customHeight="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3.5" customHeight="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3.5" customHeight="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3.5" customHeight="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3.5" customHeight="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3.5" customHeight="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3.5" customHeight="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3.5" customHeight="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3.5" customHeight="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3.5" customHeight="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3.5" customHeight="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3.5" customHeight="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3.5" customHeight="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3.5" customHeight="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3.5" customHeight="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3.5" customHeight="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3.5" customHeight="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3.5" customHeight="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3.5" customHeight="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3.5" customHeight="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3.5" customHeight="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3.5" customHeight="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3.5" customHeight="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3.5" customHeight="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3.5" customHeight="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3.5" customHeight="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3.5" customHeight="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3.5" customHeight="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3.5" customHeight="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3.5" customHeight="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3.5" customHeight="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3.5" customHeight="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3.5" customHeight="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3.5" customHeight="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3.5" customHeight="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3.5" customHeight="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3.5" customHeight="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3.5" customHeight="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3.5" customHeight="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3.5" customHeight="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3.5" customHeight="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3.5" customHeight="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3.5" customHeight="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3.5" customHeight="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3.5" customHeight="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3.5" customHeight="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3.5" customHeight="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3.5" customHeight="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3.5" customHeight="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3.5" customHeight="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3.5" customHeight="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3.5" customHeight="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3.5" customHeight="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3.5" customHeight="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3.5" customHeight="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3.5" customHeight="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3.5" customHeight="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3.5" customHeight="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3.5" customHeight="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3.5" customHeight="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3.5" customHeight="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3.5" customHeight="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3.5" customHeight="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3.5" customHeight="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3.5" customHeight="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3.5" customHeight="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3.5" customHeight="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3.5" customHeight="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3.5" customHeight="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3.5" customHeight="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3.5" customHeight="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3.5" customHeight="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3.5" customHeight="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3.5" customHeight="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3.5" customHeight="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3.5" customHeight="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3.5" customHeight="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3.5" customHeight="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3.5" customHeight="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3.5" customHeight="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3.5" customHeight="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3.5" customHeight="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3.5" customHeight="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3.5" customHeight="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3.5" customHeight="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3.5" customHeight="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3.5" customHeight="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3.5" customHeight="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3.5" customHeight="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3.5" customHeight="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3.5" customHeight="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3.5" customHeight="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3.5" customHeight="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3.5" customHeight="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3.5" customHeight="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3.5" customHeight="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3.5" customHeight="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3.5" customHeight="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3.5" customHeight="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3.5" customHeight="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3.5" customHeight="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3.5" customHeight="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3.5" customHeight="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3.5" customHeight="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3.5" customHeight="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3.5" customHeight="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3.5" customHeight="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3.5" customHeight="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3.5" customHeight="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3.5" customHeight="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3.5" customHeight="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3.5" customHeight="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3.5" customHeight="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3.5" customHeight="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3.5" customHeight="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3.5" customHeight="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3.5" customHeight="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3.5" customHeight="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3.5" customHeight="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3.5" customHeight="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3.5" customHeight="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3.5" customHeight="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3.5" customHeight="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3.5" customHeight="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3.5" customHeight="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3.5" customHeight="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3.5" customHeight="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3.5" customHeight="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3.5" customHeight="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3.5" customHeight="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3.5" customHeight="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3.5" customHeight="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3.5" customHeight="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3.5" customHeight="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3.5" customHeight="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3.5" customHeight="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3.5" customHeight="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3.5" customHeight="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3.5" customHeight="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3.5" customHeight="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3.5" customHeight="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3.5" customHeight="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3.5" customHeight="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3.5" customHeight="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3.5" customHeight="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3.5" customHeight="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3.5" customHeight="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3.5" customHeight="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3.5" customHeight="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3.5" customHeight="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3.5" customHeight="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3.5" customHeight="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3.5" customHeight="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3.5" customHeight="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3.5" customHeight="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3.5" customHeight="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3.5" customHeight="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3.5" customHeight="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3.5" customHeight="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3.5" customHeight="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3.5" customHeight="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3.5" customHeight="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3.5" customHeight="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3.5" customHeight="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3.5" customHeight="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3.5" customHeight="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3.5" customHeight="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3.5" customHeight="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3.5" customHeight="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3.5" customHeight="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3.5" customHeight="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3.5" customHeight="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3.5" customHeight="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3.5" customHeight="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3.5" customHeight="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3.5" customHeight="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3.5" customHeight="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3.5" customHeight="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3.5" customHeight="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3.5" customHeight="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3.5" customHeight="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3.5" customHeight="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3.5" customHeight="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3.5" customHeight="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3.5" customHeight="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3.5" customHeight="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3.5" customHeight="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3.5" customHeight="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3.5" customHeight="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3.5" customHeight="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3.5" customHeight="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3.5" customHeight="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3.5" customHeight="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3.5" customHeight="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3.5" customHeight="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3.5" customHeight="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3.5" customHeight="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3.5" customHeight="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3.5" customHeight="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3.5" customHeight="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3.5" customHeight="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3.5" customHeight="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3.5" customHeight="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3.5" customHeight="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3.5" customHeight="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3.5" customHeight="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3.5" customHeight="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3.5" customHeight="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3.5" customHeight="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3.5" customHeight="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3.5" customHeight="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3.5" customHeight="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3.5" customHeight="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3.5" customHeight="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3.5" customHeight="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3.5" customHeight="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3.5" customHeight="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3.5" customHeight="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3.5" customHeight="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3.5" customHeight="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3.5" customHeight="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3.5" customHeight="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3.5" customHeight="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3.5" customHeight="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3.5" customHeight="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3.5" customHeight="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3.5" customHeight="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3.5" customHeight="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3.5" customHeight="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3.5" customHeight="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3.5" customHeight="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3.5" customHeight="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3.5" customHeight="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3.5" customHeight="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3.5" customHeight="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3.5" customHeight="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3.5" customHeight="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3.5" customHeight="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3.5" customHeight="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3.5" customHeight="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3.5" customHeight="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3.5" customHeight="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3.5" customHeight="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3.5" customHeight="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3.5" customHeight="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3.5" customHeight="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3.5" customHeight="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3.5" customHeight="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3.5" customHeight="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3.5" customHeight="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3.5" customHeight="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3.5" customHeight="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3.5" customHeight="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3.5" customHeight="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3.5" customHeight="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3.5" customHeight="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3.5" customHeight="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3.5" customHeight="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3.5" customHeight="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3.5" customHeight="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3.5" customHeight="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3.5" customHeight="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3.5" customHeight="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3.5" customHeight="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3.5" customHeight="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3.5" customHeight="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3.5" customHeight="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3.5" customHeight="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3.5" customHeight="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3.5" customHeight="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3.5" customHeight="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3.5" customHeight="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3.5" customHeight="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3.5" customHeight="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3.5" customHeight="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3.5" customHeight="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3.5" customHeight="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3.5" customHeight="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3.5" customHeight="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3.5" customHeight="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3.5" customHeight="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3.5" customHeight="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3.5" customHeight="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3.5" customHeight="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3.5" customHeight="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3.5" customHeight="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3.5" customHeight="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3.5" customHeight="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3.5" customHeight="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3.5" customHeight="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3.5" customHeight="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3.5" customHeight="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3.5" customHeight="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3.5" customHeight="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3.5" customHeight="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3.5" customHeight="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3.5" customHeight="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3.5" customHeight="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3.5" customHeight="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3.5" customHeight="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3.5" customHeight="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3.5" customHeight="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3.5" customHeight="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3.5" customHeight="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3.5" customHeight="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3.5" customHeight="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3.5" customHeight="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3.5" customHeight="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3.5" customHeight="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3.5" customHeight="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3.5" customHeight="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3.5" customHeight="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3.5" customHeight="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3.5" customHeight="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3.5" customHeight="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3.5" customHeight="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3.5" customHeight="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3.5" customHeight="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3.5" customHeight="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3.5" customHeight="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3.5" customHeight="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3.5" customHeight="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3.5" customHeight="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3.5" customHeight="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3.5" customHeight="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3.5" customHeight="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3.5" customHeight="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3.5" customHeight="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3.5" customHeight="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3.5" customHeight="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3.5" customHeight="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3.5" customHeight="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3.5" customHeight="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3.5" customHeight="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3.5" customHeight="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3.5" customHeight="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3.5" customHeight="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3.5" customHeight="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3.5" customHeight="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3.5" customHeight="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3.5" customHeight="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3.5" customHeight="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3.5" customHeight="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3.5" customHeight="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3.5" customHeight="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3.5" customHeight="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3.5" customHeight="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3.5" customHeight="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3.5" customHeight="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3.5" customHeight="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3.5" customHeight="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3.5" customHeight="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3.5" customHeight="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3.5" customHeight="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3.5" customHeight="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3.5" customHeight="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3.5" customHeight="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3.5" customHeight="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3.5" customHeight="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3.5" customHeight="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3.5" customHeight="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3.5" customHeight="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3.5" customHeight="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3.5" customHeight="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3.5" customHeight="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3.5" customHeight="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3.5" customHeight="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3.5" customHeight="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3.5" customHeight="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3.5" customHeight="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3.5" customHeight="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3.5" customHeight="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3.5" customHeight="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3.5" customHeight="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3.5" customHeight="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3.5" customHeight="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3.5" customHeight="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3.5" customHeight="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3.5" customHeight="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3.5" customHeight="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3.5" customHeight="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3.5" customHeight="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3.5" customHeight="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3.5" customHeight="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3.5" customHeight="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3.5" customHeight="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3.5" customHeight="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3.5" customHeight="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3.5" customHeight="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3.5" customHeight="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3.5" customHeight="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3.5" customHeight="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3.5" customHeight="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3.5" customHeight="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3.5" customHeight="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3.5" customHeight="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3.5" customHeight="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3.5" customHeight="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3.5" customHeight="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3.5" customHeight="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3.5" customHeight="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3.5" customHeight="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3.5" customHeight="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3.5" customHeight="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3.5" customHeight="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3.5" customHeight="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3.5" customHeight="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3.5" customHeight="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3.5" customHeight="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3.5" customHeight="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3.5" customHeight="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3.5" customHeight="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3.5" customHeight="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3.5" customHeight="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3.5" customHeight="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3.5" customHeight="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3.5" customHeight="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3.5" customHeight="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3.5" customHeight="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3.5" customHeight="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3.5" customHeight="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3.5" customHeight="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3.5" customHeight="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3.5" customHeight="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3.5" customHeight="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3.5" customHeight="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3.5" customHeight="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3.5" customHeight="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3.5" customHeight="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3.5" customHeight="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3.5" customHeight="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3.5" customHeight="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3.5" customHeight="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3.5" customHeight="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3.5" customHeight="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3.5" customHeight="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3.5" customHeight="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3.5" customHeight="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3.5" customHeight="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3.5" customHeight="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3.5" customHeight="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3.5" customHeight="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3.5" customHeight="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3.5" customHeight="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3.5" customHeight="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3.5" customHeight="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3.5" customHeight="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3.5" customHeight="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3.5" customHeight="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3.5" customHeight="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3.5" customHeight="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3.5" customHeight="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3.5" customHeight="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3.5" customHeight="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3.5" customHeight="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3.5" customHeight="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3.5" customHeight="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3.5" customHeight="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3.5" customHeight="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3.5" customHeight="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3.5" customHeight="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3.5" customHeight="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3.5" customHeight="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3.5" customHeight="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3.5" customHeight="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3.5" customHeight="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3.5" customHeight="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3.5" customHeight="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3.5" customHeight="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3.5" customHeight="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3.5" customHeight="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3.5" customHeight="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3.5" customHeight="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3.5" customHeight="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3.5" customHeight="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3.5" customHeight="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3.5" customHeight="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3.5" customHeight="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3.5" customHeight="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3.5" customHeight="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3.5" customHeight="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3.5" customHeight="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3.5" customHeight="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3.5" customHeight="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3.5" customHeight="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3.5" customHeight="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3.5" customHeight="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3.5" customHeight="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3.5" customHeight="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3.5" customHeight="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3.5" customHeight="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3.5" customHeight="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3.5" customHeight="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3.5" customHeight="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3.5" customHeight="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3.5" customHeight="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3.5" customHeight="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3.5" customHeight="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3.5" customHeight="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3.5" customHeight="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3.5" customHeight="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3.5" customHeight="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3.5" customHeight="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3.5" customHeight="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3.5" customHeight="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3.5" customHeight="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3.5" customHeight="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3.5" customHeight="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3.5" customHeight="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3.5" customHeight="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3.5" customHeight="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3.5" customHeight="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3.5" customHeight="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3.5" customHeight="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3.5" customHeight="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3.5" customHeight="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3.5" customHeight="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3.5" customHeight="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3.5" customHeight="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3.5" customHeight="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3.5" customHeight="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3.5" customHeight="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3.5" customHeight="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3.5" customHeight="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3.5" customHeight="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3.5" customHeight="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3.5" customHeight="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3.5" customHeight="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3.5" customHeight="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3.5" customHeight="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3.5" customHeight="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3.5" customHeight="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3.5" customHeight="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3.5" customHeight="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3.5" customHeight="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3.5" customHeight="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3.5" customHeight="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3.5" customHeight="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3.5" customHeight="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3.5" customHeight="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3.5" customHeight="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3.5" customHeight="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3.5" customHeight="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3.5" customHeight="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3.5" customHeight="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3.5" customHeight="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3.5" customHeight="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3.5" customHeight="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3.5" customHeight="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3.5" customHeight="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3.5" customHeight="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3.5" customHeight="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3.5" customHeight="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3.5" customHeight="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3.5" customHeight="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3.5" customHeight="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3.5" customHeight="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3.5" customHeight="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3.5" customHeight="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3.5" customHeight="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3.5" customHeight="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3.5" customHeight="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3.5" customHeight="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3.5" customHeight="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3.5" customHeight="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3.5" customHeight="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3.5" customHeight="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3.5" customHeight="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3.5" customHeight="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3.5" customHeight="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3.5" customHeight="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3.5" customHeight="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3.5" customHeight="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3.5" customHeight="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3.5" customHeight="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3.5" customHeight="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3.5" customHeight="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3.5" customHeight="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3.5" customHeight="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3.5" customHeight="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3.5" customHeight="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3.5" customHeight="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3.5" customHeight="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3.5" customHeight="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3.5" customHeight="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3.5" customHeight="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3.5" customHeight="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3.5" customHeight="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3.5" customHeight="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3.5" customHeight="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3.5" customHeight="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3.5" customHeight="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3.5" customHeight="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3.5" customHeight="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3.5" customHeight="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3.5" customHeight="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3.5" customHeight="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3.5" customHeight="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3.5" customHeight="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3.5" customHeight="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3.5" customHeight="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3.5" customHeight="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3.5" customHeight="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3.5" customHeight="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3.5" customHeight="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3.5" customHeight="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3.5" customHeight="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3.5" customHeight="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3.5" customHeight="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3.5" customHeight="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3.5" customHeight="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3.5" customHeight="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3.5" customHeight="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3.5" customHeight="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3.5" customHeight="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3.5" customHeight="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3.5" customHeight="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3.5" customHeight="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3.5" customHeight="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3.5" customHeight="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3.5" customHeight="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3.5" customHeight="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3.5" customHeight="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3.5" customHeight="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3.5" customHeight="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3.5" customHeight="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3.5" customHeight="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3.5" customHeight="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3.5" customHeight="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3.5" customHeight="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3.5" customHeight="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3.5" customHeight="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3.5" customHeight="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3.5" customHeight="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3.5" customHeight="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3.5" customHeight="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3.5" customHeight="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3.5" customHeight="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3.5" customHeight="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3.5" customHeight="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3.5" customHeight="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3.5" customHeight="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3.5" customHeight="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3.5" customHeight="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3.5" customHeight="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3.5" customHeight="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3.5" customHeight="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3.5" customHeight="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3.5" customHeight="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3.5" customHeight="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3.5" customHeight="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3.5" customHeight="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3.5" customHeight="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3.5" customHeight="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3.5" customHeight="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3.5" customHeight="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3.5" customHeight="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3.5" customHeight="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3.5" customHeight="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3.5" customHeight="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3.5" customHeight="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3.5" customHeight="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3.5" customHeight="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3.5" customHeight="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3.5" customHeight="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3.5" customHeight="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3.5" customHeight="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3.5" customHeight="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3.5" customHeight="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3.5" customHeight="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3.5" customHeight="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3.5" customHeight="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3.5" customHeight="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3.5" customHeight="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3.5" customHeight="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3.5" customHeight="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3.5" customHeight="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3.5" customHeight="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3.5" customHeight="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3.5" customHeight="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3.5" customHeight="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3.5" customHeight="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3.5" customHeight="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3.5" customHeight="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3.5" customHeight="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3.5" customHeight="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3.5" customHeight="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3.5" customHeight="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3.5" customHeight="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3.5" customHeight="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3.5" customHeight="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3.5" customHeight="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3.5" customHeight="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3.5" customHeight="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3.5" customHeight="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3.5" customHeight="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3.5" customHeight="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3.5" customHeight="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3.5" customHeight="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3.5" customHeight="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3.5" customHeight="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</sheetData>
  <autoFilter ref="A14:W214"/>
  <mergeCells count="208">
    <mergeCell ref="C68:G68"/>
    <mergeCell ref="C83:G83"/>
    <mergeCell ref="C166:G166"/>
    <mergeCell ref="C175:G175"/>
    <mergeCell ref="C58:G58"/>
    <mergeCell ref="C45:G45"/>
    <mergeCell ref="C97:G97"/>
    <mergeCell ref="C200:G200"/>
    <mergeCell ref="C29:G29"/>
    <mergeCell ref="C147:G147"/>
    <mergeCell ref="C109:G109"/>
    <mergeCell ref="C65:G65"/>
    <mergeCell ref="C47:G47"/>
    <mergeCell ref="C44:G44"/>
    <mergeCell ref="C193:G193"/>
    <mergeCell ref="C137:G137"/>
    <mergeCell ref="C202:G202"/>
    <mergeCell ref="C31:G31"/>
    <mergeCell ref="C211:G211"/>
    <mergeCell ref="C129:G129"/>
    <mergeCell ref="C40:G40"/>
    <mergeCell ref="C192:G192"/>
    <mergeCell ref="C21:G21"/>
    <mergeCell ref="C201:G201"/>
    <mergeCell ref="C95:G95"/>
    <mergeCell ref="C139:G139"/>
    <mergeCell ref="C60:G60"/>
    <mergeCell ref="C71:G71"/>
    <mergeCell ref="C123:G123"/>
    <mergeCell ref="C194:G194"/>
    <mergeCell ref="C23:G23"/>
    <mergeCell ref="C203:G203"/>
    <mergeCell ref="C110:G110"/>
    <mergeCell ref="C181:G181"/>
    <mergeCell ref="C91:G91"/>
    <mergeCell ref="C165:G165"/>
    <mergeCell ref="C57:G57"/>
    <mergeCell ref="C140:G140"/>
    <mergeCell ref="C155:G155"/>
    <mergeCell ref="C18:G18"/>
    <mergeCell ref="C189:G189"/>
    <mergeCell ref="C101:G101"/>
    <mergeCell ref="C77:G77"/>
    <mergeCell ref="C34:G34"/>
    <mergeCell ref="C204:G204"/>
    <mergeCell ref="C179:G179"/>
    <mergeCell ref="C86:G86"/>
    <mergeCell ref="C157:G157"/>
    <mergeCell ref="C42:G42"/>
    <mergeCell ref="C151:G151"/>
    <mergeCell ref="C108:G108"/>
    <mergeCell ref="C160:G160"/>
    <mergeCell ref="C141:G141"/>
    <mergeCell ref="C206:G206"/>
    <mergeCell ref="C128:G128"/>
    <mergeCell ref="C113:G113"/>
    <mergeCell ref="C20:G20"/>
    <mergeCell ref="C196:G196"/>
    <mergeCell ref="C103:G103"/>
    <mergeCell ref="C143:G143"/>
    <mergeCell ref="C100:G100"/>
    <mergeCell ref="C205:G205"/>
    <mergeCell ref="C112:G112"/>
    <mergeCell ref="C183:G183"/>
    <mergeCell ref="C94:G94"/>
    <mergeCell ref="C85:G85"/>
    <mergeCell ref="L2:M3"/>
    <mergeCell ref="C152:G152"/>
    <mergeCell ref="C180:G180"/>
    <mergeCell ref="C118:G118"/>
    <mergeCell ref="C133:G133"/>
    <mergeCell ref="C84:G84"/>
    <mergeCell ref="C75:G75"/>
    <mergeCell ref="C167:G167"/>
    <mergeCell ref="C142:G142"/>
    <mergeCell ref="C198:G198"/>
    <mergeCell ref="C127:G127"/>
    <mergeCell ref="C176:G176"/>
    <mergeCell ref="C80:G80"/>
    <mergeCell ref="C114:G114"/>
    <mergeCell ref="C22:G22"/>
    <mergeCell ref="C59:G59"/>
    <mergeCell ref="C130:G130"/>
    <mergeCell ref="C182:G182"/>
    <mergeCell ref="C46:G46"/>
    <mergeCell ref="C169:G169"/>
    <mergeCell ref="C51:G51"/>
    <mergeCell ref="C178:G178"/>
    <mergeCell ref="C61:G61"/>
    <mergeCell ref="C39:G39"/>
    <mergeCell ref="C159:G159"/>
    <mergeCell ref="C70:G70"/>
    <mergeCell ref="C48:G48"/>
    <mergeCell ref="C153:G153"/>
    <mergeCell ref="C106:G106"/>
    <mergeCell ref="C125:G125"/>
    <mergeCell ref="C209:G209"/>
    <mergeCell ref="C81:G81"/>
    <mergeCell ref="C32:G32"/>
    <mergeCell ref="C38:G38"/>
    <mergeCell ref="C161:G161"/>
    <mergeCell ref="C170:G170"/>
    <mergeCell ref="C131:G131"/>
    <mergeCell ref="C145:G145"/>
    <mergeCell ref="C87:G87"/>
    <mergeCell ref="C154:G154"/>
    <mergeCell ref="C49:G49"/>
    <mergeCell ref="C195:G195"/>
    <mergeCell ref="C24:G24"/>
    <mergeCell ref="C33:G33"/>
    <mergeCell ref="C89:G89"/>
    <mergeCell ref="C104:G104"/>
    <mergeCell ref="C116:G116"/>
    <mergeCell ref="C156:G156"/>
    <mergeCell ref="C74:G74"/>
    <mergeCell ref="C126:G126"/>
    <mergeCell ref="C88:G88"/>
    <mergeCell ref="C197:G197"/>
    <mergeCell ref="C26:G26"/>
    <mergeCell ref="C35:G35"/>
    <mergeCell ref="B216:Q216"/>
    <mergeCell ref="C121:G121"/>
    <mergeCell ref="C16:G16"/>
    <mergeCell ref="B12:R12"/>
    <mergeCell ref="C50:G50"/>
    <mergeCell ref="C25:G25"/>
    <mergeCell ref="C117:G117"/>
    <mergeCell ref="C168:G168"/>
    <mergeCell ref="C99:G99"/>
    <mergeCell ref="C55:G55"/>
    <mergeCell ref="C214:G214"/>
    <mergeCell ref="F2:G2"/>
    <mergeCell ref="C115:G115"/>
    <mergeCell ref="C207:G207"/>
    <mergeCell ref="C213:G213"/>
    <mergeCell ref="C52:G52"/>
    <mergeCell ref="C135:G135"/>
    <mergeCell ref="C150:G150"/>
    <mergeCell ref="C144:G144"/>
    <mergeCell ref="C122:G122"/>
    <mergeCell ref="C158:G158"/>
    <mergeCell ref="C67:G67"/>
    <mergeCell ref="C72:G72"/>
    <mergeCell ref="C199:G199"/>
    <mergeCell ref="C28:G28"/>
    <mergeCell ref="C208:G208"/>
    <mergeCell ref="C37:G37"/>
    <mergeCell ref="C186:G186"/>
    <mergeCell ref="C69:G69"/>
    <mergeCell ref="C96:G96"/>
    <mergeCell ref="C136:G136"/>
    <mergeCell ref="C78:G78"/>
    <mergeCell ref="C92:G92"/>
    <mergeCell ref="C30:G30"/>
    <mergeCell ref="C210:G210"/>
    <mergeCell ref="C62:G62"/>
    <mergeCell ref="C15:G15"/>
    <mergeCell ref="C185:G185"/>
    <mergeCell ref="C191:G191"/>
    <mergeCell ref="C98:G98"/>
    <mergeCell ref="C107:G107"/>
    <mergeCell ref="C172:G172"/>
    <mergeCell ref="C187:G187"/>
    <mergeCell ref="C64:G64"/>
    <mergeCell ref="C79:G79"/>
    <mergeCell ref="C184:G184"/>
    <mergeCell ref="F3:G3"/>
    <mergeCell ref="C162:G162"/>
    <mergeCell ref="C73:G73"/>
    <mergeCell ref="C171:G171"/>
    <mergeCell ref="C7:C11"/>
    <mergeCell ref="C54:G54"/>
    <mergeCell ref="C63:G63"/>
    <mergeCell ref="C177:G177"/>
    <mergeCell ref="C212:G212"/>
    <mergeCell ref="C146:G146"/>
    <mergeCell ref="C134:G134"/>
    <mergeCell ref="C124:G124"/>
    <mergeCell ref="C93:G93"/>
    <mergeCell ref="C164:G164"/>
    <mergeCell ref="C41:G41"/>
    <mergeCell ref="B7:B11"/>
    <mergeCell ref="C173:G173"/>
    <mergeCell ref="C56:G56"/>
    <mergeCell ref="C148:G148"/>
    <mergeCell ref="C105:G105"/>
    <mergeCell ref="C90:G90"/>
    <mergeCell ref="C43:G43"/>
    <mergeCell ref="C188:G188"/>
    <mergeCell ref="C163:G163"/>
    <mergeCell ref="C138:G138"/>
    <mergeCell ref="C120:G120"/>
    <mergeCell ref="C132:G132"/>
    <mergeCell ref="C76:G76"/>
    <mergeCell ref="C27:G27"/>
    <mergeCell ref="C36:G36"/>
    <mergeCell ref="C119:G119"/>
    <mergeCell ref="C17:G17"/>
    <mergeCell ref="C82:G82"/>
    <mergeCell ref="C174:G174"/>
    <mergeCell ref="C149:G149"/>
    <mergeCell ref="C66:G66"/>
    <mergeCell ref="C190:G190"/>
    <mergeCell ref="C19:G19"/>
    <mergeCell ref="L13:Q13"/>
    <mergeCell ref="C102:G102"/>
    <mergeCell ref="C53:G53"/>
    <mergeCell ref="C111:G111"/>
  </mergeCells>
  <conditionalFormatting sqref="J15:J214">
    <cfRule type="cellIs" priority="1" operator="greaterThan" dxfId="1">
      <formula>3</formula>
    </cfRule>
    <cfRule type="cellIs" priority="2" operator="between" dxfId="3">
      <formula>2</formula>
      <formula>3</formula>
    </cfRule>
    <cfRule type="cellIs" priority="3" operator="lessThan" dxfId="0">
      <formula>2</formula>
    </cfRule>
  </conditionalFormatting>
  <conditionalFormatting sqref="K15:K214">
    <cfRule type="cellIs" priority="4" operator="greaterThanOrEqual" dxfId="1">
      <formula>13</formula>
    </cfRule>
    <cfRule type="cellIs" priority="5" operator="equal" dxfId="0">
      <formula>0</formula>
    </cfRule>
  </conditionalFormatting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Erik Barreto</dc:creator>
  <dcterms:created xsi:type="dcterms:W3CDTF">2026-08-26T14:37:40Z</dcterms:created>
  <dcterms:modified xsi:type="dcterms:W3CDTF">2026-08-28T02:01:24Z</dcterms:modified>
  <cp:lastModifiedBy>Erik Barreto</cp:lastModifiedBy>
</cp:coreProperties>
</file>